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43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<sst xmlns="http://schemas.openxmlformats.org/spreadsheetml/2006/main" count="177" uniqueCount="113">
  <si>
    <t>中部调度台日运行方案</t>
  </si>
  <si>
    <t>日期：2026年4月29日                                                          后端调度员：李扬</t>
  </si>
  <si>
    <t>一、当日运行思路</t>
  </si>
  <si>
    <t>1.当日调整背景、目标：五一假期前尽量将天然气输送到下游；维持西二三和川气末端压力。
2.运行问题、瓶颈：鲁山机组有故障暂时只能启双机。
3.压缩机组配置：西二三线枣阳上游（海原、灵台）联合运行，预计调整后配置为海(3)彭(0)灵(3)高(2)潼(2)洛(2)鲁(2)枣(2)黄(2)武(1)南(0)抚(1)衢(1)；川气机组配置为普(0)黄金(2)利川(2)野三关(2)宜昌(0)潜江(2)武汉(2)黄梅(2)
4.作业：无。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</si>
  <si>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</si>
  <si>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</si>
  <si>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</si>
  <si>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</si>
  <si>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</si>
  <si>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</si>
  <si>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</si>
  <si>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</si>
  <si>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</si>
  <si>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</si>
  <si>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</si>
  <si>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</si>
  <si>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</si>
  <si>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</si>
  <si>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</si>
  <si>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</si>
  <si>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</si>
  <si>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</si>
  <si>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</si>
  <si>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</si>
  <si>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</si>
  <si>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</si>
  <si>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</si>
  <si>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</si>
  <si>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</si>
  <si>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</si>
  <si>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</si>
  <si>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</si>
  <si>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今日平衡情况:总平衡-207
二三线-134，忠武线59，川气-422，新气290，其他平。
调整思路：中卫来气压力较低，调整上游机组；维持甪直下载量，川气末端压力较高，通过嘉善转供补甪直方向压力。</t>
  </si>
  <si>
    <t>西二三：中卫5500中卫二站3000薛店-400甪直1400西三转新气仙桃1000西三转忠武仙桃850
  忠武线：武汉西200安沙200仙桃750宜昌200
  川气：铜梁1230宜昌200潜江400嘉善300南京200
  新气：仙桃1000安沙200韶关200桂林250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</si>
  <si>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</si>
  <si>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</si>
  <si>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</si>
  <si>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</si>
  <si>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</si>
  <si>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</si>
  <si>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</si>
  <si>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</si>
  <si>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</si>
  <si>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</si>
  <si>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</si>
  <si>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</si>
  <si>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</si>
  <si>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</si>
  <si>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</si>
  <si>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</si>
  <si>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</si>
  <si>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</si>
  <si>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7.4|7.1</t>
  </si>
  <si>
    <t>5500|3000</t>
  </si>
  <si>
    <t>/</t>
  </si>
  <si>
    <t>南京</t>
  </si>
  <si>
    <t>能</t>
  </si>
  <si>
    <t>上海</t>
  </si>
  <si>
    <t>海原</t>
  </si>
  <si>
    <t>高</t>
  </si>
  <si>
    <t>黄金</t>
  </si>
  <si>
    <t>姜家湾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</si>
  <si>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</si>
  <si>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</si>
  <si>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</si>
  <si>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</si>
  <si>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</si>
  <si>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</si>
  <si>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</si>
  <si>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</si>
  <si>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</si>
  <si>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</si>
  <si>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</si>
  <si>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</si>
  <si>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</si>
  <si>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</si>
  <si>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</si>
  <si>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</si>
  <si>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</si>
  <si>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</si>
  <si>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</si>
  <si>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</si>
  <si>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</si>
  <si>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</si>
  <si>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</si>
  <si>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</si>
  <si>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</si>
  <si>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</si>
  <si>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</si>
  <si>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</si>
  <si>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</si>
  <si>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</si>
  <si>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</si>
  <si>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韶关转西二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</si>
  <si>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</si>
  <si>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</si>
  <si>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</si>
  <si>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</si>
  <si>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</si>
  <si>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</si>
  <si>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</si>
  <si>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</si>
  <si>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</si>
  <si>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根据上游来气，调整机组</t>
  </si>
  <si>
    <t>停灵台1台机组</t>
  </si>
  <si>
    <t>南京、金坛输气站</t>
  </si>
  <si>
    <t>川气末端压力较高</t>
  </si>
  <si>
    <t>青宁转川气降至200、金坛按5.5MPa控</t>
  </si>
  <si>
    <t>配合洛宁站作业</t>
  </si>
  <si>
    <t>全站停机6小时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</si>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</sst>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496570</xdr:colOff>
      <xdr:row>39</xdr:row>
      <xdr:rowOff>164465</xdr:rowOff>
    </xdr:from>
    <xdr:to>
      <xdr:col>12</xdr:col>
      <xdr:colOff>637540</xdr:colOff>
      <xdr:row>70</xdr:row>
      <xdr:rowOff>19685</xdr:rowOff>
    </xdr:to>
    <xdr:pic>
      <xdr:nvPicPr>
        <xdr:cNvPr id="1037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570" y="8997315"/>
          <a:ext cx="873061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38" name="图片 5"/>
        <xdr:cNvSpPr>
          <a:spLocks noChangeAspect="1"/>
        </xdr:cNvSpPr>
      </xdr:nvSpPr>
      <xdr:spPr>
        <a:xfrm>
          <a:off x="7960995" y="195516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173355</xdr:colOff>
      <xdr:row>71</xdr:row>
      <xdr:rowOff>11430</xdr:rowOff>
    </xdr:from>
    <xdr:to>
      <xdr:col>5</xdr:col>
      <xdr:colOff>743585</xdr:colOff>
      <xdr:row>82</xdr:row>
      <xdr:rowOff>211455</xdr:rowOff>
    </xdr:to>
    <xdr:pic>
      <xdr:nvPicPr>
        <xdr:cNvPr id="1039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3355" y="15346680"/>
          <a:ext cx="4079240" cy="2371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219075</xdr:colOff>
      <xdr:row>71</xdr:row>
      <xdr:rowOff>22225</xdr:rowOff>
    </xdr:from>
    <xdr:to>
      <xdr:col>12</xdr:col>
      <xdr:colOff>587375</xdr:colOff>
      <xdr:row>82</xdr:row>
      <xdr:rowOff>276225</xdr:rowOff>
    </xdr:to>
    <xdr:pic>
      <xdr:nvPicPr>
        <xdr:cNvPr id="1040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80560" y="15357475"/>
          <a:ext cx="4696460" cy="242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356235</xdr:colOff>
      <xdr:row>71</xdr:row>
      <xdr:rowOff>19050</xdr:rowOff>
    </xdr:from>
    <xdr:to>
      <xdr:col>20</xdr:col>
      <xdr:colOff>397510</xdr:colOff>
      <xdr:row>82</xdr:row>
      <xdr:rowOff>221615</xdr:rowOff>
    </xdr:to>
    <xdr:pic>
      <xdr:nvPicPr>
        <xdr:cNvPr id="1041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10725" y="15354300"/>
          <a:ext cx="4648200" cy="237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414020</xdr:colOff>
      <xdr:row>40</xdr:row>
      <xdr:rowOff>170180</xdr:rowOff>
    </xdr:from>
    <xdr:to>
      <xdr:col>20</xdr:col>
      <xdr:colOff>373380</xdr:colOff>
      <xdr:row>68</xdr:row>
      <xdr:rowOff>177165</xdr:rowOff>
    </xdr:to>
    <xdr:pic>
      <xdr:nvPicPr>
        <xdr:cNvPr id="1042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68510" y="9206230"/>
          <a:ext cx="4566285" cy="5696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4&#26376;29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/>
      <sheetData sheetId="2">
        <row r="8">
          <cell r="D8">
            <v>5500</v>
          </cell>
        </row>
        <row r="9">
          <cell r="D9">
            <v>0</v>
          </cell>
        </row>
        <row r="11">
          <cell r="I11">
            <v>400</v>
          </cell>
        </row>
        <row r="12">
          <cell r="D12">
            <v>1400</v>
          </cell>
        </row>
        <row r="12">
          <cell r="I12">
            <v>0</v>
          </cell>
        </row>
        <row r="13">
          <cell r="D13">
            <v>0</v>
          </cell>
        </row>
        <row r="13">
          <cell r="I13">
            <v>300</v>
          </cell>
        </row>
        <row r="14">
          <cell r="I14">
            <v>200</v>
          </cell>
        </row>
        <row r="17">
          <cell r="D17">
            <v>0</v>
          </cell>
        </row>
        <row r="17">
          <cell r="I17">
            <v>0</v>
          </cell>
        </row>
        <row r="18">
          <cell r="D18">
            <v>1000</v>
          </cell>
        </row>
        <row r="18">
          <cell r="I18">
            <v>1000</v>
          </cell>
        </row>
        <row r="19">
          <cell r="D19">
            <v>850</v>
          </cell>
        </row>
        <row r="19">
          <cell r="I19">
            <v>200</v>
          </cell>
        </row>
        <row r="20">
          <cell r="I20">
            <v>0</v>
          </cell>
        </row>
        <row r="21">
          <cell r="I21">
            <v>200</v>
          </cell>
        </row>
        <row r="22">
          <cell r="I22">
            <v>250</v>
          </cell>
        </row>
        <row r="23">
          <cell r="I23">
            <v>0</v>
          </cell>
        </row>
        <row r="24">
          <cell r="D24">
            <v>200</v>
          </cell>
        </row>
        <row r="25">
          <cell r="D25">
            <v>750</v>
          </cell>
        </row>
        <row r="26">
          <cell r="D26">
            <v>200</v>
          </cell>
        </row>
        <row r="27">
          <cell r="D27">
            <v>0</v>
          </cell>
        </row>
        <row r="32">
          <cell r="D32">
            <v>3000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topLeftCell="A25" workbookViewId="0">
      <selection activeCell="K23" sqref="K23"/>
    </sheetView>
  </sheetViews>
  <sheetFormatPr defaultColWidth="8.725" defaultRowHeight="13.5"/>
  <cols>
    <col min="1" max="1" width="10" style="1" customWidth="1"/>
    <col min="2" max="3" width="8.725" style="1"/>
    <col min="4" max="4" width="9.875" style="1" customWidth="1"/>
    <col min="5" max="5" width="8.725" style="1"/>
    <col min="6" max="6" width="9.875" style="1" customWidth="1"/>
    <col min="7" max="7" width="14.375" style="1" customWidth="1"/>
    <col min="8" max="8" width="8.725" style="1"/>
    <col min="9" max="9" width="8" style="1" customWidth="1"/>
    <col min="10" max="11" width="8.725" style="1"/>
    <col min="12" max="12" width="8.25" style="1" customWidth="1"/>
    <col min="13" max="19" width="8.725" style="1"/>
    <col min="20" max="20" width="8.10833333333333" style="1" customWidth="1"/>
    <col min="21" max="16384" width="8.725" style="1"/>
  </cols>
  <sheetData>
    <row r="1" s="1" customFormat="1" ht="2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6" customHeight="1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16" customHeight="1" spans="1:2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16" customHeight="1" spans="1:21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="1" customFormat="1" ht="16" customHeight="1" spans="1:2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="1" customFormat="1" ht="31" customHeight="1" spans="1:2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="1" customFormat="1" ht="16" customHeight="1" spans="1:21">
      <c r="A7" s="6" t="s">
        <v>4</v>
      </c>
      <c r="B7" s="7"/>
      <c r="C7" s="7" t="str">
        <f>"上载变化量"&amp;INT(B11)</f>
        <v>上载变化量-25</v>
      </c>
      <c r="D7" s="7"/>
      <c r="E7" s="7"/>
      <c r="F7" s="7"/>
      <c r="G7" s="7"/>
      <c r="H7" s="7"/>
      <c r="I7" s="7"/>
      <c r="J7" s="7"/>
      <c r="K7" s="7"/>
      <c r="L7" s="18"/>
      <c r="M7" s="7" t="str">
        <f>"下载变化量"&amp;N11</f>
        <v>下载变化量-232</v>
      </c>
      <c r="N7" s="7"/>
      <c r="O7" s="7"/>
      <c r="P7" s="7"/>
      <c r="Q7" s="7"/>
      <c r="R7" s="7"/>
      <c r="S7" s="7"/>
      <c r="T7" s="7"/>
      <c r="U7" s="8"/>
    </row>
    <row r="8" s="1" customFormat="1" ht="22.5" spans="1:21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1" t="s">
        <v>16</v>
      </c>
      <c r="M8" s="22" t="s">
        <v>17</v>
      </c>
      <c r="N8" s="20" t="s">
        <v>6</v>
      </c>
      <c r="O8" s="20" t="s">
        <v>18</v>
      </c>
      <c r="P8" s="20" t="s">
        <v>19</v>
      </c>
      <c r="Q8" s="20" t="s">
        <v>20</v>
      </c>
      <c r="R8" s="20" t="s">
        <v>21</v>
      </c>
      <c r="S8" s="20" t="s">
        <v>22</v>
      </c>
      <c r="T8" s="20" t="s">
        <v>23</v>
      </c>
      <c r="U8" s="23" t="s">
        <v>24</v>
      </c>
    </row>
    <row r="9" s="1" customFormat="1" ht="16" customHeight="1" spans="1:21">
      <c r="A9" s="24" t="s">
        <v>25</v>
      </c>
      <c r="B9" s="25">
        <v>7042.33</v>
      </c>
      <c r="C9" s="25">
        <v>500</v>
      </c>
      <c r="D9" s="25">
        <v>216.3</v>
      </c>
      <c r="E9" s="25">
        <v>873.2</v>
      </c>
      <c r="F9" s="25">
        <v>877.77</v>
      </c>
      <c r="G9" s="25">
        <v>1748.3</v>
      </c>
      <c r="H9" s="25">
        <v>119.06</v>
      </c>
      <c r="I9" s="25">
        <v>1366.4</v>
      </c>
      <c r="J9" s="25">
        <v>46.8</v>
      </c>
      <c r="K9" s="25">
        <v>0</v>
      </c>
      <c r="L9" s="26">
        <v>1230</v>
      </c>
      <c r="M9" s="27" t="s">
        <v>25</v>
      </c>
      <c r="N9" s="25">
        <v>12453.2828</v>
      </c>
      <c r="O9" s="25">
        <v>5067.4828</v>
      </c>
      <c r="P9" s="25">
        <v>1583.904</v>
      </c>
      <c r="Q9" s="25">
        <v>4241.096</v>
      </c>
      <c r="R9" s="25">
        <v>199.74</v>
      </c>
      <c r="S9" s="25">
        <v>227.35</v>
      </c>
      <c r="T9" s="25">
        <v>435.56</v>
      </c>
      <c r="U9" s="26">
        <v>332.15</v>
      </c>
    </row>
    <row r="10" s="1" customFormat="1" ht="16" customHeight="1" spans="1:21">
      <c r="A10" s="24" t="s">
        <v>26</v>
      </c>
      <c r="B10" s="25">
        <v>7066.74</v>
      </c>
      <c r="C10" s="25">
        <v>500</v>
      </c>
      <c r="D10" s="25">
        <v>217</v>
      </c>
      <c r="E10" s="25">
        <v>873.2</v>
      </c>
      <c r="F10" s="25">
        <v>920.39</v>
      </c>
      <c r="G10" s="25">
        <v>1748.1</v>
      </c>
      <c r="H10" s="25">
        <v>118.55</v>
      </c>
      <c r="I10" s="25">
        <v>1342.2</v>
      </c>
      <c r="J10" s="25">
        <v>48.8</v>
      </c>
      <c r="K10" s="25">
        <v>0</v>
      </c>
      <c r="L10" s="26">
        <v>1230</v>
      </c>
      <c r="M10" s="27" t="s">
        <v>26</v>
      </c>
      <c r="N10" s="25">
        <v>12685.0271</v>
      </c>
      <c r="O10" s="25">
        <v>5058.4871</v>
      </c>
      <c r="P10" s="25">
        <v>1641.4</v>
      </c>
      <c r="Q10" s="25">
        <v>4266.87</v>
      </c>
      <c r="R10" s="25">
        <v>229.85</v>
      </c>
      <c r="S10" s="25">
        <v>244.15</v>
      </c>
      <c r="T10" s="25">
        <v>437.32</v>
      </c>
      <c r="U10" s="26">
        <v>334.45</v>
      </c>
    </row>
    <row r="11" s="1" customFormat="1" ht="14.25" spans="1:21">
      <c r="A11" s="28" t="s">
        <v>27</v>
      </c>
      <c r="B11" s="29">
        <v>-25</v>
      </c>
      <c r="C11" s="30">
        <v>0</v>
      </c>
      <c r="D11" s="30">
        <v>-0.699999999999989</v>
      </c>
      <c r="E11" s="30">
        <v>0</v>
      </c>
      <c r="F11" s="30">
        <v>-42.62</v>
      </c>
      <c r="G11" s="30">
        <v>0.200000000000045</v>
      </c>
      <c r="H11" s="30">
        <v>0.510000000000005</v>
      </c>
      <c r="I11" s="30">
        <v>24.2</v>
      </c>
      <c r="J11" s="30">
        <v>-2</v>
      </c>
      <c r="K11" s="30">
        <v>0</v>
      </c>
      <c r="L11" s="31">
        <v>0</v>
      </c>
      <c r="M11" s="32" t="s">
        <v>27</v>
      </c>
      <c r="N11" s="30">
        <v>-232</v>
      </c>
      <c r="O11" s="30">
        <v>8.99569999999949</v>
      </c>
      <c r="P11" s="30">
        <v>-57.4960000000001</v>
      </c>
      <c r="Q11" s="30">
        <v>-25.7740000000003</v>
      </c>
      <c r="R11" s="30">
        <v>-30.11</v>
      </c>
      <c r="S11" s="30">
        <v>-16.8</v>
      </c>
      <c r="T11" s="30">
        <v>-1.75999999999999</v>
      </c>
      <c r="U11" s="31">
        <v>-2.30000000000001</v>
      </c>
    </row>
    <row r="12" s="1" customFormat="1" ht="14.25" spans="1:21">
      <c r="A12" s="33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8" t="s">
        <v>29</v>
      </c>
      <c r="N12" s="18"/>
      <c r="O12" s="18"/>
      <c r="P12" s="18"/>
      <c r="Q12" s="18"/>
      <c r="R12" s="18"/>
      <c r="S12" s="18"/>
      <c r="T12" s="18"/>
      <c r="U12" s="8"/>
    </row>
    <row r="13" s="1" customFormat="1" spans="1:21">
      <c r="A13" s="19" t="s">
        <v>30</v>
      </c>
      <c r="B13" s="20" t="s">
        <v>6</v>
      </c>
      <c r="C13" s="20" t="s">
        <v>31</v>
      </c>
      <c r="D13" s="20" t="s">
        <v>19</v>
      </c>
      <c r="E13" s="20" t="s">
        <v>20</v>
      </c>
      <c r="F13" s="20" t="s">
        <v>23</v>
      </c>
      <c r="G13" s="20" t="s">
        <v>21</v>
      </c>
      <c r="H13" s="35" t="s">
        <v>24</v>
      </c>
      <c r="I13" s="36" t="s">
        <v>32</v>
      </c>
      <c r="J13" s="37"/>
      <c r="K13" s="37"/>
      <c r="L13" s="38"/>
      <c r="M13" s="39" t="s">
        <v>33</v>
      </c>
      <c r="N13" s="40"/>
      <c r="O13" s="40"/>
      <c r="P13" s="40"/>
      <c r="Q13" s="40"/>
      <c r="R13" s="40"/>
      <c r="S13" s="40"/>
      <c r="T13" s="40"/>
      <c r="U13" s="41"/>
    </row>
    <row r="14" s="1" customFormat="1" ht="16" customHeight="1" spans="1:21">
      <c r="A14" s="24" t="s">
        <v>34</v>
      </c>
      <c r="B14" s="25">
        <v>81383.9776010826</v>
      </c>
      <c r="C14" s="25">
        <v>55142.4483439495</v>
      </c>
      <c r="D14" s="25">
        <v>2373.73692412169</v>
      </c>
      <c r="E14" s="25">
        <v>12799.2319627138</v>
      </c>
      <c r="F14" s="25">
        <v>1925.9275979593</v>
      </c>
      <c r="G14" s="25">
        <v>1279.36707773859</v>
      </c>
      <c r="H14" s="25">
        <v>7863.2656945997</v>
      </c>
      <c r="I14" s="42"/>
      <c r="J14" s="43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7"/>
    </row>
    <row r="15" s="1" customFormat="1" ht="16" customHeight="1" spans="1:21">
      <c r="A15" s="24" t="s">
        <v>35</v>
      </c>
      <c r="B15" s="25">
        <v>-206.6</v>
      </c>
      <c r="C15" s="48">
        <v>-134</v>
      </c>
      <c r="D15" s="48">
        <v>59</v>
      </c>
      <c r="E15" s="48">
        <v>-421.6</v>
      </c>
      <c r="F15" s="48">
        <v>0</v>
      </c>
      <c r="G15" s="48">
        <v>290</v>
      </c>
      <c r="H15" s="48">
        <v>0</v>
      </c>
      <c r="I15" s="42"/>
      <c r="J15" s="43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7"/>
    </row>
    <row r="16" s="1" customFormat="1" ht="16" customHeight="1" spans="1:21">
      <c r="A16" s="24" t="s">
        <v>36</v>
      </c>
      <c r="B16" s="25">
        <v>-206.6</v>
      </c>
      <c r="C16" s="48">
        <v>-134</v>
      </c>
      <c r="D16" s="48">
        <v>59</v>
      </c>
      <c r="E16" s="48">
        <v>-421.6</v>
      </c>
      <c r="F16" s="48">
        <v>0</v>
      </c>
      <c r="G16" s="48">
        <v>290</v>
      </c>
      <c r="H16" s="48">
        <v>0</v>
      </c>
      <c r="I16" s="42"/>
      <c r="J16" s="43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7"/>
    </row>
    <row r="17" s="1" customFormat="1" ht="16" customHeight="1" spans="1:21">
      <c r="A17" s="28" t="s">
        <v>37</v>
      </c>
      <c r="B17" s="30">
        <v>81177.3776010826</v>
      </c>
      <c r="C17" s="49">
        <v>55008.4483439495</v>
      </c>
      <c r="D17" s="49">
        <v>2432.73692412169</v>
      </c>
      <c r="E17" s="49">
        <v>12377.6319627138</v>
      </c>
      <c r="F17" s="49">
        <v>1925.9275979593</v>
      </c>
      <c r="G17" s="49">
        <v>1569.36707773859</v>
      </c>
      <c r="H17" s="50">
        <v>7863.2656945997</v>
      </c>
      <c r="I17" s="51"/>
      <c r="J17" s="52"/>
      <c r="K17" s="52"/>
      <c r="L17" s="53"/>
      <c r="M17" s="54"/>
      <c r="N17" s="55"/>
      <c r="O17" s="55"/>
      <c r="P17" s="55"/>
      <c r="Q17" s="55"/>
      <c r="R17" s="55"/>
      <c r="S17" s="55"/>
      <c r="T17" s="55"/>
      <c r="U17" s="56"/>
    </row>
    <row r="18" s="1" customFormat="1" ht="16" customHeight="1" spans="1:21">
      <c r="A18" s="6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</row>
    <row r="19" s="1" customFormat="1" ht="16" customHeight="1" spans="1:21">
      <c r="A19" s="19" t="s">
        <v>39</v>
      </c>
      <c r="B19" s="20" t="s">
        <v>40</v>
      </c>
      <c r="C19" s="20" t="s">
        <v>41</v>
      </c>
      <c r="D19" s="20" t="s">
        <v>42</v>
      </c>
      <c r="E19" s="20" t="s">
        <v>43</v>
      </c>
      <c r="F19" s="20" t="s">
        <v>44</v>
      </c>
      <c r="G19" s="21" t="s">
        <v>45</v>
      </c>
      <c r="H19" s="22" t="s">
        <v>39</v>
      </c>
      <c r="I19" s="20" t="s">
        <v>40</v>
      </c>
      <c r="J19" s="20" t="s">
        <v>41</v>
      </c>
      <c r="K19" s="20" t="s">
        <v>42</v>
      </c>
      <c r="L19" s="20" t="s">
        <v>43</v>
      </c>
      <c r="M19" s="20" t="s">
        <v>44</v>
      </c>
      <c r="N19" s="21" t="s">
        <v>45</v>
      </c>
      <c r="O19" s="22" t="s">
        <v>46</v>
      </c>
      <c r="P19" s="20" t="s">
        <v>40</v>
      </c>
      <c r="Q19" s="20" t="s">
        <v>41</v>
      </c>
      <c r="R19" s="20" t="s">
        <v>47</v>
      </c>
      <c r="S19" s="21" t="s">
        <v>48</v>
      </c>
      <c r="T19" s="22" t="s">
        <v>49</v>
      </c>
      <c r="U19" s="21" t="s">
        <v>50</v>
      </c>
    </row>
    <row r="20" s="1" customFormat="1" ht="16" customHeight="1" spans="1:21">
      <c r="A20" s="24" t="s">
        <v>51</v>
      </c>
      <c r="B20" s="57">
        <v>7.4</v>
      </c>
      <c r="C20" s="57" t="s">
        <v>52</v>
      </c>
      <c r="D20" s="25" t="s">
        <v>53</v>
      </c>
      <c r="E20" s="58" t="s">
        <v>54</v>
      </c>
      <c r="F20" s="59" t="s">
        <v>54</v>
      </c>
      <c r="G20" s="60" t="s">
        <v>54</v>
      </c>
      <c r="H20" s="61" t="s">
        <v>11</v>
      </c>
      <c r="I20" s="62">
        <v>7</v>
      </c>
      <c r="J20" s="62">
        <v>6.9</v>
      </c>
      <c r="K20" s="63">
        <v>2344</v>
      </c>
      <c r="L20" s="59" t="s">
        <v>54</v>
      </c>
      <c r="M20" s="59">
        <v>0</v>
      </c>
      <c r="N20" s="60" t="s">
        <v>54</v>
      </c>
      <c r="O20" s="61" t="s">
        <v>55</v>
      </c>
      <c r="P20" s="62">
        <v>6</v>
      </c>
      <c r="Q20" s="62">
        <v>5.1</v>
      </c>
      <c r="R20" s="59">
        <f>[1]调整策略与目标工况!I14</f>
        <v>200</v>
      </c>
      <c r="S20" s="60" t="s">
        <v>56</v>
      </c>
      <c r="T20" s="61" t="s">
        <v>57</v>
      </c>
      <c r="U20" s="64">
        <v>7.8</v>
      </c>
    </row>
    <row r="21" s="1" customFormat="1" ht="16" customHeight="1" spans="1:21">
      <c r="A21" s="24" t="s">
        <v>58</v>
      </c>
      <c r="B21" s="57">
        <v>5.9674829</v>
      </c>
      <c r="C21" s="57">
        <v>7.5</v>
      </c>
      <c r="D21" s="25">
        <v>8621.0924</v>
      </c>
      <c r="E21" s="58">
        <v>4200</v>
      </c>
      <c r="F21" s="58">
        <v>3</v>
      </c>
      <c r="G21" s="60" t="s">
        <v>59</v>
      </c>
      <c r="H21" s="61" t="s">
        <v>60</v>
      </c>
      <c r="I21" s="62">
        <v>6.2</v>
      </c>
      <c r="J21" s="62">
        <v>8.5</v>
      </c>
      <c r="K21" s="63">
        <v>2188</v>
      </c>
      <c r="L21" s="59">
        <v>1370</v>
      </c>
      <c r="M21" s="59">
        <v>2</v>
      </c>
      <c r="N21" s="60" t="s">
        <v>59</v>
      </c>
      <c r="O21" s="61" t="s">
        <v>61</v>
      </c>
      <c r="P21" s="62">
        <v>7.1</v>
      </c>
      <c r="Q21" s="62">
        <v>6.2</v>
      </c>
      <c r="R21" s="59">
        <f>[1]调整策略与目标工况!I12</f>
        <v>0</v>
      </c>
      <c r="S21" s="60" t="s">
        <v>56</v>
      </c>
      <c r="T21" s="61" t="s">
        <v>62</v>
      </c>
      <c r="U21" s="64">
        <v>7.3</v>
      </c>
    </row>
    <row r="22" s="1" customFormat="1" ht="16" customHeight="1" spans="1:21">
      <c r="A22" s="24" t="s">
        <v>63</v>
      </c>
      <c r="B22" s="57">
        <v>6.6039124</v>
      </c>
      <c r="C22" s="57">
        <v>6.6039124</v>
      </c>
      <c r="D22" s="25">
        <v>8611.5416</v>
      </c>
      <c r="E22" s="58">
        <v>0</v>
      </c>
      <c r="F22" s="58">
        <v>0</v>
      </c>
      <c r="G22" s="60" t="s">
        <v>54</v>
      </c>
      <c r="H22" s="61" t="s">
        <v>64</v>
      </c>
      <c r="I22" s="62">
        <v>6.5</v>
      </c>
      <c r="J22" s="62">
        <v>8.5</v>
      </c>
      <c r="K22" s="63">
        <v>3615</v>
      </c>
      <c r="L22" s="59">
        <v>1400</v>
      </c>
      <c r="M22" s="59">
        <v>2</v>
      </c>
      <c r="N22" s="60" t="s">
        <v>59</v>
      </c>
      <c r="O22" s="61" t="s">
        <v>65</v>
      </c>
      <c r="P22" s="62">
        <v>6.8</v>
      </c>
      <c r="Q22" s="62">
        <v>6.3</v>
      </c>
      <c r="R22" s="59">
        <f>[1]调整策略与目标工况!D17+[1]调整策略与目标工况!I13</f>
        <v>300</v>
      </c>
      <c r="S22" s="60" t="s">
        <v>56</v>
      </c>
      <c r="T22" s="61" t="s">
        <v>66</v>
      </c>
      <c r="U22" s="64">
        <v>7.3</v>
      </c>
    </row>
    <row r="23" s="1" customFormat="1" ht="16" customHeight="1" spans="1:21">
      <c r="A23" s="24" t="s">
        <v>67</v>
      </c>
      <c r="B23" s="57">
        <v>5.524225</v>
      </c>
      <c r="C23" s="57">
        <v>8</v>
      </c>
      <c r="D23" s="25">
        <v>8560.0682</v>
      </c>
      <c r="E23" s="58">
        <v>4100</v>
      </c>
      <c r="F23" s="58">
        <v>3</v>
      </c>
      <c r="G23" s="60" t="s">
        <v>59</v>
      </c>
      <c r="H23" s="61" t="s">
        <v>68</v>
      </c>
      <c r="I23" s="62">
        <v>6.5</v>
      </c>
      <c r="J23" s="62">
        <v>8.6</v>
      </c>
      <c r="K23" s="63">
        <v>3338</v>
      </c>
      <c r="L23" s="59">
        <v>1400</v>
      </c>
      <c r="M23" s="59">
        <v>2</v>
      </c>
      <c r="N23" s="60" t="s">
        <v>59</v>
      </c>
      <c r="O23" s="61" t="s">
        <v>69</v>
      </c>
      <c r="P23" s="62">
        <v>7.7</v>
      </c>
      <c r="Q23" s="62">
        <v>6.7</v>
      </c>
      <c r="R23" s="59">
        <f>[1]调整策略与目标工况!I20</f>
        <v>0</v>
      </c>
      <c r="S23" s="60" t="s">
        <v>56</v>
      </c>
      <c r="T23" s="61" t="s">
        <v>70</v>
      </c>
      <c r="U23" s="64">
        <v>8.1</v>
      </c>
    </row>
    <row r="24" s="1" customFormat="1" ht="34" customHeight="1" spans="1:21">
      <c r="A24" s="24" t="s">
        <v>71</v>
      </c>
      <c r="B24" s="62">
        <v>6.7</v>
      </c>
      <c r="C24" s="57">
        <v>8.3</v>
      </c>
      <c r="D24" s="25">
        <v>6283.7948</v>
      </c>
      <c r="E24" s="58">
        <v>4000</v>
      </c>
      <c r="F24" s="58">
        <v>2</v>
      </c>
      <c r="G24" s="60" t="s">
        <v>59</v>
      </c>
      <c r="H24" s="61" t="s">
        <v>72</v>
      </c>
      <c r="I24" s="62">
        <v>8</v>
      </c>
      <c r="J24" s="62">
        <v>7.9</v>
      </c>
      <c r="K24" s="63">
        <v>3769</v>
      </c>
      <c r="L24" s="59" t="s">
        <v>54</v>
      </c>
      <c r="M24" s="59">
        <v>0</v>
      </c>
      <c r="N24" s="60" t="s">
        <v>54</v>
      </c>
      <c r="O24" s="61" t="s">
        <v>73</v>
      </c>
      <c r="P24" s="62">
        <v>7.8</v>
      </c>
      <c r="Q24" s="62">
        <v>7.7</v>
      </c>
      <c r="R24" s="59">
        <f>[1]调整策略与目标工况!I18</f>
        <v>1000</v>
      </c>
      <c r="S24" s="60" t="s">
        <v>56</v>
      </c>
      <c r="T24" s="61" t="s">
        <v>74</v>
      </c>
      <c r="U24" s="64">
        <v>3.8</v>
      </c>
    </row>
    <row r="25" s="1" customFormat="1" ht="16" customHeight="1" spans="1:21">
      <c r="A25" s="24" t="s">
        <v>75</v>
      </c>
      <c r="B25" s="57">
        <v>6.4502641</v>
      </c>
      <c r="C25" s="57">
        <v>8.3</v>
      </c>
      <c r="D25" s="25">
        <v>6189.2039</v>
      </c>
      <c r="E25" s="58">
        <v>4400</v>
      </c>
      <c r="F25" s="58">
        <v>2</v>
      </c>
      <c r="G25" s="60" t="s">
        <v>59</v>
      </c>
      <c r="H25" s="61" t="s">
        <v>76</v>
      </c>
      <c r="I25" s="62">
        <v>6.6</v>
      </c>
      <c r="J25" s="62">
        <v>8.1</v>
      </c>
      <c r="K25" s="63">
        <v>3486</v>
      </c>
      <c r="L25" s="59">
        <v>1300</v>
      </c>
      <c r="M25" s="59">
        <v>2</v>
      </c>
      <c r="N25" s="60" t="s">
        <v>59</v>
      </c>
      <c r="O25" s="61" t="s">
        <v>77</v>
      </c>
      <c r="P25" s="62">
        <v>7.8</v>
      </c>
      <c r="Q25" s="62">
        <v>5.3</v>
      </c>
      <c r="R25" s="59">
        <f>[1]调整策略与目标工况!D25</f>
        <v>750</v>
      </c>
      <c r="S25" s="60" t="s">
        <v>56</v>
      </c>
      <c r="T25" s="61" t="s">
        <v>78</v>
      </c>
      <c r="U25" s="64">
        <v>6.7</v>
      </c>
    </row>
    <row r="26" s="1" customFormat="1" ht="16" customHeight="1" spans="1:21">
      <c r="A26" s="24" t="s">
        <v>79</v>
      </c>
      <c r="B26" s="62">
        <v>6.6219144</v>
      </c>
      <c r="C26" s="57">
        <v>8.5</v>
      </c>
      <c r="D26" s="25">
        <v>6147.0606</v>
      </c>
      <c r="E26" s="58">
        <v>4900</v>
      </c>
      <c r="F26" s="58">
        <v>2</v>
      </c>
      <c r="G26" s="60" t="s">
        <v>59</v>
      </c>
      <c r="H26" s="61" t="s">
        <v>80</v>
      </c>
      <c r="I26" s="62">
        <v>6.8</v>
      </c>
      <c r="J26" s="62">
        <v>8.5</v>
      </c>
      <c r="K26" s="63">
        <v>3753</v>
      </c>
      <c r="L26" s="59">
        <v>1200</v>
      </c>
      <c r="M26" s="59">
        <v>2</v>
      </c>
      <c r="N26" s="60" t="s">
        <v>59</v>
      </c>
      <c r="O26" s="61" t="s">
        <v>81</v>
      </c>
      <c r="P26" s="62">
        <v>7.3</v>
      </c>
      <c r="Q26" s="62">
        <v>7.2</v>
      </c>
      <c r="R26" s="59">
        <f>[1]调整策略与目标工况!I22</f>
        <v>250</v>
      </c>
      <c r="S26" s="60" t="s">
        <v>56</v>
      </c>
      <c r="T26" s="61" t="s">
        <v>82</v>
      </c>
      <c r="U26" s="64">
        <v>6.5</v>
      </c>
    </row>
    <row r="27" s="1" customFormat="1" ht="16" customHeight="1" spans="1:21">
      <c r="A27" s="24" t="s">
        <v>83</v>
      </c>
      <c r="B27" s="62">
        <v>6.6</v>
      </c>
      <c r="C27" s="57">
        <v>8.5</v>
      </c>
      <c r="D27" s="25">
        <v>5629.9024</v>
      </c>
      <c r="E27" s="58">
        <v>4300</v>
      </c>
      <c r="F27" s="58">
        <v>2</v>
      </c>
      <c r="G27" s="60" t="s">
        <v>59</v>
      </c>
      <c r="H27" s="61" t="s">
        <v>84</v>
      </c>
      <c r="I27" s="62">
        <v>7.3</v>
      </c>
      <c r="J27" s="62">
        <v>9.3</v>
      </c>
      <c r="K27" s="63">
        <v>2863</v>
      </c>
      <c r="L27" s="59">
        <v>1300</v>
      </c>
      <c r="M27" s="59">
        <v>2</v>
      </c>
      <c r="N27" s="60" t="s">
        <v>59</v>
      </c>
      <c r="O27" s="61" t="s">
        <v>85</v>
      </c>
      <c r="P27" s="62">
        <v>6.7</v>
      </c>
      <c r="Q27" s="62">
        <v>5.5</v>
      </c>
      <c r="R27" s="59">
        <f>[1]调整策略与目标工况!D12</f>
        <v>1400</v>
      </c>
      <c r="S27" s="60" t="s">
        <v>56</v>
      </c>
      <c r="T27" s="61"/>
      <c r="U27" s="60"/>
    </row>
    <row r="28" s="1" customFormat="1" ht="16" customHeight="1" spans="1:21">
      <c r="A28" s="24" t="s">
        <v>86</v>
      </c>
      <c r="B28" s="57">
        <v>6.7752262</v>
      </c>
      <c r="C28" s="57">
        <v>9</v>
      </c>
      <c r="D28" s="25">
        <v>7372.4197</v>
      </c>
      <c r="E28" s="58">
        <v>4300</v>
      </c>
      <c r="F28" s="58">
        <v>2</v>
      </c>
      <c r="G28" s="60" t="s">
        <v>59</v>
      </c>
      <c r="H28" s="61" t="s">
        <v>13</v>
      </c>
      <c r="I28" s="62">
        <v>3.8</v>
      </c>
      <c r="J28" s="62">
        <v>7.2</v>
      </c>
      <c r="K28" s="59">
        <v>742</v>
      </c>
      <c r="L28" s="59" t="s">
        <v>87</v>
      </c>
      <c r="M28" s="59">
        <v>4</v>
      </c>
      <c r="N28" s="60" t="s">
        <v>59</v>
      </c>
      <c r="O28" s="61" t="s">
        <v>88</v>
      </c>
      <c r="P28" s="62">
        <v>7.4</v>
      </c>
      <c r="Q28" s="65">
        <v>4.1</v>
      </c>
      <c r="R28" s="59">
        <f>[1]调整策略与目标工况!I19</f>
        <v>200</v>
      </c>
      <c r="S28" s="60" t="s">
        <v>56</v>
      </c>
      <c r="T28" s="61"/>
      <c r="U28" s="60"/>
    </row>
    <row r="29" s="1" customFormat="1" ht="16" customHeight="1" spans="1:21">
      <c r="A29" s="24" t="s">
        <v>89</v>
      </c>
      <c r="B29" s="57">
        <v>7.5167997</v>
      </c>
      <c r="C29" s="57">
        <v>8.8</v>
      </c>
      <c r="D29" s="25">
        <v>5244.5543</v>
      </c>
      <c r="E29" s="58">
        <v>4500</v>
      </c>
      <c r="F29" s="58">
        <v>2</v>
      </c>
      <c r="G29" s="60" t="s">
        <v>59</v>
      </c>
      <c r="H29" s="61" t="s">
        <v>90</v>
      </c>
      <c r="I29" s="62">
        <v>3.8</v>
      </c>
      <c r="J29" s="62">
        <v>8.5</v>
      </c>
      <c r="K29" s="59">
        <v>1619</v>
      </c>
      <c r="L29" s="59">
        <v>12000</v>
      </c>
      <c r="M29" s="59">
        <v>3</v>
      </c>
      <c r="N29" s="60" t="s">
        <v>59</v>
      </c>
      <c r="O29" s="61" t="s">
        <v>91</v>
      </c>
      <c r="P29" s="62">
        <v>7.3</v>
      </c>
      <c r="Q29" s="62">
        <v>6</v>
      </c>
      <c r="R29" s="59">
        <f>[1]调整策略与目标工况!I21</f>
        <v>200</v>
      </c>
      <c r="S29" s="60" t="s">
        <v>56</v>
      </c>
      <c r="T29" s="61"/>
      <c r="U29" s="60"/>
    </row>
    <row r="30" s="1" customFormat="1" ht="21" customHeight="1" spans="1:21">
      <c r="A30" s="24" t="s">
        <v>92</v>
      </c>
      <c r="B30" s="62">
        <v>7.5415452</v>
      </c>
      <c r="C30" s="57">
        <v>8.7</v>
      </c>
      <c r="D30" s="25">
        <v>4826.8817</v>
      </c>
      <c r="E30" s="58">
        <v>4800</v>
      </c>
      <c r="F30" s="58">
        <v>1</v>
      </c>
      <c r="G30" s="66" t="s">
        <v>59</v>
      </c>
      <c r="H30" s="61" t="s">
        <v>7</v>
      </c>
      <c r="I30" s="62">
        <v>4.1</v>
      </c>
      <c r="J30" s="62">
        <v>5.8</v>
      </c>
      <c r="K30" s="59">
        <v>500</v>
      </c>
      <c r="L30" s="59">
        <v>7650</v>
      </c>
      <c r="M30" s="59">
        <v>1</v>
      </c>
      <c r="N30" s="60" t="s">
        <v>59</v>
      </c>
      <c r="O30" s="61" t="s">
        <v>93</v>
      </c>
      <c r="P30" s="62">
        <v>8.7</v>
      </c>
      <c r="Q30" s="62">
        <v>7</v>
      </c>
      <c r="R30" s="59">
        <f>[1]调整策略与目标工况!I17+[1]调整策略与目标工况!I23</f>
        <v>0</v>
      </c>
      <c r="S30" s="60" t="s">
        <v>54</v>
      </c>
      <c r="T30" s="61"/>
      <c r="U30" s="60"/>
    </row>
    <row r="31" s="1" customFormat="1" ht="16" customHeight="1" spans="1:21">
      <c r="A31" s="24" t="s">
        <v>94</v>
      </c>
      <c r="B31" s="62">
        <v>7.6286078</v>
      </c>
      <c r="C31" s="57">
        <v>7.6286078</v>
      </c>
      <c r="D31" s="25">
        <v>4710.523</v>
      </c>
      <c r="E31" s="58">
        <v>0</v>
      </c>
      <c r="F31" s="58">
        <v>0</v>
      </c>
      <c r="G31" s="60" t="s">
        <v>54</v>
      </c>
      <c r="H31" s="61" t="s">
        <v>95</v>
      </c>
      <c r="I31" s="62">
        <v>8</v>
      </c>
      <c r="J31" s="62">
        <v>8</v>
      </c>
      <c r="K31" s="59">
        <v>1230</v>
      </c>
      <c r="L31" s="59" t="s">
        <v>54</v>
      </c>
      <c r="M31" s="59">
        <v>0</v>
      </c>
      <c r="N31" s="60" t="s">
        <v>54</v>
      </c>
      <c r="O31" s="61"/>
      <c r="P31" s="62"/>
      <c r="Q31" s="62"/>
      <c r="R31" s="59"/>
      <c r="S31" s="60"/>
      <c r="T31" s="61"/>
      <c r="U31" s="60"/>
    </row>
    <row r="32" s="1" customFormat="1" ht="16" customHeight="1" spans="1:21">
      <c r="A32" s="28" t="s">
        <v>96</v>
      </c>
      <c r="B32" s="67">
        <v>6.7249086</v>
      </c>
      <c r="C32" s="67">
        <v>8</v>
      </c>
      <c r="D32" s="30">
        <v>2966.7279</v>
      </c>
      <c r="E32" s="68">
        <v>3700</v>
      </c>
      <c r="F32" s="68">
        <v>1</v>
      </c>
      <c r="G32" s="69" t="s">
        <v>59</v>
      </c>
      <c r="H32" s="70" t="s">
        <v>97</v>
      </c>
      <c r="I32" s="67">
        <v>8.2546002</v>
      </c>
      <c r="J32" s="67">
        <v>9</v>
      </c>
      <c r="K32" s="29">
        <v>2669.7997</v>
      </c>
      <c r="L32" s="71">
        <v>3400</v>
      </c>
      <c r="M32" s="71">
        <v>1</v>
      </c>
      <c r="N32" s="69" t="s">
        <v>59</v>
      </c>
      <c r="O32" s="70"/>
      <c r="P32" s="67"/>
      <c r="Q32" s="67"/>
      <c r="R32" s="71"/>
      <c r="S32" s="69"/>
      <c r="T32" s="70"/>
      <c r="U32" s="69"/>
    </row>
    <row r="33" s="1" customFormat="1" ht="16" customHeight="1" spans="1:22">
      <c r="A33" s="6" t="s">
        <v>98</v>
      </c>
      <c r="B33" s="7"/>
      <c r="C33" s="72"/>
      <c r="D33" s="25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3"/>
    </row>
    <row r="34" s="1" customFormat="1" ht="16" customHeight="1" spans="1:22">
      <c r="A34" s="74"/>
      <c r="B34" s="75" t="s">
        <v>99</v>
      </c>
      <c r="C34" s="76"/>
      <c r="D34" s="76"/>
      <c r="E34" s="77"/>
      <c r="F34" s="75" t="s">
        <v>100</v>
      </c>
      <c r="G34" s="76"/>
      <c r="H34" s="76"/>
      <c r="I34" s="76"/>
      <c r="J34" s="76"/>
      <c r="K34" s="77"/>
      <c r="L34" s="78" t="s">
        <v>101</v>
      </c>
      <c r="M34" s="78"/>
      <c r="N34" s="78"/>
      <c r="O34" s="78"/>
      <c r="P34" s="78"/>
      <c r="Q34" s="78" t="s">
        <v>102</v>
      </c>
      <c r="R34" s="78"/>
      <c r="S34" s="78"/>
      <c r="T34" s="78"/>
      <c r="U34" s="79"/>
    </row>
    <row r="35" s="1" customFormat="1" ht="26" customHeight="1" spans="1:22">
      <c r="A35" s="80">
        <v>1</v>
      </c>
      <c r="B35" s="81">
        <v>0.375</v>
      </c>
      <c r="C35" s="81"/>
      <c r="D35" s="81"/>
      <c r="E35" s="81"/>
      <c r="F35" s="82" t="s">
        <v>67</v>
      </c>
      <c r="G35" s="82"/>
      <c r="H35" s="82"/>
      <c r="I35" s="82"/>
      <c r="J35" s="82"/>
      <c r="K35" s="82"/>
      <c r="L35" s="83" t="s">
        <v>103</v>
      </c>
      <c r="M35" s="82"/>
      <c r="N35" s="82"/>
      <c r="O35" s="82"/>
      <c r="P35" s="82"/>
      <c r="Q35" s="83" t="s">
        <v>104</v>
      </c>
      <c r="R35" s="83"/>
      <c r="S35" s="83"/>
      <c r="T35" s="83"/>
      <c r="U35" s="66"/>
    </row>
    <row r="36" s="1" customFormat="1" ht="24" customHeight="1" spans="1:22">
      <c r="A36" s="84">
        <v>2</v>
      </c>
      <c r="B36" s="81">
        <v>0.395833333333333</v>
      </c>
      <c r="C36" s="81"/>
      <c r="D36" s="81"/>
      <c r="E36" s="81"/>
      <c r="F36" s="82" t="s">
        <v>105</v>
      </c>
      <c r="G36" s="82"/>
      <c r="H36" s="82"/>
      <c r="I36" s="82"/>
      <c r="J36" s="82"/>
      <c r="K36" s="82"/>
      <c r="L36" s="83" t="s">
        <v>106</v>
      </c>
      <c r="M36" s="82"/>
      <c r="N36" s="82"/>
      <c r="O36" s="82"/>
      <c r="P36" s="82"/>
      <c r="Q36" s="83" t="s">
        <v>107</v>
      </c>
      <c r="R36" s="83"/>
      <c r="S36" s="83"/>
      <c r="T36" s="83"/>
      <c r="U36" s="66"/>
    </row>
    <row r="37" s="1" customFormat="1" ht="27" customHeight="1" spans="1:22">
      <c r="A37" s="84">
        <v>3</v>
      </c>
      <c r="B37" s="81">
        <v>0.430555555555556</v>
      </c>
      <c r="C37" s="81"/>
      <c r="D37" s="81"/>
      <c r="E37" s="81"/>
      <c r="F37" s="82" t="s">
        <v>79</v>
      </c>
      <c r="G37" s="82"/>
      <c r="H37" s="82"/>
      <c r="I37" s="82"/>
      <c r="J37" s="82"/>
      <c r="K37" s="82"/>
      <c r="L37" s="83" t="s">
        <v>108</v>
      </c>
      <c r="M37" s="82"/>
      <c r="N37" s="82"/>
      <c r="O37" s="82"/>
      <c r="P37" s="82"/>
      <c r="Q37" s="82" t="s">
        <v>109</v>
      </c>
      <c r="R37" s="82"/>
      <c r="S37" s="82"/>
      <c r="T37" s="82"/>
      <c r="U37" s="85"/>
    </row>
    <row r="38" s="1" customFormat="1" ht="16" customHeight="1" spans="1:22">
      <c r="A38" s="84">
        <v>4</v>
      </c>
      <c r="B38" s="81"/>
      <c r="C38" s="81"/>
      <c r="D38" s="81"/>
      <c r="E38" s="81"/>
      <c r="F38" s="82"/>
      <c r="G38" s="82"/>
      <c r="H38" s="82"/>
      <c r="I38" s="82"/>
      <c r="J38" s="82"/>
      <c r="K38" s="82"/>
      <c r="L38" s="83"/>
      <c r="M38" s="82"/>
      <c r="N38" s="82"/>
      <c r="O38" s="82"/>
      <c r="P38" s="82"/>
      <c r="Q38" s="82"/>
      <c r="R38" s="82"/>
      <c r="S38" s="82"/>
      <c r="T38" s="82"/>
      <c r="U38" s="85"/>
    </row>
    <row r="39" s="1" customFormat="1" ht="16" customHeight="1" spans="1:22">
      <c r="A39" s="80">
        <v>5</v>
      </c>
      <c r="B39" s="81"/>
      <c r="C39" s="81"/>
      <c r="D39" s="81"/>
      <c r="E39" s="81"/>
      <c r="F39" s="82"/>
      <c r="G39" s="82"/>
      <c r="H39" s="82"/>
      <c r="I39" s="82"/>
      <c r="J39" s="82"/>
      <c r="K39" s="82"/>
      <c r="L39" s="83"/>
      <c r="M39" s="82"/>
      <c r="N39" s="82"/>
      <c r="O39" s="82"/>
      <c r="P39" s="82"/>
      <c r="Q39" s="82"/>
      <c r="R39" s="82"/>
      <c r="S39" s="82"/>
      <c r="T39" s="82"/>
      <c r="U39" s="85"/>
    </row>
    <row r="40" s="1" customFormat="1" ht="16" customHeight="1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88"/>
      <c r="N40" s="89" t="s">
        <v>110</v>
      </c>
      <c r="O40" s="90"/>
      <c r="P40" s="90"/>
      <c r="Q40" s="90"/>
      <c r="R40" s="90"/>
      <c r="S40" s="90"/>
      <c r="T40" s="90"/>
      <c r="U40" s="91"/>
    </row>
    <row r="41" s="1" customFormat="1" ht="16" customHeight="1" spans="1:22">
      <c r="A41" s="92"/>
      <c r="B41" s="93"/>
      <c r="C41" s="93" t="str">
        <f>"中卫"&amp;[1]调整策略与目标工况!D8+[1]调整策略与目标工况!D32</f>
        <v>中卫8500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  <c r="O41" s="95"/>
      <c r="P41" s="95"/>
      <c r="Q41" s="95"/>
      <c r="R41" s="95"/>
      <c r="S41" s="95"/>
      <c r="T41" s="95"/>
      <c r="U41" s="96"/>
    </row>
    <row r="42" s="1" customFormat="1" ht="16" customHeight="1" spans="1:2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  <c r="O42" s="95"/>
      <c r="P42" s="95"/>
      <c r="Q42" s="95"/>
      <c r="R42" s="95"/>
      <c r="S42" s="95"/>
      <c r="T42" s="95"/>
      <c r="U42" s="96"/>
    </row>
    <row r="43" s="1" customFormat="1" ht="16" customHeight="1" spans="1:22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4"/>
      <c r="O43" s="95"/>
      <c r="P43" s="95"/>
      <c r="Q43" s="95"/>
      <c r="R43" s="95"/>
      <c r="S43" s="95"/>
      <c r="T43" s="95"/>
      <c r="U43" s="96"/>
      <c r="V43" s="97"/>
    </row>
    <row r="44" s="1" customFormat="1" ht="16" customHeight="1" spans="1:22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4"/>
      <c r="O44" s="95"/>
      <c r="P44" s="95"/>
      <c r="Q44" s="95"/>
      <c r="R44" s="95"/>
      <c r="S44" s="95"/>
      <c r="T44" s="95"/>
      <c r="U44" s="96"/>
    </row>
    <row r="45" s="1" customFormat="1" ht="16" customHeight="1" spans="1:22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/>
      <c r="O45" s="95"/>
      <c r="P45" s="95"/>
      <c r="Q45" s="95"/>
      <c r="R45" s="95"/>
      <c r="S45" s="95"/>
      <c r="T45" s="95"/>
      <c r="U45" s="96"/>
    </row>
    <row r="46" s="1" customFormat="1" ht="16" customHeight="1" spans="1:22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4"/>
      <c r="O46" s="95"/>
      <c r="P46" s="95"/>
      <c r="Q46" s="95"/>
      <c r="R46" s="95"/>
      <c r="S46" s="95"/>
      <c r="T46" s="95"/>
      <c r="U46" s="96"/>
    </row>
    <row r="47" s="1" customFormat="1" ht="16" customHeight="1" spans="1:22">
      <c r="A47" s="92"/>
      <c r="B47" s="93"/>
      <c r="C47" s="93"/>
      <c r="D47" s="93"/>
      <c r="E47" s="93"/>
      <c r="F47" s="93"/>
      <c r="G47" s="93"/>
      <c r="H47" s="93"/>
      <c r="I47" s="93"/>
      <c r="J47" s="93" t="str">
        <f>"泰安"&amp;[1]调整策略与目标工况!D9</f>
        <v>泰安0</v>
      </c>
      <c r="K47" s="93"/>
      <c r="L47" s="93"/>
      <c r="M47" s="93"/>
      <c r="N47" s="94"/>
      <c r="O47" s="95"/>
      <c r="P47" s="95"/>
      <c r="Q47" s="95"/>
      <c r="R47" s="95"/>
      <c r="S47" s="95"/>
      <c r="T47" s="95"/>
      <c r="U47" s="96"/>
    </row>
    <row r="48" s="1" customFormat="1" ht="16" customHeight="1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95"/>
      <c r="P48" s="95"/>
      <c r="Q48" s="95"/>
      <c r="R48" s="95"/>
      <c r="S48" s="95"/>
      <c r="T48" s="95"/>
      <c r="U48" s="96"/>
    </row>
    <row r="49" s="1" customFormat="1" ht="16" customHeight="1" spans="1:2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4"/>
      <c r="O49" s="95"/>
      <c r="P49" s="95"/>
      <c r="Q49" s="95"/>
      <c r="R49" s="95"/>
      <c r="S49" s="95"/>
      <c r="T49" s="95"/>
      <c r="U49" s="96"/>
    </row>
    <row r="50" s="1" customFormat="1" ht="16" customHeight="1" spans="1:2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4"/>
      <c r="O50" s="95"/>
      <c r="P50" s="95"/>
      <c r="Q50" s="95"/>
      <c r="R50" s="95"/>
      <c r="S50" s="95"/>
      <c r="T50" s="95"/>
      <c r="U50" s="96"/>
    </row>
    <row r="51" s="1" customFormat="1" ht="16" customHeight="1" spans="1:2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4"/>
      <c r="O51" s="95"/>
      <c r="P51" s="95"/>
      <c r="Q51" s="95"/>
      <c r="R51" s="95"/>
      <c r="S51" s="95"/>
      <c r="T51" s="95"/>
      <c r="U51" s="96"/>
    </row>
    <row r="52" s="1" customFormat="1" ht="16" customHeight="1" spans="1:2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  <c r="O52" s="95"/>
      <c r="P52" s="95"/>
      <c r="Q52" s="95"/>
      <c r="R52" s="95"/>
      <c r="S52" s="95"/>
      <c r="T52" s="95"/>
      <c r="U52" s="96"/>
    </row>
    <row r="53" s="1" customFormat="1" ht="16" customHeight="1" spans="1:2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4"/>
      <c r="O53" s="95"/>
      <c r="P53" s="95"/>
      <c r="Q53" s="95"/>
      <c r="R53" s="95"/>
      <c r="S53" s="95"/>
      <c r="T53" s="95"/>
      <c r="U53" s="96"/>
    </row>
    <row r="54" s="1" customFormat="1" ht="16" customHeight="1" spans="1:2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4"/>
      <c r="O54" s="95"/>
      <c r="P54" s="95"/>
      <c r="Q54" s="95"/>
      <c r="R54" s="95"/>
      <c r="S54" s="95"/>
      <c r="T54" s="95"/>
      <c r="U54" s="96"/>
    </row>
    <row r="55" s="1" customFormat="1" ht="16" customHeight="1" spans="1:2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8"/>
      <c r="M55" s="98"/>
      <c r="N55" s="94"/>
      <c r="O55" s="95"/>
      <c r="P55" s="95"/>
      <c r="Q55" s="95"/>
      <c r="R55" s="95"/>
      <c r="S55" s="95"/>
      <c r="T55" s="95"/>
      <c r="U55" s="96"/>
    </row>
    <row r="56" s="1" customFormat="1" ht="16" customHeight="1" spans="1:21">
      <c r="A56" s="92"/>
      <c r="B56" s="93"/>
      <c r="C56" s="93"/>
      <c r="D56" s="93"/>
      <c r="E56" s="93"/>
      <c r="F56" s="93"/>
      <c r="G56" s="93"/>
      <c r="H56" s="93"/>
      <c r="I56" s="93"/>
      <c r="J56" s="93" t="str">
        <f>"南京"&amp;[1]调整策略与目标工况!I14</f>
        <v>南京200</v>
      </c>
      <c r="K56" s="93"/>
      <c r="L56" s="93"/>
      <c r="M56" s="93"/>
      <c r="N56" s="94"/>
      <c r="O56" s="95"/>
      <c r="P56" s="95"/>
      <c r="Q56" s="95"/>
      <c r="R56" s="95"/>
      <c r="S56" s="95"/>
      <c r="T56" s="95"/>
      <c r="U56" s="96"/>
    </row>
    <row r="57" s="1" customFormat="1" ht="16" customHeight="1" spans="1:21">
      <c r="A57" s="92"/>
      <c r="B57" s="93"/>
      <c r="C57" s="93"/>
      <c r="D57" s="93"/>
      <c r="E57" s="93"/>
      <c r="F57" s="93"/>
      <c r="G57" s="93"/>
      <c r="H57" s="93" t="str">
        <f>"黄陂"&amp;[1]调整策略与目标工况!D13</f>
        <v>黄陂0</v>
      </c>
      <c r="I57" s="93"/>
      <c r="J57" s="93"/>
      <c r="K57" s="93"/>
      <c r="L57" s="93"/>
      <c r="M57" s="93" t="str">
        <f>"甪直"&amp;[1]调整策略与目标工况!D12</f>
        <v>甪直1400</v>
      </c>
      <c r="N57" s="94"/>
      <c r="O57" s="95"/>
      <c r="P57" s="95"/>
      <c r="Q57" s="95"/>
      <c r="R57" s="95"/>
      <c r="S57" s="95"/>
      <c r="T57" s="95"/>
      <c r="U57" s="96"/>
    </row>
    <row r="58" s="1" customFormat="1" ht="16" customHeight="1" spans="1:21">
      <c r="A58" s="92"/>
      <c r="B58" s="93"/>
      <c r="C58" s="93"/>
      <c r="D58" s="93"/>
      <c r="E58" s="93" t="str">
        <f>"潜江"&amp;[1]调整策略与目标工况!D27</f>
        <v>潜江0</v>
      </c>
      <c r="F58" s="93"/>
      <c r="G58" s="93"/>
      <c r="H58" s="93"/>
      <c r="I58" s="93"/>
      <c r="J58" s="93"/>
      <c r="K58" s="93"/>
      <c r="L58" s="93"/>
      <c r="M58" s="93"/>
      <c r="N58" s="94"/>
      <c r="O58" s="95"/>
      <c r="P58" s="95"/>
      <c r="Q58" s="95"/>
      <c r="R58" s="95"/>
      <c r="S58" s="95"/>
      <c r="T58" s="95"/>
      <c r="U58" s="96"/>
    </row>
    <row r="59" s="1" customFormat="1" ht="16" customHeight="1" spans="1:21">
      <c r="A59" s="92"/>
      <c r="B59" s="93"/>
      <c r="C59" s="93"/>
      <c r="D59" s="93"/>
      <c r="E59" s="93"/>
      <c r="F59" s="93"/>
      <c r="G59" s="93"/>
      <c r="H59" s="93"/>
      <c r="I59" s="93" t="str">
        <f>"姜家湾"&amp;[1]调整策略与目标工况!I12</f>
        <v>姜家湾0</v>
      </c>
      <c r="J59" s="93"/>
      <c r="K59" s="93"/>
      <c r="L59" s="93"/>
      <c r="M59" s="93"/>
      <c r="N59" s="94"/>
      <c r="O59" s="95"/>
      <c r="P59" s="95"/>
      <c r="Q59" s="95"/>
      <c r="R59" s="95"/>
      <c r="S59" s="95"/>
      <c r="T59" s="95"/>
      <c r="U59" s="96"/>
    </row>
    <row r="60" s="1" customFormat="1" ht="16" customHeight="1" spans="1:2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  <c r="O60" s="95"/>
      <c r="P60" s="95"/>
      <c r="Q60" s="95"/>
      <c r="R60" s="95"/>
      <c r="S60" s="95"/>
      <c r="T60" s="95"/>
      <c r="U60" s="96"/>
    </row>
    <row r="61" s="1" customFormat="1" ht="16" customHeight="1" spans="1:2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4"/>
      <c r="O61" s="95"/>
      <c r="P61" s="95"/>
      <c r="Q61" s="95"/>
      <c r="R61" s="95"/>
      <c r="S61" s="95"/>
      <c r="T61" s="95"/>
      <c r="U61" s="96"/>
    </row>
    <row r="62" s="1" customFormat="1" ht="16" customHeight="1" spans="1:21">
      <c r="A62" s="92"/>
      <c r="B62" s="93"/>
      <c r="C62" s="93"/>
      <c r="D62" s="93"/>
      <c r="E62" s="93"/>
      <c r="F62" s="93" t="str">
        <f>"潜江"&amp;[1]调整策略与目标工况!I11+[1]调整策略与目标工况!I20</f>
        <v>潜江400</v>
      </c>
      <c r="G62" s="93"/>
      <c r="H62" s="93"/>
      <c r="I62" s="93"/>
      <c r="J62" s="93"/>
      <c r="K62" s="93"/>
      <c r="L62" s="93"/>
      <c r="M62" s="93"/>
      <c r="N62" s="94"/>
      <c r="O62" s="95"/>
      <c r="P62" s="95"/>
      <c r="Q62" s="95"/>
      <c r="R62" s="95"/>
      <c r="S62" s="95"/>
      <c r="T62" s="95"/>
      <c r="U62" s="96"/>
    </row>
    <row r="63" s="1" customFormat="1" ht="16" customHeight="1" spans="1:21">
      <c r="A63" s="92"/>
      <c r="B63" s="93"/>
      <c r="C63" s="93"/>
      <c r="D63" s="93"/>
      <c r="E63" s="93" t="str">
        <f>"宜昌"&amp;[1]调整策略与目标工况!D26</f>
        <v>宜昌200</v>
      </c>
      <c r="F63" s="93"/>
      <c r="G63" s="93"/>
      <c r="H63" s="93" t="str">
        <f>"仙桃"&amp;[1]调整策略与目标工况!D18+[1]调整策略与目标工况!D19</f>
        <v>仙桃1850</v>
      </c>
      <c r="I63" s="93"/>
      <c r="J63" s="93"/>
      <c r="K63" s="93"/>
      <c r="L63" s="93"/>
      <c r="M63" s="93"/>
      <c r="N63" s="94"/>
      <c r="O63" s="95"/>
      <c r="P63" s="95"/>
      <c r="Q63" s="95"/>
      <c r="R63" s="95"/>
      <c r="S63" s="95"/>
      <c r="T63" s="95"/>
      <c r="U63" s="96"/>
    </row>
    <row r="64" s="1" customFormat="1" ht="16" customHeight="1" spans="1:21">
      <c r="A64" s="92"/>
      <c r="B64" s="93"/>
      <c r="C64" s="93"/>
      <c r="D64" s="93"/>
      <c r="E64" s="93"/>
      <c r="F64" s="93" t="str">
        <f>"安沙"&amp;[1]调整策略与目标工况!D24</f>
        <v>安沙200</v>
      </c>
      <c r="G64" s="93"/>
      <c r="H64" s="93"/>
      <c r="I64" s="93"/>
      <c r="J64" s="93"/>
      <c r="K64" s="93"/>
      <c r="L64" s="93"/>
      <c r="M64" s="93"/>
      <c r="N64" s="94"/>
      <c r="O64" s="95"/>
      <c r="P64" s="95"/>
      <c r="Q64" s="95"/>
      <c r="R64" s="95"/>
      <c r="S64" s="95"/>
      <c r="T64" s="95"/>
      <c r="U64" s="96"/>
    </row>
    <row r="65" s="1" customFormat="1" ht="16" customHeight="1" spans="1:2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4"/>
      <c r="O65" s="95"/>
      <c r="P65" s="95"/>
      <c r="Q65" s="95"/>
      <c r="R65" s="95"/>
      <c r="S65" s="95"/>
      <c r="T65" s="95"/>
      <c r="U65" s="96"/>
    </row>
    <row r="66" s="1" customFormat="1" ht="16" customHeight="1" spans="1:2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4"/>
      <c r="O66" s="95"/>
      <c r="P66" s="95"/>
      <c r="Q66" s="95"/>
      <c r="R66" s="95"/>
      <c r="S66" s="95"/>
      <c r="T66" s="95"/>
      <c r="U66" s="96"/>
    </row>
    <row r="67" s="1" customFormat="1" ht="16" customHeight="1" spans="1:2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4"/>
      <c r="O67" s="95"/>
      <c r="P67" s="95"/>
      <c r="Q67" s="95"/>
      <c r="R67" s="95"/>
      <c r="S67" s="95"/>
      <c r="T67" s="95"/>
      <c r="U67" s="96"/>
    </row>
    <row r="68" s="1" customFormat="1" ht="16" customHeight="1" spans="1:21">
      <c r="A68" s="92"/>
      <c r="B68" s="93"/>
      <c r="C68" s="93"/>
      <c r="D68" s="93" t="str">
        <f>"桂林"&amp;[1]调整策略与目标工况!I22</f>
        <v>桂林250</v>
      </c>
      <c r="E68" s="93"/>
      <c r="F68" s="93"/>
      <c r="G68" s="93"/>
      <c r="H68" s="93"/>
      <c r="I68" s="93" t="str">
        <f>"省网韶关"&amp;[1]调整策略与目标工况!I21</f>
        <v>省网韶关200</v>
      </c>
      <c r="J68" s="93"/>
      <c r="K68" s="93"/>
      <c r="L68" s="93"/>
      <c r="M68" s="93"/>
      <c r="N68" s="94"/>
      <c r="O68" s="95"/>
      <c r="P68" s="95"/>
      <c r="Q68" s="95"/>
      <c r="R68" s="95"/>
      <c r="S68" s="95"/>
      <c r="T68" s="95"/>
      <c r="U68" s="96"/>
    </row>
    <row r="69" s="1" customFormat="1" ht="16" customHeight="1" spans="1:21">
      <c r="A69" s="92"/>
      <c r="B69" s="93"/>
      <c r="C69" s="93"/>
      <c r="D69" s="93"/>
      <c r="E69" s="93"/>
      <c r="F69" s="93"/>
      <c r="G69" s="93"/>
      <c r="H69" s="93"/>
      <c r="I69" s="93" t="str">
        <f>"二线韶关"&amp;[1]调整策略与目标工况!I23</f>
        <v>二线韶关0</v>
      </c>
      <c r="J69" s="93"/>
      <c r="K69" s="93"/>
      <c r="L69" s="93"/>
      <c r="M69" s="93"/>
      <c r="N69" s="94"/>
      <c r="O69" s="95"/>
      <c r="P69" s="95"/>
      <c r="Q69" s="95"/>
      <c r="R69" s="95"/>
      <c r="S69" s="95"/>
      <c r="T69" s="95"/>
      <c r="U69" s="96"/>
    </row>
    <row r="70" s="1" customFormat="1" ht="16" customHeight="1" spans="1:21">
      <c r="A70" s="92"/>
      <c r="B70" s="99"/>
      <c r="C70" s="99"/>
      <c r="D70" s="99"/>
      <c r="E70" s="99"/>
      <c r="F70" s="99"/>
      <c r="G70" s="99"/>
      <c r="H70" s="99"/>
      <c r="I70" s="99"/>
      <c r="J70" s="99"/>
      <c r="K70" s="93"/>
      <c r="L70" s="99"/>
      <c r="M70" s="99"/>
      <c r="N70" s="100"/>
      <c r="O70" s="101"/>
      <c r="P70" s="101"/>
      <c r="Q70" s="101"/>
      <c r="R70" s="101"/>
      <c r="S70" s="101"/>
      <c r="T70" s="101"/>
      <c r="U70" s="102"/>
    </row>
    <row r="71" s="1" customFormat="1" ht="16" customHeight="1" spans="1:21">
      <c r="A71" s="103" t="s">
        <v>111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5"/>
    </row>
    <row r="72" s="1" customFormat="1" ht="16" customHeight="1" spans="1:2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8"/>
    </row>
    <row r="73" s="1" customFormat="1" ht="16" customHeight="1" spans="1:2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8"/>
    </row>
    <row r="74" s="1" customFormat="1" ht="16" customHeight="1" spans="1:2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8"/>
    </row>
    <row r="75" s="1" customFormat="1" ht="16" customHeight="1" spans="1:21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8"/>
    </row>
    <row r="76" s="1" customFormat="1" ht="16" customHeight="1" spans="1:2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8"/>
    </row>
    <row r="77" s="1" customFormat="1" ht="16" customHeight="1" spans="1:21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8"/>
    </row>
    <row r="78" s="1" customFormat="1" ht="16" customHeight="1" spans="1:21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8"/>
    </row>
    <row r="79" s="1" customFormat="1" ht="16" customHeight="1" spans="1:2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</row>
    <row r="80" s="1" customFormat="1" ht="16" customHeight="1" spans="1:21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8"/>
    </row>
    <row r="81" s="1" customFormat="1" spans="1:21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</row>
    <row r="82" s="1" customFormat="1" spans="1:21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8"/>
    </row>
    <row r="83" s="1" customFormat="1" ht="26" customHeight="1" spans="1:21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</row>
    <row r="87" s="1" customFormat="1" spans="1:21">
      <c r="L87" s="97"/>
      <c r="R87" s="112"/>
    </row>
    <row r="91" s="1" customFormat="1" spans="1:21">
      <c r="J91" s="97"/>
    </row>
    <row r="93" s="1" customFormat="1" spans="1:21">
      <c r="L93" s="97" t="s">
        <v>112</v>
      </c>
    </row>
    <row r="94" s="1" customFormat="1" spans="1:21">
      <c r="L94" s="97"/>
    </row>
    <row r="95" s="1" customFormat="1" spans="1:21">
      <c r="L95" s="97" t="s">
        <v>112</v>
      </c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2026-04-29T02:59:13Z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FFA457561AEF41B28595F09D347EBAAB_13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