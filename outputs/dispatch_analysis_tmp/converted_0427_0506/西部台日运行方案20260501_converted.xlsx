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405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8AE06C006B446D9A644C10A535E59A" descr="20260429-101247"/>
        <xdr:cNvPicPr/>
      </xdr:nvPicPr>
      <xdr:blipFill>
        <a:blip r:embed="rId1"/>
        <a:stretch>
          <a:fillRect/>
        </a:stretch>
      </xdr:blipFill>
      <xdr:spPr>
        <a:xfrm>
          <a:off x="0" y="0"/>
          <a:ext cx="9867900" cy="79819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<sst xmlns="http://schemas.openxmlformats.org/spreadsheetml/2006/main" count="149" uniqueCount="97">
  <si>
    <t>西部调度台日运行方案</t>
  </si>
  <si>
    <t>日期：2026年5月1日                                                          后端调度员：刘麦伦</t>
  </si>
  <si>
    <t>一、当日运行思路</t>
  </si>
  <si>
    <t>二、上下载计划</t>
  </si>
  <si>
    <t>上载站场</t>
  </si>
  <si>
    <t>总</t>
  </si>
  <si>
    <t>霍尔果斯</t>
  </si>
  <si>
    <t>轮南
（总）</t>
  </si>
  <si>
    <t>塔里木油田</t>
  </si>
  <si>
    <t>西北油田</t>
  </si>
  <si>
    <t>庆华</t>
  </si>
  <si>
    <t>新天</t>
  </si>
  <si>
    <t>青海</t>
  </si>
  <si>
    <t>长宁靖边</t>
  </si>
  <si>
    <t>呼图壁
（采）</t>
  </si>
  <si>
    <t>温吉桑
（采）</t>
  </si>
  <si>
    <t>管线下载</t>
  </si>
  <si>
    <t>西一线</t>
  </si>
  <si>
    <t>西二线</t>
  </si>
  <si>
    <t>西三线</t>
  </si>
  <si>
    <t>兰银线</t>
  </si>
  <si>
    <t>涩宁兰</t>
  </si>
  <si>
    <t>长宁线</t>
  </si>
  <si>
    <t>今日日指定</t>
  </si>
  <si>
    <t>昨日日指定</t>
  </si>
  <si>
    <t>日指定变化</t>
  </si>
  <si>
    <t>三、平衡预测</t>
  </si>
  <si>
    <t>四、转供量</t>
  </si>
  <si>
    <t>管道</t>
  </si>
  <si>
    <t>西二三四线</t>
  </si>
  <si>
    <t>涩兰长</t>
  </si>
  <si>
    <t>当日管存</t>
  </si>
  <si>
    <t>早8:00平衡</t>
  </si>
  <si>
    <t>调整后平衡</t>
  </si>
  <si>
    <t>调整思路：维持西段机组高负荷运行。</t>
  </si>
  <si>
    <t>次日管存预测</t>
  </si>
  <si>
    <t>五、管道运行参数</t>
  </si>
  <si>
    <t>站场</t>
  </si>
  <si>
    <t>进站压力</t>
  </si>
  <si>
    <t>出站压力</t>
  </si>
  <si>
    <t>流量</t>
  </si>
  <si>
    <t>转速</t>
  </si>
  <si>
    <t>台数</t>
  </si>
  <si>
    <t>效率</t>
  </si>
  <si>
    <t>转供站场</t>
  </si>
  <si>
    <t>今日转供</t>
  </si>
  <si>
    <t>能否完成</t>
  </si>
  <si>
    <t>关键点</t>
  </si>
  <si>
    <t>压力</t>
  </si>
  <si>
    <t>高</t>
  </si>
  <si>
    <t>轮南</t>
  </si>
  <si>
    <t>红柳</t>
  </si>
  <si>
    <t>能</t>
  </si>
  <si>
    <t>温吉桑27#</t>
  </si>
  <si>
    <t>精河</t>
  </si>
  <si>
    <t>孔雀河</t>
  </si>
  <si>
    <t>中卫</t>
  </si>
  <si>
    <t>昌吉</t>
  </si>
  <si>
    <t>乌苏</t>
  </si>
  <si>
    <t>四道班</t>
  </si>
  <si>
    <t>/</t>
  </si>
  <si>
    <t>吐鲁番</t>
  </si>
  <si>
    <t>轮吐15#</t>
  </si>
  <si>
    <t>玛纳斯</t>
  </si>
  <si>
    <t>鄯善</t>
  </si>
  <si>
    <t>河口</t>
  </si>
  <si>
    <t>银川</t>
  </si>
  <si>
    <t>乌鲁木齐</t>
  </si>
  <si>
    <t>哈密</t>
  </si>
  <si>
    <t>甘塘</t>
  </si>
  <si>
    <t>连木沁</t>
  </si>
  <si>
    <t>雅满苏</t>
  </si>
  <si>
    <t>了墩</t>
  </si>
  <si>
    <t>烟墩</t>
  </si>
  <si>
    <t>柳园</t>
  </si>
  <si>
    <t>涩北</t>
  </si>
  <si>
    <t>玉门</t>
  </si>
  <si>
    <t>羊肠子沟</t>
  </si>
  <si>
    <t>瓜州</t>
  </si>
  <si>
    <t>酒泉</t>
  </si>
  <si>
    <t>乌兰</t>
  </si>
  <si>
    <t>嘉峪关</t>
  </si>
  <si>
    <t>山丹</t>
  </si>
  <si>
    <t>湖东</t>
  </si>
  <si>
    <t>张掖</t>
  </si>
  <si>
    <t>金昌</t>
  </si>
  <si>
    <t>永昌</t>
  </si>
  <si>
    <t>古浪</t>
  </si>
  <si>
    <t>六、计划调整</t>
  </si>
  <si>
    <t>调整时间</t>
  </si>
  <si>
    <t>调整点</t>
  </si>
  <si>
    <t>调整原因</t>
  </si>
  <si>
    <t>调整措施</t>
  </si>
  <si>
    <t>兰银线甘塘站</t>
  </si>
  <si>
    <t>保持区域平衡</t>
  </si>
  <si>
    <t>西二线甘塘下载量由450万方/天降至250万方/天</t>
  </si>
  <si>
    <t>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</si>
</sst>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0"/>
    <numFmt numFmtId="178" formatCode="0.0_ "/>
  </numFmts>
  <fonts count="31"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黑体"/>
      <family val="3"/>
      <charset val="134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9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9"/>
      <color rgb="FF000000"/>
      <name val="宋体"/>
      <charset val="134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7" applyNumberFormat="0" applyFill="0" applyAlignment="0" applyProtection="0">
      <alignment vertical="center"/>
    </xf>
    <xf numFmtId="0" fontId="21" fillId="0" borderId="4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49" applyNumberFormat="0" applyAlignment="0" applyProtection="0">
      <alignment vertical="center"/>
    </xf>
    <xf numFmtId="0" fontId="23" fillId="6" borderId="50" applyNumberFormat="0" applyAlignment="0" applyProtection="0">
      <alignment vertical="center"/>
    </xf>
    <xf numFmtId="0" fontId="24" fillId="6" borderId="49" applyNumberFormat="0" applyAlignment="0" applyProtection="0">
      <alignment vertical="center"/>
    </xf>
    <xf numFmtId="0" fontId="25" fillId="7" borderId="51" applyNumberFormat="0" applyAlignment="0" applyProtection="0">
      <alignment vertical="center"/>
    </xf>
    <xf numFmtId="0" fontId="26" fillId="0" borderId="52" applyNumberFormat="0" applyFill="0" applyAlignment="0" applyProtection="0">
      <alignment vertical="center"/>
    </xf>
    <xf numFmtId="0" fontId="12" fillId="0" borderId="53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148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176" fontId="6" fillId="0" borderId="11" xfId="0" applyNumberFormat="1" applyFont="1" applyFill="1" applyBorder="1" applyAlignment="1">
      <alignment horizontal="center" vertical="center" wrapText="1"/>
    </xf>
    <xf numFmtId="176" fontId="6" fillId="0" borderId="18" xfId="0" applyNumberFormat="1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176" fontId="7" fillId="0" borderId="21" xfId="0" applyNumberFormat="1" applyFont="1" applyFill="1" applyBorder="1" applyAlignment="1">
      <alignment horizontal="center" vertical="center" wrapText="1"/>
    </xf>
    <xf numFmtId="176" fontId="6" fillId="0" borderId="21" xfId="0" applyNumberFormat="1" applyFont="1" applyFill="1" applyBorder="1" applyAlignment="1">
      <alignment horizontal="center" vertical="center" wrapText="1"/>
    </xf>
    <xf numFmtId="176" fontId="6" fillId="0" borderId="22" xfId="0" applyNumberFormat="1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left" vertical="center"/>
    </xf>
    <xf numFmtId="0" fontId="4" fillId="0" borderId="25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6" fillId="0" borderId="26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176" fontId="6" fillId="0" borderId="29" xfId="0" applyNumberFormat="1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177" fontId="6" fillId="0" borderId="11" xfId="0" applyNumberFormat="1" applyFont="1" applyFill="1" applyBorder="1" applyAlignment="1">
      <alignment horizontal="center" vertical="center" wrapText="1"/>
    </xf>
    <xf numFmtId="177" fontId="6" fillId="0" borderId="29" xfId="0" applyNumberFormat="1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176" fontId="4" fillId="0" borderId="21" xfId="0" applyNumberFormat="1" applyFont="1" applyFill="1" applyBorder="1" applyAlignment="1">
      <alignment horizontal="center" vertical="center"/>
    </xf>
    <xf numFmtId="176" fontId="4" fillId="0" borderId="33" xfId="0" applyNumberFormat="1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wrapText="1"/>
    </xf>
    <xf numFmtId="0" fontId="6" fillId="0" borderId="27" xfId="0" applyFont="1" applyFill="1" applyBorder="1" applyAlignment="1">
      <alignment horizontal="center" vertical="center" wrapText="1"/>
    </xf>
    <xf numFmtId="178" fontId="6" fillId="2" borderId="11" xfId="0" applyNumberFormat="1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176" fontId="6" fillId="2" borderId="11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178" fontId="7" fillId="2" borderId="11" xfId="0" applyNumberFormat="1" applyFont="1" applyFill="1" applyBorder="1" applyAlignment="1">
      <alignment horizontal="center" vertical="center" wrapText="1"/>
    </xf>
    <xf numFmtId="176" fontId="7" fillId="2" borderId="11" xfId="0" applyNumberFormat="1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178" fontId="7" fillId="3" borderId="11" xfId="0" applyNumberFormat="1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178" fontId="7" fillId="2" borderId="18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176" fontId="7" fillId="0" borderId="11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178" fontId="7" fillId="0" borderId="36" xfId="0" applyNumberFormat="1" applyFont="1" applyFill="1" applyBorder="1" applyAlignment="1">
      <alignment horizontal="center" vertical="center" wrapText="1"/>
    </xf>
    <xf numFmtId="0" fontId="7" fillId="0" borderId="36" xfId="0" applyFont="1" applyFill="1" applyBorder="1" applyAlignment="1">
      <alignment horizontal="center" vertical="center" wrapText="1"/>
    </xf>
    <xf numFmtId="0" fontId="7" fillId="0" borderId="30" xfId="0" applyFont="1" applyFill="1" applyBorder="1" applyAlignment="1">
      <alignment horizontal="center" vertical="center" wrapText="1"/>
    </xf>
    <xf numFmtId="0" fontId="7" fillId="0" borderId="37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 wrapText="1"/>
    </xf>
    <xf numFmtId="178" fontId="7" fillId="2" borderId="22" xfId="0" applyNumberFormat="1" applyFont="1" applyFill="1" applyBorder="1" applyAlignment="1">
      <alignment horizontal="center" vertical="center" wrapText="1"/>
    </xf>
    <xf numFmtId="0" fontId="6" fillId="0" borderId="38" xfId="0" applyFont="1" applyFill="1" applyBorder="1" applyAlignment="1">
      <alignment horizontal="center" vertical="center" wrapText="1"/>
    </xf>
    <xf numFmtId="178" fontId="7" fillId="0" borderId="39" xfId="0" applyNumberFormat="1" applyFont="1" applyFill="1" applyBorder="1" applyAlignment="1">
      <alignment horizontal="center" vertical="center" wrapText="1"/>
    </xf>
    <xf numFmtId="176" fontId="7" fillId="2" borderId="29" xfId="0" applyNumberFormat="1" applyFont="1" applyFill="1" applyBorder="1" applyAlignment="1">
      <alignment horizontal="center" vertical="center" wrapText="1"/>
    </xf>
    <xf numFmtId="178" fontId="7" fillId="0" borderId="40" xfId="0" applyNumberFormat="1" applyFont="1" applyFill="1" applyBorder="1" applyAlignment="1">
      <alignment horizontal="center" vertical="center" wrapText="1"/>
    </xf>
    <xf numFmtId="178" fontId="3" fillId="2" borderId="0" xfId="0" applyNumberFormat="1" applyFont="1" applyFill="1" applyBorder="1" applyAlignment="1">
      <alignment horizontal="center" vertical="center"/>
    </xf>
    <xf numFmtId="0" fontId="7" fillId="0" borderId="40" xfId="0" applyFont="1" applyFill="1" applyBorder="1" applyAlignment="1">
      <alignment horizontal="center" vertical="center" wrapText="1"/>
    </xf>
    <xf numFmtId="178" fontId="7" fillId="2" borderId="21" xfId="0" applyNumberFormat="1" applyFont="1" applyFill="1" applyBorder="1" applyAlignment="1">
      <alignment horizontal="center" vertical="center" wrapText="1"/>
    </xf>
    <xf numFmtId="176" fontId="6" fillId="2" borderId="21" xfId="0" applyNumberFormat="1" applyFont="1" applyFill="1" applyBorder="1" applyAlignment="1">
      <alignment horizontal="center" vertical="center" wrapText="1"/>
    </xf>
    <xf numFmtId="176" fontId="7" fillId="2" borderId="21" xfId="0" applyNumberFormat="1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0" borderId="41" xfId="0" applyFont="1" applyFill="1" applyBorder="1" applyAlignment="1">
      <alignment horizontal="center" vertical="center" wrapText="1"/>
    </xf>
    <xf numFmtId="178" fontId="6" fillId="2" borderId="21" xfId="0" applyNumberFormat="1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vertical="center"/>
    </xf>
    <xf numFmtId="0" fontId="3" fillId="0" borderId="12" xfId="0" applyFont="1" applyFill="1" applyBorder="1" applyAlignment="1">
      <alignment vertical="center"/>
    </xf>
    <xf numFmtId="20" fontId="3" fillId="0" borderId="26" xfId="0" applyNumberFormat="1" applyFont="1" applyFill="1" applyBorder="1" applyAlignment="1">
      <alignment horizontal="center" vertical="center"/>
    </xf>
    <xf numFmtId="20" fontId="3" fillId="0" borderId="42" xfId="0" applyNumberFormat="1" applyFont="1" applyFill="1" applyBorder="1" applyAlignment="1">
      <alignment horizontal="center" vertical="center"/>
    </xf>
    <xf numFmtId="20" fontId="3" fillId="0" borderId="27" xfId="0" applyNumberFormat="1" applyFont="1" applyFill="1" applyBorder="1" applyAlignment="1">
      <alignment horizontal="center" vertical="center"/>
    </xf>
    <xf numFmtId="20" fontId="3" fillId="0" borderId="13" xfId="0" applyNumberFormat="1" applyFont="1" applyFill="1" applyBorder="1" applyAlignment="1">
      <alignment horizontal="center" vertical="center"/>
    </xf>
    <xf numFmtId="20" fontId="3" fillId="0" borderId="28" xfId="0" applyNumberFormat="1" applyFont="1" applyFill="1" applyBorder="1" applyAlignment="1">
      <alignment horizontal="center" vertical="center"/>
    </xf>
    <xf numFmtId="176" fontId="3" fillId="0" borderId="43" xfId="0" applyNumberFormat="1" applyFont="1" applyFill="1" applyBorder="1" applyAlignment="1">
      <alignment horizontal="center" vertical="center"/>
    </xf>
    <xf numFmtId="20" fontId="3" fillId="2" borderId="11" xfId="0" applyNumberFormat="1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176" fontId="3" fillId="0" borderId="11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20" fontId="3" fillId="0" borderId="11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vertical="center"/>
    </xf>
    <xf numFmtId="0" fontId="11" fillId="0" borderId="7" xfId="0" applyFont="1" applyFill="1" applyBorder="1" applyAlignment="1">
      <alignment vertical="center"/>
    </xf>
    <xf numFmtId="0" fontId="11" fillId="0" borderId="7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center" vertical="top"/>
    </xf>
    <xf numFmtId="0" fontId="1" fillId="0" borderId="8" xfId="0" applyFont="1" applyFill="1" applyBorder="1" applyAlignment="1">
      <alignment horizontal="center" vertical="top"/>
    </xf>
    <xf numFmtId="0" fontId="11" fillId="0" borderId="4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1" fillId="0" borderId="5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center" vertical="top"/>
    </xf>
    <xf numFmtId="0" fontId="1" fillId="0" borderId="10" xfId="0" applyFont="1" applyFill="1" applyBorder="1" applyAlignment="1">
      <alignment horizontal="center" vertical="top"/>
    </xf>
    <xf numFmtId="0" fontId="1" fillId="0" borderId="45" xfId="0" applyFont="1" applyFill="1" applyBorder="1" applyAlignment="1">
      <alignment horizontal="center" vertical="top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0" fontId="1" fillId="0" borderId="9" xfId="0" applyFont="1" applyFill="1" applyBorder="1" applyAlignment="1">
      <alignment horizontal="left" vertical="top"/>
    </xf>
    <xf numFmtId="0" fontId="1" fillId="0" borderId="10" xfId="0" applyFont="1" applyFill="1" applyBorder="1" applyAlignment="1">
      <alignment horizontal="left" vertical="top"/>
    </xf>
    <xf numFmtId="0" fontId="1" fillId="0" borderId="45" xfId="0" applyFont="1" applyFill="1" applyBorder="1" applyAlignment="1">
      <alignment horizontal="left" vertical="top"/>
    </xf>
    <xf numFmtId="0" fontId="12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ont>
        <b val="0"/>
        <i val="0"/>
        <strike val="0"/>
        <color rgb="FFFF0000"/>
      </font>
      <numFmt numFmtId="179" formatCode="0.00_ "/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secondRowStripe" dxfId="3"/>
      <tableStyleElement type="firstColumnStripe" dxfId="2"/>
      <tableStyleElement type="secondColumnStripe" dxfId="1"/>
    </tableStyle>
    <tableStyle name="TableStylePreset8_Accent1 1" pivot="0" count="7" xr9:uid="{1B337181-CC51-450B-ABBF-776CDEE9F7E5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00CCE8CF"/>
      <color rgb="00FF0000"/>
      <color rgb="00C9E4B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jpe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94</xdr:row>
      <xdr:rowOff>0</xdr:rowOff>
    </xdr:from>
    <xdr:to>
      <xdr:col>11</xdr:col>
      <xdr:colOff>304800</xdr:colOff>
      <xdr:row>95</xdr:row>
      <xdr:rowOff>133350</xdr:rowOff>
    </xdr:to>
    <xdr:sp>
      <xdr:nvSpPr>
        <xdr:cNvPr id="1062" name="图片 5"/>
        <xdr:cNvSpPr>
          <a:spLocks noChangeAspect="1"/>
        </xdr:cNvSpPr>
      </xdr:nvSpPr>
      <xdr:spPr>
        <a:xfrm>
          <a:off x="7560945" y="1988185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11</xdr:col>
      <xdr:colOff>0</xdr:colOff>
      <xdr:row>94</xdr:row>
      <xdr:rowOff>0</xdr:rowOff>
    </xdr:from>
    <xdr:to>
      <xdr:col>11</xdr:col>
      <xdr:colOff>304800</xdr:colOff>
      <xdr:row>95</xdr:row>
      <xdr:rowOff>133350</xdr:rowOff>
    </xdr:to>
    <xdr:sp>
      <xdr:nvSpPr>
        <xdr:cNvPr id="1063" name="图片 5"/>
        <xdr:cNvSpPr>
          <a:spLocks noChangeAspect="1"/>
        </xdr:cNvSpPr>
      </xdr:nvSpPr>
      <xdr:spPr>
        <a:xfrm>
          <a:off x="7560945" y="1988185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>
    <xdr:from>
      <xdr:col>0</xdr:col>
      <xdr:colOff>635</xdr:colOff>
      <xdr:row>37</xdr:row>
      <xdr:rowOff>200660</xdr:rowOff>
    </xdr:from>
    <xdr:to>
      <xdr:col>12</xdr:col>
      <xdr:colOff>772160</xdr:colOff>
      <xdr:row>70</xdr:row>
      <xdr:rowOff>193675</xdr:rowOff>
    </xdr:to>
    <xdr:pic>
      <xdr:nvPicPr>
        <xdr:cNvPr id="1064" name="图片 3"/>
        <xdr:cNvPicPr>
          <a:picLocks noChangeAspect="1"/>
        </xdr:cNvPicPr>
      </xdr:nvPicPr>
      <xdr:blipFill>
        <a:blip r:embed="rId1">
          <a:clrChange>
            <a:clrFrom>
              <a:srgbClr val="FFFAE8"/>
            </a:clrFrom>
            <a:clrTo>
              <a:srgbClr val="FFFAE8">
                <a:alpha val="0"/>
              </a:srgbClr>
            </a:clrTo>
          </a:clrChange>
        </a:blip>
        <a:stretch>
          <a:fillRect/>
        </a:stretch>
      </xdr:blipFill>
      <xdr:spPr>
        <a:xfrm>
          <a:off x="635" y="8500110"/>
          <a:ext cx="9093835" cy="6978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94</xdr:row>
      <xdr:rowOff>0</xdr:rowOff>
    </xdr:from>
    <xdr:to>
      <xdr:col>11</xdr:col>
      <xdr:colOff>304800</xdr:colOff>
      <xdr:row>95</xdr:row>
      <xdr:rowOff>133350</xdr:rowOff>
    </xdr:to>
    <xdr:sp>
      <xdr:nvSpPr>
        <xdr:cNvPr id="1065" name="图片 5"/>
        <xdr:cNvSpPr>
          <a:spLocks noChangeAspect="1"/>
        </xdr:cNvSpPr>
      </xdr:nvSpPr>
      <xdr:spPr>
        <a:xfrm>
          <a:off x="7560945" y="1988185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11</xdr:col>
      <xdr:colOff>0</xdr:colOff>
      <xdr:row>94</xdr:row>
      <xdr:rowOff>0</xdr:rowOff>
    </xdr:from>
    <xdr:to>
      <xdr:col>11</xdr:col>
      <xdr:colOff>304800</xdr:colOff>
      <xdr:row>95</xdr:row>
      <xdr:rowOff>133350</xdr:rowOff>
    </xdr:to>
    <xdr:sp>
      <xdr:nvSpPr>
        <xdr:cNvPr id="1066" name="图片 5"/>
        <xdr:cNvSpPr>
          <a:spLocks noChangeAspect="1"/>
        </xdr:cNvSpPr>
      </xdr:nvSpPr>
      <xdr:spPr>
        <a:xfrm>
          <a:off x="7560945" y="1988185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>
    <xdr:from>
      <xdr:col>0</xdr:col>
      <xdr:colOff>21590</xdr:colOff>
      <xdr:row>39</xdr:row>
      <xdr:rowOff>36830</xdr:rowOff>
    </xdr:from>
    <xdr:to>
      <xdr:col>12</xdr:col>
      <xdr:colOff>793115</xdr:colOff>
      <xdr:row>68</xdr:row>
      <xdr:rowOff>17780</xdr:rowOff>
    </xdr:to>
    <xdr:pic>
      <xdr:nvPicPr>
        <xdr:cNvPr id="1067" name="图片 3"/>
        <xdr:cNvPicPr>
          <a:picLocks noChangeAspect="1"/>
        </xdr:cNvPicPr>
      </xdr:nvPicPr>
      <xdr:blipFill>
        <a:blip r:embed="rId1">
          <a:clrChange>
            <a:clrFrom>
              <a:srgbClr val="FFFAE8"/>
            </a:clrFrom>
            <a:clrTo>
              <a:srgbClr val="FFFAE8">
                <a:alpha val="0"/>
              </a:srgbClr>
            </a:clrTo>
          </a:clrChange>
        </a:blip>
        <a:stretch>
          <a:fillRect/>
        </a:stretch>
      </xdr:blipFill>
      <xdr:spPr>
        <a:xfrm>
          <a:off x="21590" y="9022080"/>
          <a:ext cx="9093835" cy="5873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6631;&#20934;&#21270;&#35199;&#37096;&#35843;&#24230;&#21488;\2.&#29983;&#20135;&#24037;&#20316;\2.2%20&#20132;&#25509;&#29677;&#24037;&#20316;\2.2.3%20&#20132;&#25509;&#29677;&#26085;&#25253;&#65288;2026.04.04&#21551;&#29992;&#65289;\&#35199;&#37096;&#26085;&#36816;&#34892;&#26041;&#26696;2026050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.西部台日指定完成情况"/>
      <sheetName val="2.西部气源日指定"/>
      <sheetName val="3.调整策略与目标工况"/>
      <sheetName val="日运行方案 （1100）"/>
      <sheetName val="交接班日志（0730）"/>
      <sheetName val="交接班日志（1730）"/>
      <sheetName val="偏差分析与评价"/>
      <sheetName val="西一线仿真专用（勿动）"/>
      <sheetName val="西二三四线仿真专用（勿动）"/>
      <sheetName val="涩兰长仿真专用（勿动）"/>
    </sheetNames>
    <sheetDataSet>
      <sheetData sheetId="0"/>
      <sheetData sheetId="1"/>
      <sheetData sheetId="2">
        <row r="4">
          <cell r="O4">
            <v>12378</v>
          </cell>
          <cell r="P4">
            <v>69374</v>
          </cell>
          <cell r="Q4">
            <v>3998</v>
          </cell>
        </row>
        <row r="8">
          <cell r="D8">
            <v>1750</v>
          </cell>
        </row>
        <row r="8">
          <cell r="I8">
            <v>260</v>
          </cell>
        </row>
        <row r="9">
          <cell r="D9">
            <v>11920</v>
          </cell>
        </row>
        <row r="9">
          <cell r="I9">
            <v>100</v>
          </cell>
        </row>
        <row r="10">
          <cell r="D10">
            <v>0</v>
          </cell>
        </row>
        <row r="10">
          <cell r="I10">
            <v>300</v>
          </cell>
        </row>
        <row r="10">
          <cell r="O10">
            <v>119</v>
          </cell>
          <cell r="P10">
            <v>247</v>
          </cell>
          <cell r="Q10">
            <v>10</v>
          </cell>
        </row>
        <row r="11">
          <cell r="D11">
            <v>0</v>
          </cell>
        </row>
        <row r="11">
          <cell r="I11">
            <v>150</v>
          </cell>
        </row>
        <row r="11">
          <cell r="O11">
            <v>119</v>
          </cell>
          <cell r="P11">
            <v>247</v>
          </cell>
          <cell r="Q11">
            <v>10</v>
          </cell>
        </row>
        <row r="12">
          <cell r="D12">
            <v>3820</v>
          </cell>
        </row>
      </sheetData>
      <sheetData sheetId="3"/>
      <sheetData sheetId="4">
        <row r="5">
          <cell r="B5">
            <v>27002.5</v>
          </cell>
          <cell r="C5">
            <v>12200</v>
          </cell>
          <cell r="D5">
            <v>5882.5</v>
          </cell>
          <cell r="E5">
            <v>5450</v>
          </cell>
          <cell r="F5">
            <v>400</v>
          </cell>
          <cell r="G5">
            <v>0</v>
          </cell>
          <cell r="H5">
            <v>0</v>
          </cell>
          <cell r="I5">
            <v>920</v>
          </cell>
          <cell r="J5">
            <v>0</v>
          </cell>
          <cell r="K5">
            <v>150</v>
          </cell>
          <cell r="L5">
            <v>2000</v>
          </cell>
        </row>
        <row r="6">
          <cell r="B6">
            <v>27329.5</v>
          </cell>
          <cell r="C6">
            <v>12600</v>
          </cell>
          <cell r="D6">
            <v>5834.5</v>
          </cell>
          <cell r="E6">
            <v>5400</v>
          </cell>
          <cell r="F6">
            <v>405</v>
          </cell>
          <cell r="G6">
            <v>0</v>
          </cell>
          <cell r="H6">
            <v>0</v>
          </cell>
          <cell r="I6">
            <v>940</v>
          </cell>
          <cell r="J6">
            <v>0</v>
          </cell>
          <cell r="K6">
            <v>150</v>
          </cell>
          <cell r="L6">
            <v>2000</v>
          </cell>
        </row>
        <row r="9">
          <cell r="B9">
            <v>3682.55</v>
          </cell>
          <cell r="C9">
            <v>319.5</v>
          </cell>
          <cell r="D9">
            <v>1397.5</v>
          </cell>
          <cell r="E9">
            <v>182</v>
          </cell>
          <cell r="F9">
            <v>274.11</v>
          </cell>
          <cell r="G9">
            <v>791.91</v>
          </cell>
          <cell r="H9">
            <v>717.53</v>
          </cell>
        </row>
        <row r="10">
          <cell r="B10">
            <v>3755.18</v>
          </cell>
          <cell r="C10">
            <v>320.8</v>
          </cell>
          <cell r="D10">
            <v>1448.9</v>
          </cell>
          <cell r="E10">
            <v>183</v>
          </cell>
          <cell r="F10">
            <v>297.6</v>
          </cell>
          <cell r="G10">
            <v>786.65</v>
          </cell>
          <cell r="H10">
            <v>718.23</v>
          </cell>
        </row>
        <row r="11">
          <cell r="B11">
            <v>-72.6299999999997</v>
          </cell>
          <cell r="C11">
            <v>-1.30000000000001</v>
          </cell>
          <cell r="D11">
            <v>-51.4000000000001</v>
          </cell>
          <cell r="E11">
            <v>-1</v>
          </cell>
          <cell r="F11">
            <v>-23.49</v>
          </cell>
          <cell r="G11">
            <v>5.25999999999999</v>
          </cell>
          <cell r="H11">
            <v>-0.700000000000045</v>
          </cell>
        </row>
        <row r="19">
          <cell r="C19" t="str">
            <v>高</v>
          </cell>
          <cell r="D19" t="str">
            <v>高</v>
          </cell>
          <cell r="E19" t="str">
            <v>高</v>
          </cell>
          <cell r="F19" t="str">
            <v>/</v>
          </cell>
          <cell r="G19" t="str">
            <v>高</v>
          </cell>
          <cell r="H19" t="str">
            <v>/</v>
          </cell>
          <cell r="I19" t="str">
            <v>高</v>
          </cell>
          <cell r="J19" t="str">
            <v>高</v>
          </cell>
          <cell r="K19" t="str">
            <v>/</v>
          </cell>
          <cell r="L19" t="str">
            <v>/</v>
          </cell>
          <cell r="M19" t="str">
            <v>高</v>
          </cell>
          <cell r="N19" t="str">
            <v>/</v>
          </cell>
        </row>
        <row r="19">
          <cell r="P19" t="str">
            <v>高</v>
          </cell>
          <cell r="Q19" t="str">
            <v>高</v>
          </cell>
          <cell r="R19" t="str">
            <v>高</v>
          </cell>
          <cell r="S19" t="str">
            <v>/</v>
          </cell>
          <cell r="T19" t="str">
            <v>/</v>
          </cell>
        </row>
        <row r="23">
          <cell r="B23" t="str">
            <v>中</v>
          </cell>
        </row>
        <row r="23">
          <cell r="D23" t="str">
            <v>/</v>
          </cell>
          <cell r="E23" t="str">
            <v>/</v>
          </cell>
          <cell r="F23" t="str">
            <v>高</v>
          </cell>
          <cell r="G23" t="str">
            <v>/</v>
          </cell>
          <cell r="H23" t="str">
            <v>/</v>
          </cell>
          <cell r="I23" t="str">
            <v>/</v>
          </cell>
          <cell r="J23" t="str">
            <v>高</v>
          </cell>
          <cell r="K23" t="str">
            <v>/</v>
          </cell>
          <cell r="L23" t="str">
            <v>/</v>
          </cell>
          <cell r="M23" t="str">
            <v>/</v>
          </cell>
          <cell r="N23" t="str">
            <v>/</v>
          </cell>
        </row>
      </sheetData>
      <sheetData sheetId="5">
        <row r="4">
          <cell r="M4" t="str">
            <v>1.当前调整背景、目标：节假日期间管存逐步上涨，关注管存变化情况，适时优化机组配置。
2.运行问题、瓶颈：兰州站压力较低，河口站机组运行工况较差，为消减风险，导通兰银线6#阀室，停河口站机组，开古河转供提高兰州站压力。
3.压缩机组配置：西一线：轮（1）孔（1）四（0）鄯（0）哈（1）雅（0）红（0）柳（1）玉（0）酒（0）山（0）金（0）古（0）；西二三四线：霍(3)精(3)乌苏(3)玛(3)乌鲁(0)连(3)了(0)烟(3)红(3)瓜(0)嘉(0)张(4)永(0)古(3)；涩兰长：涩（2）羊（2）乌（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6"/>
  <sheetViews>
    <sheetView tabSelected="1" workbookViewId="0">
      <selection activeCell="A1" sqref="$A1:$XFD65536"/>
    </sheetView>
  </sheetViews>
  <sheetFormatPr defaultColWidth="8.725" defaultRowHeight="13.5"/>
  <cols>
    <col min="1" max="1" width="10" style="1" customWidth="1"/>
    <col min="2" max="5" width="8.725" style="1"/>
    <col min="6" max="6" width="9.875" style="1" customWidth="1"/>
    <col min="7" max="8" width="8.725" style="1"/>
    <col min="9" max="9" width="8" style="1" customWidth="1"/>
    <col min="10" max="10" width="8.725" style="1"/>
    <col min="11" max="11" width="10.275" style="1" customWidth="1"/>
    <col min="12" max="12" width="9.99166666666667" style="1" customWidth="1"/>
    <col min="13" max="13" width="10.625" style="1" customWidth="1"/>
    <col min="14" max="17" width="8.725" style="1"/>
    <col min="18" max="18" width="8.875" style="1"/>
    <col min="19" max="20" width="8.725" style="1"/>
    <col min="21" max="21" width="8.10833333333333" style="1" customWidth="1"/>
    <col min="22" max="16384" width="8.725" style="1"/>
  </cols>
  <sheetData>
    <row r="1" s="1" customFormat="1" ht="20" customHeight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="1" customFormat="1" ht="16" customHeight="1" spans="1:2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</row>
    <row r="3" s="1" customFormat="1" ht="16" customHeight="1" spans="1:22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</row>
    <row r="4" s="1" customFormat="1" ht="16" customHeight="1" spans="1:22">
      <c r="A4" s="9" t="str">
        <f>'[1]交接班日志（1730）'!M4</f>
        <v>1.当前调整背景、目标：节假日期间管存逐步上涨，关注管存变化情况，适时优化机组配置。
2.运行问题、瓶颈：兰州站压力较低，河口站机组运行工况较差，为消减风险，导通兰银线6#阀室，停河口站机组，开古河转供提高兰州站压力。
3.压缩机组配置：西一线：轮（1）孔（1）四（0）鄯（0）哈（1）雅（0）红（0）柳（1）玉（0）酒（0）山（0）金（0）古（0）；西二三四线：霍(3)精(3)乌苏(3)玛(3)乌鲁(0)连(3)了(0)烟(3)红(3)瓜(0)嘉(0)张(4)永(0)古(3)；涩兰长：涩（2）羊（2）乌（1）湖（0）河（0）
4.作业：无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="1" customFormat="1" ht="16" customHeight="1" spans="1:22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4"/>
    </row>
    <row r="6" s="1" customFormat="1" ht="55" customHeight="1" spans="1:22">
      <c r="A6" s="15"/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4"/>
    </row>
    <row r="7" s="1" customFormat="1" ht="16" customHeight="1" spans="1:22">
      <c r="A7" s="6" t="s">
        <v>3</v>
      </c>
      <c r="B7" s="7"/>
      <c r="C7" s="18" t="str">
        <f>"上载变化量"&amp;INT(B11)</f>
        <v>上载变化量-327</v>
      </c>
      <c r="D7" s="18"/>
      <c r="E7" s="18"/>
      <c r="F7" s="18"/>
      <c r="G7" s="18"/>
      <c r="H7" s="18"/>
      <c r="I7" s="18"/>
      <c r="J7" s="18"/>
      <c r="K7" s="18"/>
      <c r="L7" s="18"/>
      <c r="M7" s="18" t="str">
        <f>"下载变化量"&amp;N11</f>
        <v>下载变化量-73</v>
      </c>
      <c r="N7" s="18"/>
      <c r="O7" s="18"/>
      <c r="P7" s="18"/>
      <c r="Q7" s="18"/>
      <c r="R7" s="18"/>
      <c r="S7" s="18"/>
      <c r="T7" s="18"/>
      <c r="U7" s="18"/>
      <c r="V7" s="18"/>
    </row>
    <row r="8" s="1" customFormat="1" ht="22.5" spans="1:22">
      <c r="A8" s="19" t="s">
        <v>4</v>
      </c>
      <c r="B8" s="20" t="s">
        <v>5</v>
      </c>
      <c r="C8" s="21" t="s">
        <v>6</v>
      </c>
      <c r="D8" s="21" t="s">
        <v>7</v>
      </c>
      <c r="E8" s="21" t="s">
        <v>8</v>
      </c>
      <c r="F8" s="21" t="s">
        <v>9</v>
      </c>
      <c r="G8" s="21" t="s">
        <v>10</v>
      </c>
      <c r="H8" s="21" t="s">
        <v>11</v>
      </c>
      <c r="I8" s="21" t="s">
        <v>12</v>
      </c>
      <c r="J8" s="21" t="s">
        <v>13</v>
      </c>
      <c r="K8" s="21" t="s">
        <v>14</v>
      </c>
      <c r="L8" s="22" t="s">
        <v>15</v>
      </c>
      <c r="M8" s="23" t="s">
        <v>16</v>
      </c>
      <c r="N8" s="21" t="s">
        <v>5</v>
      </c>
      <c r="O8" s="21" t="s">
        <v>17</v>
      </c>
      <c r="P8" s="21" t="s">
        <v>18</v>
      </c>
      <c r="Q8" s="21" t="s">
        <v>19</v>
      </c>
      <c r="R8" s="21" t="s">
        <v>20</v>
      </c>
      <c r="S8" s="21" t="s">
        <v>21</v>
      </c>
      <c r="T8" s="21" t="s">
        <v>22</v>
      </c>
      <c r="U8" s="21"/>
      <c r="V8" s="21"/>
    </row>
    <row r="9" s="1" customFormat="1" ht="16" customHeight="1" spans="1:22">
      <c r="A9" s="24" t="s">
        <v>23</v>
      </c>
      <c r="B9" s="25">
        <f>'[1]交接班日志（0730）'!B5</f>
        <v>27002.5</v>
      </c>
      <c r="C9" s="25">
        <f>'[1]交接班日志（0730）'!C5</f>
        <v>12200</v>
      </c>
      <c r="D9" s="25">
        <f>'[1]交接班日志（0730）'!D5</f>
        <v>5882.5</v>
      </c>
      <c r="E9" s="25">
        <f>'[1]交接班日志（0730）'!E5</f>
        <v>5450</v>
      </c>
      <c r="F9" s="25">
        <f>'[1]交接班日志（0730）'!F5</f>
        <v>400</v>
      </c>
      <c r="G9" s="25">
        <f>'[1]交接班日志（0730）'!G5</f>
        <v>0</v>
      </c>
      <c r="H9" s="25">
        <f>'[1]交接班日志（0730）'!H5</f>
        <v>0</v>
      </c>
      <c r="I9" s="25">
        <f>'[1]交接班日志（0730）'!I5</f>
        <v>920</v>
      </c>
      <c r="J9" s="25">
        <f>'[1]交接班日志（0730）'!J5</f>
        <v>0</v>
      </c>
      <c r="K9" s="25">
        <f>'[1]交接班日志（0730）'!K5</f>
        <v>150</v>
      </c>
      <c r="L9" s="26">
        <f>'[1]交接班日志（0730）'!L5</f>
        <v>2000</v>
      </c>
      <c r="M9" s="27" t="s">
        <v>23</v>
      </c>
      <c r="N9" s="25">
        <f>'[1]交接班日志（0730）'!B9</f>
        <v>3682.55</v>
      </c>
      <c r="O9" s="25">
        <f>'[1]交接班日志（0730）'!C9</f>
        <v>319.5</v>
      </c>
      <c r="P9" s="25">
        <f>'[1]交接班日志（0730）'!D9</f>
        <v>1397.5</v>
      </c>
      <c r="Q9" s="25">
        <f>'[1]交接班日志（0730）'!E9</f>
        <v>182</v>
      </c>
      <c r="R9" s="25">
        <f>'[1]交接班日志（0730）'!F9</f>
        <v>274.11</v>
      </c>
      <c r="S9" s="25">
        <f>'[1]交接班日志（0730）'!G9</f>
        <v>791.91</v>
      </c>
      <c r="T9" s="25">
        <f>'[1]交接班日志（0730）'!H9</f>
        <v>717.53</v>
      </c>
      <c r="U9" s="25"/>
      <c r="V9" s="25"/>
    </row>
    <row r="10" s="1" customFormat="1" ht="16" customHeight="1" spans="1:22">
      <c r="A10" s="24" t="s">
        <v>24</v>
      </c>
      <c r="B10" s="25">
        <f>'[1]交接班日志（0730）'!B6</f>
        <v>27329.5</v>
      </c>
      <c r="C10" s="25">
        <f>'[1]交接班日志（0730）'!C6</f>
        <v>12600</v>
      </c>
      <c r="D10" s="25">
        <f>'[1]交接班日志（0730）'!D6</f>
        <v>5834.5</v>
      </c>
      <c r="E10" s="25">
        <f>'[1]交接班日志（0730）'!E6</f>
        <v>5400</v>
      </c>
      <c r="F10" s="25">
        <f>'[1]交接班日志（0730）'!F6</f>
        <v>405</v>
      </c>
      <c r="G10" s="25">
        <f>'[1]交接班日志（0730）'!G6</f>
        <v>0</v>
      </c>
      <c r="H10" s="25">
        <f>'[1]交接班日志（0730）'!H6</f>
        <v>0</v>
      </c>
      <c r="I10" s="25">
        <f>'[1]交接班日志（0730）'!I6</f>
        <v>940</v>
      </c>
      <c r="J10" s="25">
        <f>'[1]交接班日志（0730）'!J6</f>
        <v>0</v>
      </c>
      <c r="K10" s="25">
        <f>'[1]交接班日志（0730）'!K6</f>
        <v>150</v>
      </c>
      <c r="L10" s="26">
        <f>'[1]交接班日志（0730）'!L6</f>
        <v>2000</v>
      </c>
      <c r="M10" s="27" t="s">
        <v>24</v>
      </c>
      <c r="N10" s="25">
        <f>'[1]交接班日志（0730）'!B10</f>
        <v>3755.18</v>
      </c>
      <c r="O10" s="25">
        <f>'[1]交接班日志（0730）'!C10</f>
        <v>320.8</v>
      </c>
      <c r="P10" s="25">
        <f>'[1]交接班日志（0730）'!D10</f>
        <v>1448.9</v>
      </c>
      <c r="Q10" s="25">
        <f>'[1]交接班日志（0730）'!E10</f>
        <v>183</v>
      </c>
      <c r="R10" s="25">
        <f>'[1]交接班日志（0730）'!F10</f>
        <v>297.6</v>
      </c>
      <c r="S10" s="25">
        <f>'[1]交接班日志（0730）'!G10</f>
        <v>786.65</v>
      </c>
      <c r="T10" s="25">
        <f>'[1]交接班日志（0730）'!H10</f>
        <v>718.23</v>
      </c>
      <c r="U10" s="25"/>
      <c r="V10" s="25"/>
    </row>
    <row r="11" s="1" customFormat="1" ht="14.25" spans="1:22">
      <c r="A11" s="28" t="s">
        <v>25</v>
      </c>
      <c r="B11" s="29">
        <f>INT(B9-B10)</f>
        <v>-327</v>
      </c>
      <c r="C11" s="30">
        <f t="shared" ref="C11:L11" si="0">C9-C10</f>
        <v>-400</v>
      </c>
      <c r="D11" s="30">
        <f t="shared" si="0"/>
        <v>48</v>
      </c>
      <c r="E11" s="30">
        <f t="shared" si="0"/>
        <v>50</v>
      </c>
      <c r="F11" s="30">
        <f t="shared" si="0"/>
        <v>-5</v>
      </c>
      <c r="G11" s="30">
        <f t="shared" si="0"/>
        <v>0</v>
      </c>
      <c r="H11" s="30">
        <f t="shared" si="0"/>
        <v>0</v>
      </c>
      <c r="I11" s="30">
        <f t="shared" si="0"/>
        <v>-20</v>
      </c>
      <c r="J11" s="30">
        <f t="shared" si="0"/>
        <v>0</v>
      </c>
      <c r="K11" s="30">
        <f t="shared" si="0"/>
        <v>0</v>
      </c>
      <c r="L11" s="31">
        <f t="shared" si="0"/>
        <v>0</v>
      </c>
      <c r="M11" s="32" t="s">
        <v>25</v>
      </c>
      <c r="N11" s="30">
        <f>INT('[1]交接班日志（0730）'!B11)</f>
        <v>-73</v>
      </c>
      <c r="O11" s="30">
        <f>'[1]交接班日志（0730）'!C11</f>
        <v>-1.30000000000001</v>
      </c>
      <c r="P11" s="30">
        <f>'[1]交接班日志（0730）'!D11</f>
        <v>-51.4000000000001</v>
      </c>
      <c r="Q11" s="30">
        <f>'[1]交接班日志（0730）'!E11</f>
        <v>-1</v>
      </c>
      <c r="R11" s="30">
        <f>'[1]交接班日志（0730）'!F11</f>
        <v>-23.49</v>
      </c>
      <c r="S11" s="30">
        <f>'[1]交接班日志（0730）'!G11</f>
        <v>5.25999999999999</v>
      </c>
      <c r="T11" s="30">
        <f>'[1]交接班日志（0730）'!H11</f>
        <v>-0.700000000000045</v>
      </c>
      <c r="U11" s="30"/>
      <c r="V11" s="30"/>
    </row>
    <row r="12" s="1" customFormat="1" ht="14.25" spans="1:22">
      <c r="A12" s="33" t="s">
        <v>26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  <c r="M12" s="35" t="s">
        <v>27</v>
      </c>
      <c r="N12" s="35"/>
      <c r="O12" s="35"/>
      <c r="P12" s="35"/>
      <c r="Q12" s="35"/>
      <c r="R12" s="35"/>
      <c r="S12" s="35"/>
      <c r="T12" s="35"/>
      <c r="U12" s="35"/>
      <c r="V12" s="8"/>
    </row>
    <row r="13" s="1" customFormat="1" spans="1:22">
      <c r="A13" s="19" t="s">
        <v>28</v>
      </c>
      <c r="B13" s="20" t="s">
        <v>5</v>
      </c>
      <c r="C13" s="20" t="s">
        <v>17</v>
      </c>
      <c r="D13" s="20" t="s">
        <v>29</v>
      </c>
      <c r="E13" s="20" t="s">
        <v>30</v>
      </c>
      <c r="F13" s="20"/>
      <c r="G13" s="20"/>
      <c r="H13" s="36"/>
      <c r="I13" s="37" t="str">
        <f>"今日平衡情况:总平衡"&amp;INT(B16)&amp;CHAR(10)&amp;"西一线"&amp;INT(C16)&amp;"，西二三四"&amp;INT(D16)&amp;"，涩兰长"&amp;INT(E16)&amp;"，古河线"&amp;INT(F16)&amp;"。"</f>
        <v>今日平衡情况:总平衡376
西一线119，西二三四247，涩兰长10，古河线0。</v>
      </c>
      <c r="J13" s="37"/>
      <c r="K13" s="37"/>
      <c r="L13" s="37"/>
      <c r="M13" s="38" t="str">
        <f>"今日平衡情况:西一中卫"&amp;INT('[1]3.调整策略与目标工况'!D8)&amp;"，西二三中卫"&amp;INT('[1]3.调整策略与目标工况'!D9)&amp;"，红柳一转二"&amp;INT('[1]3.调整策略与目标工况'!D10)&amp;"，红柳二转一"&amp;INT('[1]3.调整策略与目标工况'!D11)&amp;"，轮吐转供"&amp;INT('[1]3.调整策略与目标工况'!D12)&amp;CHAR(10)&amp;"河口正输"&amp;INT('[1]3.调整策略与目标工况'!I8)&amp;"，古河"&amp;INT('[1]3.调整策略与目标工况'!I9)&amp;"，西二甘塘"&amp;INT('[1]3.调整策略与目标工况'!I10)&amp;"，西一甘塘"&amp;INT('[1]3.调整策略与目标工况'!I11)&amp;"。"</f>
        <v>今日平衡情况:西一中卫1750，西二三中卫11920，红柳一转二0，红柳二转一0，轮吐转供3820
河口正输260，古河100，西二甘塘300，西一甘塘150。</v>
      </c>
      <c r="N13" s="39"/>
      <c r="O13" s="39"/>
      <c r="P13" s="39"/>
      <c r="Q13" s="39"/>
      <c r="R13" s="39"/>
      <c r="S13" s="39"/>
      <c r="T13" s="39"/>
      <c r="U13" s="39"/>
      <c r="V13" s="40"/>
    </row>
    <row r="14" s="1" customFormat="1" ht="16" customHeight="1" spans="1:22">
      <c r="A14" s="24" t="s">
        <v>31</v>
      </c>
      <c r="B14" s="25">
        <f t="shared" ref="B14:B17" si="1">SUM(C14:H14)</f>
        <v>85750</v>
      </c>
      <c r="C14" s="25">
        <f>'[1]3.调整策略与目标工况'!O4</f>
        <v>12378</v>
      </c>
      <c r="D14" s="25">
        <f>'[1]3.调整策略与目标工况'!P4</f>
        <v>69374</v>
      </c>
      <c r="E14" s="25">
        <f>'[1]3.调整策略与目标工况'!Q4</f>
        <v>3998</v>
      </c>
      <c r="F14" s="25"/>
      <c r="G14" s="25"/>
      <c r="H14" s="41"/>
      <c r="I14" s="37"/>
      <c r="J14" s="37"/>
      <c r="K14" s="37"/>
      <c r="L14" s="37"/>
      <c r="M14" s="42"/>
      <c r="N14" s="43"/>
      <c r="O14" s="43"/>
      <c r="P14" s="43"/>
      <c r="Q14" s="43"/>
      <c r="R14" s="43"/>
      <c r="S14" s="43"/>
      <c r="T14" s="43"/>
      <c r="U14" s="43"/>
      <c r="V14" s="44"/>
    </row>
    <row r="15" s="1" customFormat="1" ht="16" customHeight="1" spans="1:22">
      <c r="A15" s="24" t="s">
        <v>32</v>
      </c>
      <c r="B15" s="25">
        <f t="shared" si="1"/>
        <v>376</v>
      </c>
      <c r="C15" s="45">
        <f>'[1]3.调整策略与目标工况'!O10</f>
        <v>119</v>
      </c>
      <c r="D15" s="45">
        <f>'[1]3.调整策略与目标工况'!P10</f>
        <v>247</v>
      </c>
      <c r="E15" s="45">
        <f>'[1]3.调整策略与目标工况'!Q10</f>
        <v>10</v>
      </c>
      <c r="F15" s="45"/>
      <c r="G15" s="45"/>
      <c r="H15" s="46"/>
      <c r="I15" s="37"/>
      <c r="J15" s="37"/>
      <c r="K15" s="37"/>
      <c r="L15" s="37"/>
      <c r="M15" s="42"/>
      <c r="N15" s="43"/>
      <c r="O15" s="43"/>
      <c r="P15" s="43"/>
      <c r="Q15" s="43"/>
      <c r="R15" s="43"/>
      <c r="S15" s="43"/>
      <c r="T15" s="43"/>
      <c r="U15" s="43"/>
      <c r="V15" s="44"/>
    </row>
    <row r="16" s="1" customFormat="1" ht="16" customHeight="1" spans="1:22">
      <c r="A16" s="24" t="s">
        <v>33</v>
      </c>
      <c r="B16" s="25">
        <f t="shared" si="1"/>
        <v>376</v>
      </c>
      <c r="C16" s="45">
        <f>'[1]3.调整策略与目标工况'!O11</f>
        <v>119</v>
      </c>
      <c r="D16" s="45">
        <f>'[1]3.调整策略与目标工况'!P11</f>
        <v>247</v>
      </c>
      <c r="E16" s="45">
        <f>'[1]3.调整策略与目标工况'!Q11</f>
        <v>10</v>
      </c>
      <c r="F16" s="45"/>
      <c r="G16" s="45"/>
      <c r="H16" s="46"/>
      <c r="I16" s="47" t="s">
        <v>34</v>
      </c>
      <c r="J16" s="48"/>
      <c r="K16" s="48"/>
      <c r="L16" s="49"/>
      <c r="M16" s="42"/>
      <c r="N16" s="43"/>
      <c r="O16" s="43"/>
      <c r="P16" s="43"/>
      <c r="Q16" s="43"/>
      <c r="R16" s="43"/>
      <c r="S16" s="43"/>
      <c r="T16" s="43"/>
      <c r="U16" s="43"/>
      <c r="V16" s="44"/>
    </row>
    <row r="17" s="1" customFormat="1" ht="16" customHeight="1" spans="1:24">
      <c r="A17" s="28" t="s">
        <v>35</v>
      </c>
      <c r="B17" s="30">
        <f t="shared" si="1"/>
        <v>86126</v>
      </c>
      <c r="C17" s="50">
        <f>C14+C16</f>
        <v>12497</v>
      </c>
      <c r="D17" s="50">
        <f>D14+D16</f>
        <v>69621</v>
      </c>
      <c r="E17" s="50">
        <f>E14+E16</f>
        <v>4008</v>
      </c>
      <c r="F17" s="50"/>
      <c r="G17" s="50"/>
      <c r="H17" s="51"/>
      <c r="I17" s="52"/>
      <c r="J17" s="53"/>
      <c r="K17" s="53"/>
      <c r="L17" s="54"/>
      <c r="M17" s="55"/>
      <c r="N17" s="56"/>
      <c r="O17" s="56"/>
      <c r="P17" s="56"/>
      <c r="Q17" s="56"/>
      <c r="R17" s="56"/>
      <c r="S17" s="56"/>
      <c r="T17" s="56"/>
      <c r="U17" s="56"/>
      <c r="V17" s="57"/>
    </row>
    <row r="18" s="1" customFormat="1" ht="16" customHeight="1" spans="1:24">
      <c r="A18" s="6" t="s">
        <v>36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8"/>
    </row>
    <row r="19" s="1" customFormat="1" ht="16" customHeight="1" spans="1:24">
      <c r="A19" s="19" t="s">
        <v>37</v>
      </c>
      <c r="B19" s="20" t="s">
        <v>38</v>
      </c>
      <c r="C19" s="20" t="s">
        <v>39</v>
      </c>
      <c r="D19" s="20" t="s">
        <v>40</v>
      </c>
      <c r="E19" s="20" t="s">
        <v>41</v>
      </c>
      <c r="F19" s="20" t="s">
        <v>42</v>
      </c>
      <c r="G19" s="58" t="s">
        <v>43</v>
      </c>
      <c r="H19" s="19" t="s">
        <v>37</v>
      </c>
      <c r="I19" s="20" t="s">
        <v>38</v>
      </c>
      <c r="J19" s="20" t="s">
        <v>39</v>
      </c>
      <c r="K19" s="20" t="s">
        <v>40</v>
      </c>
      <c r="L19" s="20" t="s">
        <v>41</v>
      </c>
      <c r="M19" s="20" t="s">
        <v>42</v>
      </c>
      <c r="N19" s="58" t="s">
        <v>43</v>
      </c>
      <c r="O19" s="59" t="s">
        <v>44</v>
      </c>
      <c r="P19" s="20" t="s">
        <v>38</v>
      </c>
      <c r="Q19" s="20" t="s">
        <v>39</v>
      </c>
      <c r="R19" s="20" t="s">
        <v>45</v>
      </c>
      <c r="S19" s="58" t="s">
        <v>46</v>
      </c>
      <c r="T19" s="58"/>
      <c r="U19" s="19" t="s">
        <v>47</v>
      </c>
      <c r="V19" s="58" t="s">
        <v>48</v>
      </c>
    </row>
    <row r="20" s="1" customFormat="1" ht="16" customHeight="1" spans="1:24">
      <c r="A20" s="24" t="s">
        <v>6</v>
      </c>
      <c r="B20" s="60">
        <v>7.2</v>
      </c>
      <c r="C20" s="61">
        <v>9.7</v>
      </c>
      <c r="D20" s="62">
        <v>13168.7</v>
      </c>
      <c r="E20" s="62">
        <v>5432</v>
      </c>
      <c r="F20" s="63">
        <v>4</v>
      </c>
      <c r="G20" s="64" t="s">
        <v>49</v>
      </c>
      <c r="H20" s="65" t="s">
        <v>50</v>
      </c>
      <c r="I20" s="66">
        <v>6</v>
      </c>
      <c r="J20" s="66">
        <v>7.6</v>
      </c>
      <c r="K20" s="62">
        <v>6003.5902</v>
      </c>
      <c r="L20" s="67">
        <v>3809.6801</v>
      </c>
      <c r="M20" s="63">
        <v>1</v>
      </c>
      <c r="N20" s="64" t="str">
        <f>'[1]交接班日志（0730）'!B23</f>
        <v>中</v>
      </c>
      <c r="O20" s="68" t="s">
        <v>51</v>
      </c>
      <c r="P20" s="69">
        <f>J26</f>
        <v>7.1351517</v>
      </c>
      <c r="Q20" s="69">
        <f>B28</f>
        <v>7.1</v>
      </c>
      <c r="R20" s="70">
        <f>'[1]3.调整策略与目标工况'!D10+'[1]3.调整策略与目标工况'!D11</f>
        <v>0</v>
      </c>
      <c r="S20" s="71" t="s">
        <v>52</v>
      </c>
      <c r="T20" s="72"/>
      <c r="U20" s="73" t="s">
        <v>53</v>
      </c>
      <c r="V20" s="74">
        <v>8.8</v>
      </c>
    </row>
    <row r="21" s="1" customFormat="1" ht="16" customHeight="1" spans="1:24">
      <c r="A21" s="24" t="s">
        <v>54</v>
      </c>
      <c r="B21" s="60">
        <v>7.8</v>
      </c>
      <c r="C21" s="60">
        <v>10</v>
      </c>
      <c r="D21" s="62">
        <v>13128.495</v>
      </c>
      <c r="E21" s="62">
        <v>5687.9086</v>
      </c>
      <c r="F21" s="61">
        <v>3</v>
      </c>
      <c r="G21" s="64" t="str">
        <f>'[1]交接班日志（0730）'!C19</f>
        <v>高</v>
      </c>
      <c r="H21" s="65" t="s">
        <v>55</v>
      </c>
      <c r="I21" s="66">
        <v>6.3</v>
      </c>
      <c r="J21" s="66">
        <v>8</v>
      </c>
      <c r="K21" s="62">
        <v>5615.7582</v>
      </c>
      <c r="L21" s="67">
        <v>4185.3326</v>
      </c>
      <c r="M21" s="63">
        <v>1</v>
      </c>
      <c r="N21" s="64" t="s">
        <v>49</v>
      </c>
      <c r="O21" s="68" t="s">
        <v>56</v>
      </c>
      <c r="P21" s="66">
        <v>7.9</v>
      </c>
      <c r="Q21" s="66">
        <v>7.9</v>
      </c>
      <c r="R21" s="70">
        <f>'[1]3.调整策略与目标工况'!D9</f>
        <v>11920</v>
      </c>
      <c r="S21" s="71" t="s">
        <v>52</v>
      </c>
      <c r="T21" s="72"/>
      <c r="U21" s="73" t="s">
        <v>57</v>
      </c>
      <c r="V21" s="74">
        <v>8.9</v>
      </c>
      <c r="X21" s="75"/>
    </row>
    <row r="22" s="1" customFormat="1" ht="16" customHeight="1" spans="1:24">
      <c r="A22" s="24" t="s">
        <v>58</v>
      </c>
      <c r="B22" s="60">
        <v>7.8</v>
      </c>
      <c r="C22" s="60">
        <v>9.9</v>
      </c>
      <c r="D22" s="62">
        <v>13108.67</v>
      </c>
      <c r="E22" s="62">
        <v>4552.8751</v>
      </c>
      <c r="F22" s="61">
        <v>3</v>
      </c>
      <c r="G22" s="64" t="str">
        <f>'[1]交接班日志（0730）'!D19</f>
        <v>高</v>
      </c>
      <c r="H22" s="65" t="s">
        <v>59</v>
      </c>
      <c r="I22" s="66">
        <v>7</v>
      </c>
      <c r="J22" s="66">
        <v>6.9</v>
      </c>
      <c r="K22" s="62">
        <v>2804.7446</v>
      </c>
      <c r="L22" s="67" t="s">
        <v>60</v>
      </c>
      <c r="M22" s="63">
        <v>0</v>
      </c>
      <c r="N22" s="64" t="str">
        <f>'[1]交接班日志（0730）'!D23</f>
        <v>/</v>
      </c>
      <c r="O22" s="68" t="s">
        <v>61</v>
      </c>
      <c r="P22" s="66">
        <v>7.5</v>
      </c>
      <c r="Q22" s="66">
        <v>7.5</v>
      </c>
      <c r="R22" s="76">
        <f>'[1]3.调整策略与目标工况'!D12</f>
        <v>3820</v>
      </c>
      <c r="S22" s="71" t="s">
        <v>60</v>
      </c>
      <c r="T22" s="72"/>
      <c r="U22" s="73" t="s">
        <v>62</v>
      </c>
      <c r="V22" s="74">
        <v>8.3</v>
      </c>
      <c r="X22" s="75"/>
    </row>
    <row r="23" s="1" customFormat="1" ht="16" customHeight="1" spans="1:24">
      <c r="A23" s="24" t="s">
        <v>63</v>
      </c>
      <c r="B23" s="66">
        <v>7.8</v>
      </c>
      <c r="C23" s="61">
        <v>9.9</v>
      </c>
      <c r="D23" s="62">
        <v>13002.374</v>
      </c>
      <c r="E23" s="62">
        <v>5250.547</v>
      </c>
      <c r="F23" s="61">
        <v>3</v>
      </c>
      <c r="G23" s="64" t="str">
        <f>'[1]交接班日志（0730）'!E19</f>
        <v>高</v>
      </c>
      <c r="H23" s="65" t="s">
        <v>64</v>
      </c>
      <c r="I23" s="66">
        <v>6.1</v>
      </c>
      <c r="J23" s="66">
        <v>6.2</v>
      </c>
      <c r="K23" s="62">
        <v>2136.7836</v>
      </c>
      <c r="L23" s="67" t="s">
        <v>60</v>
      </c>
      <c r="M23" s="63">
        <v>0</v>
      </c>
      <c r="N23" s="64" t="str">
        <f>'[1]交接班日志（0730）'!E23</f>
        <v>/</v>
      </c>
      <c r="O23" s="68" t="s">
        <v>65</v>
      </c>
      <c r="P23" s="66">
        <v>4.7</v>
      </c>
      <c r="Q23" s="66">
        <v>4.7</v>
      </c>
      <c r="R23" s="70">
        <f>'[1]3.调整策略与目标工况'!I8</f>
        <v>260</v>
      </c>
      <c r="S23" s="71" t="s">
        <v>52</v>
      </c>
      <c r="T23" s="72"/>
      <c r="U23" s="73" t="s">
        <v>66</v>
      </c>
      <c r="V23" s="74">
        <v>5.1</v>
      </c>
      <c r="X23" s="77"/>
    </row>
    <row r="24" s="1" customFormat="1" ht="16" customHeight="1" spans="1:24">
      <c r="A24" s="24" t="s">
        <v>67</v>
      </c>
      <c r="B24" s="60">
        <v>8.1</v>
      </c>
      <c r="C24" s="60">
        <v>8.1</v>
      </c>
      <c r="D24" s="62">
        <v>10293.374</v>
      </c>
      <c r="E24" s="62" t="s">
        <v>60</v>
      </c>
      <c r="F24" s="61">
        <v>0</v>
      </c>
      <c r="G24" s="64" t="str">
        <f>'[1]交接班日志（0730）'!F19</f>
        <v>/</v>
      </c>
      <c r="H24" s="65" t="s">
        <v>68</v>
      </c>
      <c r="I24" s="66">
        <v>5.5</v>
      </c>
      <c r="J24" s="66">
        <v>7.9</v>
      </c>
      <c r="K24" s="62">
        <v>2128.0037</v>
      </c>
      <c r="L24" s="67">
        <v>3793.776</v>
      </c>
      <c r="M24" s="63">
        <v>1</v>
      </c>
      <c r="N24" s="64" t="str">
        <f>'[1]交接班日志（0730）'!F23</f>
        <v>高</v>
      </c>
      <c r="O24" s="68" t="s">
        <v>69</v>
      </c>
      <c r="P24" s="66">
        <v>5.9</v>
      </c>
      <c r="Q24" s="66">
        <v>5.8</v>
      </c>
      <c r="R24" s="70">
        <f>'[1]3.调整策略与目标工况'!I10+'[1]3.调整策略与目标工况'!I11</f>
        <v>450</v>
      </c>
      <c r="S24" s="71" t="s">
        <v>52</v>
      </c>
      <c r="T24" s="72"/>
      <c r="U24" s="73" t="s">
        <v>65</v>
      </c>
      <c r="V24" s="74">
        <v>4.7</v>
      </c>
      <c r="X24" s="77"/>
    </row>
    <row r="25" s="1" customFormat="1" ht="16" customHeight="1" spans="1:24">
      <c r="A25" s="24" t="s">
        <v>70</v>
      </c>
      <c r="B25" s="66">
        <v>6.82</v>
      </c>
      <c r="C25" s="60">
        <v>9.15</v>
      </c>
      <c r="D25" s="62">
        <v>13576.678</v>
      </c>
      <c r="E25" s="62">
        <v>5541.3828</v>
      </c>
      <c r="F25" s="61">
        <v>3</v>
      </c>
      <c r="G25" s="64" t="str">
        <f>'[1]交接班日志（0730）'!G19</f>
        <v>高</v>
      </c>
      <c r="H25" s="65" t="s">
        <v>71</v>
      </c>
      <c r="I25" s="66">
        <v>7.6</v>
      </c>
      <c r="J25" s="66">
        <v>7.6</v>
      </c>
      <c r="K25" s="62">
        <v>2128.0037</v>
      </c>
      <c r="L25" s="67" t="s">
        <v>60</v>
      </c>
      <c r="M25" s="63">
        <v>0</v>
      </c>
      <c r="N25" s="64" t="str">
        <f>'[1]交接班日志（0730）'!G23</f>
        <v>/</v>
      </c>
      <c r="O25" s="78"/>
      <c r="P25" s="79"/>
      <c r="Q25" s="79"/>
      <c r="R25" s="80"/>
      <c r="S25" s="81"/>
      <c r="T25" s="82"/>
      <c r="U25" s="83" t="s">
        <v>69</v>
      </c>
      <c r="V25" s="84">
        <v>5.8</v>
      </c>
      <c r="X25" s="77"/>
    </row>
    <row r="26" s="1" customFormat="1" ht="16" customHeight="1" spans="1:24">
      <c r="A26" s="24" t="s">
        <v>72</v>
      </c>
      <c r="B26" s="66">
        <v>7.98</v>
      </c>
      <c r="C26" s="60">
        <v>7.9722732</v>
      </c>
      <c r="D26" s="62">
        <v>13461.293</v>
      </c>
      <c r="E26" s="62" t="s">
        <v>60</v>
      </c>
      <c r="F26" s="61">
        <v>0</v>
      </c>
      <c r="G26" s="64" t="str">
        <f>'[1]交接班日志（0730）'!H19</f>
        <v>/</v>
      </c>
      <c r="H26" s="65" t="s">
        <v>51</v>
      </c>
      <c r="I26" s="66">
        <v>7.1351517</v>
      </c>
      <c r="J26" s="66">
        <v>7.1351517</v>
      </c>
      <c r="K26" s="62">
        <v>2128.0037</v>
      </c>
      <c r="L26" s="67" t="s">
        <v>60</v>
      </c>
      <c r="M26" s="63">
        <v>0</v>
      </c>
      <c r="N26" s="64" t="str">
        <f>'[1]交接班日志（0730）'!H23</f>
        <v>/</v>
      </c>
      <c r="O26" s="19" t="s">
        <v>37</v>
      </c>
      <c r="P26" s="20" t="s">
        <v>38</v>
      </c>
      <c r="Q26" s="20" t="s">
        <v>39</v>
      </c>
      <c r="R26" s="20" t="s">
        <v>40</v>
      </c>
      <c r="S26" s="20" t="s">
        <v>41</v>
      </c>
      <c r="T26" s="20" t="s">
        <v>42</v>
      </c>
      <c r="U26" s="85" t="s">
        <v>43</v>
      </c>
      <c r="V26" s="86"/>
      <c r="X26" s="77"/>
    </row>
    <row r="27" s="1" customFormat="1" ht="16" customHeight="1" spans="1:24">
      <c r="A27" s="24" t="s">
        <v>73</v>
      </c>
      <c r="B27" s="60">
        <v>7</v>
      </c>
      <c r="C27" s="60">
        <v>8.5</v>
      </c>
      <c r="D27" s="62">
        <v>13439.897</v>
      </c>
      <c r="E27" s="62">
        <v>4757.2656</v>
      </c>
      <c r="F27" s="61">
        <v>3</v>
      </c>
      <c r="G27" s="64" t="str">
        <f>'[1]交接班日志（0730）'!I19</f>
        <v>高</v>
      </c>
      <c r="H27" s="65" t="s">
        <v>74</v>
      </c>
      <c r="I27" s="66">
        <v>6.1</v>
      </c>
      <c r="J27" s="66">
        <v>8.8</v>
      </c>
      <c r="K27" s="62">
        <v>1758.0036</v>
      </c>
      <c r="L27" s="67" t="s">
        <v>60</v>
      </c>
      <c r="M27" s="63">
        <v>0</v>
      </c>
      <c r="N27" s="64" t="str">
        <f>'[1]交接班日志（0730）'!I23</f>
        <v>/</v>
      </c>
      <c r="O27" s="73" t="s">
        <v>75</v>
      </c>
      <c r="P27" s="66">
        <v>2.44</v>
      </c>
      <c r="Q27" s="66">
        <v>3.3</v>
      </c>
      <c r="R27" s="67">
        <v>693.23174</v>
      </c>
      <c r="S27" s="87">
        <v>10255.231</v>
      </c>
      <c r="T27" s="63">
        <v>2</v>
      </c>
      <c r="U27" s="64" t="str">
        <f>'[1]交接班日志（0730）'!P19</f>
        <v>高</v>
      </c>
      <c r="V27" s="88"/>
      <c r="X27" s="77"/>
    </row>
    <row r="28" s="1" customFormat="1" ht="16" customHeight="1" spans="1:24">
      <c r="A28" s="24" t="s">
        <v>51</v>
      </c>
      <c r="B28" s="60">
        <v>7.1</v>
      </c>
      <c r="C28" s="60">
        <v>9.5</v>
      </c>
      <c r="D28" s="62">
        <v>13499.791</v>
      </c>
      <c r="E28" s="62">
        <v>5963.5432</v>
      </c>
      <c r="F28" s="61">
        <v>3</v>
      </c>
      <c r="G28" s="64" t="str">
        <f>'[1]交接班日志（0730）'!J19</f>
        <v>高</v>
      </c>
      <c r="H28" s="65" t="s">
        <v>76</v>
      </c>
      <c r="I28" s="66">
        <v>8.1</v>
      </c>
      <c r="J28" s="66">
        <v>8.1</v>
      </c>
      <c r="K28" s="62">
        <v>1734.7</v>
      </c>
      <c r="L28" s="67">
        <v>3409.956</v>
      </c>
      <c r="M28" s="63">
        <v>1</v>
      </c>
      <c r="N28" s="64" t="str">
        <f>'[1]交接班日志（0730）'!J23</f>
        <v>高</v>
      </c>
      <c r="O28" s="73" t="s">
        <v>77</v>
      </c>
      <c r="P28" s="66">
        <v>2.5</v>
      </c>
      <c r="Q28" s="89">
        <v>4.1</v>
      </c>
      <c r="R28" s="67">
        <v>687.04645</v>
      </c>
      <c r="S28" s="87">
        <v>5925.5853</v>
      </c>
      <c r="T28" s="63">
        <v>2</v>
      </c>
      <c r="U28" s="64" t="str">
        <f>'[1]交接班日志（0730）'!Q19</f>
        <v>高</v>
      </c>
      <c r="V28" s="88"/>
      <c r="X28" s="77"/>
    </row>
    <row r="29" s="1" customFormat="1" ht="16" customHeight="1" spans="1:24">
      <c r="A29" s="24" t="s">
        <v>78</v>
      </c>
      <c r="B29" s="60">
        <v>8.67</v>
      </c>
      <c r="C29" s="60">
        <v>8.7</v>
      </c>
      <c r="D29" s="62">
        <v>13299.791</v>
      </c>
      <c r="E29" s="62" t="s">
        <v>60</v>
      </c>
      <c r="F29" s="61">
        <v>0</v>
      </c>
      <c r="G29" s="64" t="str">
        <f>'[1]交接班日志（0730）'!K19</f>
        <v>/</v>
      </c>
      <c r="H29" s="65" t="s">
        <v>79</v>
      </c>
      <c r="I29" s="66">
        <v>7.9</v>
      </c>
      <c r="J29" s="66">
        <v>7.9</v>
      </c>
      <c r="K29" s="62">
        <v>1730.2</v>
      </c>
      <c r="L29" s="67" t="s">
        <v>60</v>
      </c>
      <c r="M29" s="63">
        <v>0</v>
      </c>
      <c r="N29" s="64" t="str">
        <f>'[1]交接班日志（0730）'!K23</f>
        <v>/</v>
      </c>
      <c r="O29" s="73" t="s">
        <v>80</v>
      </c>
      <c r="P29" s="66">
        <v>3.3</v>
      </c>
      <c r="Q29" s="66">
        <v>5.3</v>
      </c>
      <c r="R29" s="67">
        <v>649.33967</v>
      </c>
      <c r="S29" s="87">
        <v>5741.7802</v>
      </c>
      <c r="T29" s="63">
        <v>1</v>
      </c>
      <c r="U29" s="64" t="str">
        <f>'[1]交接班日志（0730）'!R19</f>
        <v>高</v>
      </c>
      <c r="V29" s="88"/>
      <c r="X29" s="77"/>
    </row>
    <row r="30" s="1" customFormat="1" ht="16" customHeight="1" spans="1:24">
      <c r="A30" s="24" t="s">
        <v>81</v>
      </c>
      <c r="B30" s="60">
        <v>7.5</v>
      </c>
      <c r="C30" s="60">
        <v>7.5</v>
      </c>
      <c r="D30" s="62">
        <v>13262.791</v>
      </c>
      <c r="E30" s="62">
        <v>0</v>
      </c>
      <c r="F30" s="61">
        <v>0</v>
      </c>
      <c r="G30" s="64" t="str">
        <f>'[1]交接班日志（0730）'!L19</f>
        <v>/</v>
      </c>
      <c r="H30" s="65" t="s">
        <v>82</v>
      </c>
      <c r="I30" s="66">
        <v>7.2</v>
      </c>
      <c r="J30" s="66">
        <v>7.2</v>
      </c>
      <c r="K30" s="62">
        <v>1729.9</v>
      </c>
      <c r="L30" s="67" t="s">
        <v>60</v>
      </c>
      <c r="M30" s="63">
        <v>0</v>
      </c>
      <c r="N30" s="64" t="str">
        <f>'[1]交接班日志（0730）'!L23</f>
        <v>/</v>
      </c>
      <c r="O30" s="73" t="s">
        <v>83</v>
      </c>
      <c r="P30" s="66">
        <v>4.5</v>
      </c>
      <c r="Q30" s="66">
        <v>4.5</v>
      </c>
      <c r="R30" s="67">
        <v>649.3397</v>
      </c>
      <c r="S30" s="67" t="s">
        <v>60</v>
      </c>
      <c r="T30" s="63">
        <v>0</v>
      </c>
      <c r="U30" s="64" t="str">
        <f>'[1]交接班日志（0730）'!S19</f>
        <v>/</v>
      </c>
      <c r="V30" s="90"/>
      <c r="X30" s="77"/>
    </row>
    <row r="31" s="1" customFormat="1" ht="16" customHeight="1" spans="1:24">
      <c r="A31" s="24" t="s">
        <v>84</v>
      </c>
      <c r="B31" s="60">
        <v>6.46</v>
      </c>
      <c r="C31" s="60">
        <v>8.65</v>
      </c>
      <c r="D31" s="62">
        <v>13134.344</v>
      </c>
      <c r="E31" s="62">
        <v>5781.6484</v>
      </c>
      <c r="F31" s="61">
        <v>4</v>
      </c>
      <c r="G31" s="64" t="str">
        <f>'[1]交接班日志（0730）'!M19</f>
        <v>高</v>
      </c>
      <c r="H31" s="65" t="s">
        <v>85</v>
      </c>
      <c r="I31" s="66">
        <v>7</v>
      </c>
      <c r="J31" s="66">
        <v>7</v>
      </c>
      <c r="K31" s="62">
        <v>1725.9</v>
      </c>
      <c r="L31" s="67" t="s">
        <v>60</v>
      </c>
      <c r="M31" s="63">
        <v>0</v>
      </c>
      <c r="N31" s="64" t="str">
        <f>'[1]交接班日志（0730）'!M23</f>
        <v>/</v>
      </c>
      <c r="O31" s="73" t="s">
        <v>66</v>
      </c>
      <c r="P31" s="66">
        <v>5.1</v>
      </c>
      <c r="Q31" s="66">
        <v>5.1</v>
      </c>
      <c r="R31" s="67">
        <v>479.98</v>
      </c>
      <c r="S31" s="67" t="s">
        <v>60</v>
      </c>
      <c r="T31" s="63">
        <v>0</v>
      </c>
      <c r="U31" s="64" t="s">
        <v>60</v>
      </c>
      <c r="V31" s="90"/>
      <c r="X31" s="77"/>
    </row>
    <row r="32" s="1" customFormat="1" ht="16" customHeight="1" spans="1:24">
      <c r="A32" s="24" t="s">
        <v>86</v>
      </c>
      <c r="B32" s="60">
        <v>7.35</v>
      </c>
      <c r="C32" s="60">
        <v>7.3317295</v>
      </c>
      <c r="D32" s="62">
        <v>12513.344</v>
      </c>
      <c r="E32" s="62" t="s">
        <v>60</v>
      </c>
      <c r="F32" s="61">
        <v>0</v>
      </c>
      <c r="G32" s="64" t="str">
        <f>'[1]交接班日志（0730）'!N19</f>
        <v>/</v>
      </c>
      <c r="H32" s="83" t="s">
        <v>87</v>
      </c>
      <c r="I32" s="91">
        <v>6.7</v>
      </c>
      <c r="J32" s="91">
        <v>6.7</v>
      </c>
      <c r="K32" s="92">
        <v>1610.8</v>
      </c>
      <c r="L32" s="93" t="s">
        <v>60</v>
      </c>
      <c r="M32" s="94">
        <v>0</v>
      </c>
      <c r="N32" s="95" t="str">
        <f>'[1]交接班日志（0730）'!N23</f>
        <v>/</v>
      </c>
      <c r="O32" s="83" t="s">
        <v>65</v>
      </c>
      <c r="P32" s="91">
        <v>4.7</v>
      </c>
      <c r="Q32" s="91">
        <v>4.7</v>
      </c>
      <c r="R32" s="93">
        <v>245</v>
      </c>
      <c r="S32" s="67">
        <v>5633</v>
      </c>
      <c r="T32" s="63">
        <v>1</v>
      </c>
      <c r="U32" s="96" t="str">
        <f>'[1]交接班日志（0730）'!T19</f>
        <v>/</v>
      </c>
      <c r="V32" s="97"/>
      <c r="X32" s="77"/>
    </row>
    <row r="33" s="1" customFormat="1" ht="16" customHeight="1" spans="1:23">
      <c r="A33" s="28" t="s">
        <v>87</v>
      </c>
      <c r="B33" s="98">
        <v>6.4</v>
      </c>
      <c r="C33" s="98">
        <v>8.3</v>
      </c>
      <c r="D33" s="92">
        <v>12494</v>
      </c>
      <c r="E33" s="92">
        <v>5670.9271</v>
      </c>
      <c r="F33" s="99">
        <v>3</v>
      </c>
      <c r="G33" s="95" t="s">
        <v>49</v>
      </c>
      <c r="H33" s="100"/>
      <c r="I33" s="100"/>
      <c r="J33" s="100"/>
      <c r="K33" s="101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2"/>
    </row>
    <row r="34" s="1" customFormat="1" ht="16" customHeight="1" spans="1:23">
      <c r="A34" s="6" t="s">
        <v>88</v>
      </c>
      <c r="B34" s="7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2"/>
    </row>
    <row r="35" s="1" customFormat="1" ht="16" customHeight="1" spans="1:23">
      <c r="A35" s="103"/>
      <c r="B35" s="104" t="s">
        <v>89</v>
      </c>
      <c r="C35" s="105"/>
      <c r="D35" s="105"/>
      <c r="E35" s="106"/>
      <c r="F35" s="104" t="s">
        <v>90</v>
      </c>
      <c r="G35" s="105"/>
      <c r="H35" s="105"/>
      <c r="I35" s="105"/>
      <c r="J35" s="105"/>
      <c r="K35" s="106"/>
      <c r="L35" s="107" t="s">
        <v>91</v>
      </c>
      <c r="M35" s="107"/>
      <c r="N35" s="107"/>
      <c r="O35" s="107"/>
      <c r="P35" s="107"/>
      <c r="Q35" s="107" t="s">
        <v>92</v>
      </c>
      <c r="R35" s="107"/>
      <c r="S35" s="107"/>
      <c r="T35" s="107"/>
      <c r="U35" s="107"/>
      <c r="V35" s="108"/>
    </row>
    <row r="36" s="1" customFormat="1" ht="26" customHeight="1" spans="1:23">
      <c r="A36" s="109">
        <v>1</v>
      </c>
      <c r="B36" s="110">
        <v>0.354166666666667</v>
      </c>
      <c r="C36" s="110"/>
      <c r="D36" s="110"/>
      <c r="E36" s="110"/>
      <c r="F36" s="111" t="s">
        <v>93</v>
      </c>
      <c r="G36" s="112"/>
      <c r="H36" s="112"/>
      <c r="I36" s="112"/>
      <c r="J36" s="112"/>
      <c r="K36" s="112"/>
      <c r="L36" s="113" t="s">
        <v>94</v>
      </c>
      <c r="M36" s="114"/>
      <c r="N36" s="114"/>
      <c r="O36" s="114"/>
      <c r="P36" s="114"/>
      <c r="Q36" s="114" t="s">
        <v>95</v>
      </c>
      <c r="R36" s="114"/>
      <c r="S36" s="114"/>
      <c r="T36" s="114"/>
      <c r="U36" s="114"/>
      <c r="V36" s="114"/>
    </row>
    <row r="37" s="1" customFormat="1" ht="24" customHeight="1" spans="1:23">
      <c r="A37" s="115">
        <v>2</v>
      </c>
      <c r="B37" s="110"/>
      <c r="C37" s="110"/>
      <c r="D37" s="110"/>
      <c r="E37" s="110"/>
      <c r="F37" s="114"/>
      <c r="G37" s="114"/>
      <c r="H37" s="114"/>
      <c r="I37" s="114"/>
      <c r="J37" s="114"/>
      <c r="K37" s="114"/>
      <c r="L37" s="113"/>
      <c r="M37" s="114"/>
      <c r="N37" s="114"/>
      <c r="O37" s="114"/>
      <c r="P37" s="114"/>
      <c r="Q37" s="114"/>
      <c r="R37" s="114"/>
      <c r="S37" s="114"/>
      <c r="T37" s="114"/>
      <c r="U37" s="114"/>
      <c r="V37" s="116"/>
    </row>
    <row r="38" s="1" customFormat="1" ht="27" customHeight="1" spans="1:23">
      <c r="A38" s="115">
        <v>3</v>
      </c>
      <c r="B38" s="110"/>
      <c r="C38" s="110"/>
      <c r="D38" s="110"/>
      <c r="E38" s="110"/>
      <c r="F38" s="114"/>
      <c r="G38" s="114"/>
      <c r="H38" s="114"/>
      <c r="I38" s="114"/>
      <c r="J38" s="114"/>
      <c r="K38" s="114"/>
      <c r="L38" s="113"/>
      <c r="M38" s="114"/>
      <c r="N38" s="114"/>
      <c r="O38" s="114"/>
      <c r="P38" s="114"/>
      <c r="Q38" s="114"/>
      <c r="R38" s="114"/>
      <c r="S38" s="114"/>
      <c r="T38" s="114"/>
      <c r="U38" s="114"/>
      <c r="V38" s="116"/>
    </row>
    <row r="39" s="1" customFormat="1" ht="27" customHeight="1" spans="1:23">
      <c r="A39" s="115">
        <v>4</v>
      </c>
      <c r="B39" s="110"/>
      <c r="C39" s="110"/>
      <c r="D39" s="110"/>
      <c r="E39" s="110"/>
      <c r="F39" s="114"/>
      <c r="G39" s="114"/>
      <c r="H39" s="114"/>
      <c r="I39" s="114"/>
      <c r="J39" s="114"/>
      <c r="K39" s="114"/>
      <c r="L39" s="113"/>
      <c r="M39" s="114"/>
      <c r="N39" s="114"/>
      <c r="O39" s="114"/>
      <c r="P39" s="114"/>
      <c r="Q39" s="114"/>
      <c r="R39" s="114"/>
      <c r="S39" s="114"/>
      <c r="T39" s="114"/>
      <c r="U39" s="114"/>
      <c r="V39" s="116"/>
    </row>
    <row r="40" s="1" customFormat="1" ht="16" customHeight="1" spans="1:23">
      <c r="A40" s="109">
        <v>5</v>
      </c>
      <c r="B40" s="117"/>
      <c r="C40" s="117"/>
      <c r="D40" s="117"/>
      <c r="E40" s="117"/>
      <c r="F40" s="118"/>
      <c r="G40" s="118"/>
      <c r="H40" s="118"/>
      <c r="I40" s="118"/>
      <c r="J40" s="118"/>
      <c r="K40" s="118"/>
      <c r="L40" s="119"/>
      <c r="M40" s="118"/>
      <c r="N40" s="118"/>
      <c r="O40" s="118"/>
      <c r="P40" s="118"/>
      <c r="Q40" s="118"/>
      <c r="R40" s="118"/>
      <c r="S40" s="118"/>
      <c r="T40" s="118"/>
      <c r="U40" s="118"/>
      <c r="V40" s="120"/>
    </row>
    <row r="41" s="1" customFormat="1" ht="16" customHeight="1" spans="1:23">
      <c r="A41" s="121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3"/>
      <c r="M41" s="123"/>
      <c r="N41" s="124" t="str">
        <f>_xlfn.DISPIMG("ID_3D8AE06C006B446D9A644C10A535E59A",1)</f>
        <v>=DISPIMG("ID_3D8AE06C006B446D9A644C10A535E59A",1)</v>
      </c>
      <c r="O41" s="125"/>
      <c r="P41" s="125"/>
      <c r="Q41" s="125"/>
      <c r="R41" s="125"/>
      <c r="S41" s="125"/>
      <c r="T41" s="125"/>
      <c r="U41" s="125"/>
      <c r="V41" s="126"/>
    </row>
    <row r="42" s="1" customFormat="1" ht="16" customHeight="1" spans="1:23">
      <c r="A42" s="127"/>
      <c r="B42" s="128"/>
      <c r="C42" s="128"/>
      <c r="D42" s="128"/>
      <c r="E42" s="128"/>
      <c r="F42" s="128"/>
      <c r="G42" s="128"/>
      <c r="H42" s="128"/>
      <c r="I42" s="128"/>
      <c r="J42" s="128"/>
      <c r="K42" s="129"/>
      <c r="L42" s="128"/>
      <c r="M42" s="128"/>
      <c r="N42" s="130"/>
      <c r="O42" s="131"/>
      <c r="P42" s="131"/>
      <c r="Q42" s="131"/>
      <c r="R42" s="131"/>
      <c r="S42" s="131"/>
      <c r="T42" s="131"/>
      <c r="U42" s="131"/>
      <c r="V42" s="132"/>
    </row>
    <row r="43" s="1" customFormat="1" ht="16" customHeight="1" spans="1:23">
      <c r="A43" s="127"/>
      <c r="B43" s="128"/>
      <c r="C43" s="128"/>
      <c r="D43" s="128"/>
      <c r="E43" s="128"/>
      <c r="F43" s="128"/>
      <c r="G43" s="128"/>
      <c r="H43" s="128"/>
      <c r="I43" s="128"/>
      <c r="J43" s="128"/>
      <c r="K43" s="129"/>
      <c r="L43" s="128"/>
      <c r="M43" s="128"/>
      <c r="N43" s="130"/>
      <c r="O43" s="131"/>
      <c r="P43" s="131"/>
      <c r="Q43" s="131"/>
      <c r="R43" s="131"/>
      <c r="S43" s="131"/>
      <c r="T43" s="131"/>
      <c r="U43" s="131"/>
      <c r="V43" s="132"/>
    </row>
    <row r="44" s="1" customFormat="1" ht="16" customHeight="1" spans="1:23">
      <c r="A44" s="127"/>
      <c r="B44" s="128"/>
      <c r="C44" s="128"/>
      <c r="D44" s="128"/>
      <c r="E44" s="128"/>
      <c r="F44" s="128"/>
      <c r="G44" s="128"/>
      <c r="H44" s="128"/>
      <c r="I44" s="128"/>
      <c r="J44" s="128"/>
      <c r="K44" s="129"/>
      <c r="L44" s="128"/>
      <c r="M44" s="128"/>
      <c r="N44" s="130"/>
      <c r="O44" s="131"/>
      <c r="P44" s="131"/>
      <c r="Q44" s="131"/>
      <c r="R44" s="131"/>
      <c r="S44" s="131"/>
      <c r="T44" s="131"/>
      <c r="U44" s="131"/>
      <c r="V44" s="132"/>
      <c r="W44" s="133"/>
    </row>
    <row r="45" s="1" customFormat="1" ht="16" customHeight="1" spans="1:23">
      <c r="A45" s="127"/>
      <c r="B45" s="128"/>
      <c r="C45" s="128"/>
      <c r="D45" s="128"/>
      <c r="E45" s="128"/>
      <c r="F45" s="128"/>
      <c r="G45" s="128"/>
      <c r="H45" s="128"/>
      <c r="I45" s="128"/>
      <c r="J45" s="128"/>
      <c r="K45" s="129"/>
      <c r="L45" s="128"/>
      <c r="M45" s="128"/>
      <c r="N45" s="130"/>
      <c r="O45" s="131"/>
      <c r="P45" s="131"/>
      <c r="Q45" s="131"/>
      <c r="R45" s="131"/>
      <c r="S45" s="131"/>
      <c r="T45" s="131"/>
      <c r="U45" s="131"/>
      <c r="V45" s="132"/>
    </row>
    <row r="46" s="1" customFormat="1" ht="16" customHeight="1" spans="1:23">
      <c r="A46" s="127"/>
      <c r="B46" s="128"/>
      <c r="C46" s="128"/>
      <c r="D46" s="128"/>
      <c r="E46" s="128"/>
      <c r="F46" s="128"/>
      <c r="G46" s="128"/>
      <c r="H46" s="128"/>
      <c r="I46" s="128"/>
      <c r="J46" s="128"/>
      <c r="K46" s="129"/>
      <c r="L46" s="128"/>
      <c r="M46" s="128"/>
      <c r="N46" s="130"/>
      <c r="O46" s="131"/>
      <c r="P46" s="131"/>
      <c r="Q46" s="131"/>
      <c r="R46" s="131"/>
      <c r="S46" s="131"/>
      <c r="T46" s="131"/>
      <c r="U46" s="131"/>
      <c r="V46" s="132"/>
    </row>
    <row r="47" s="1" customFormat="1" ht="16" customHeight="1" spans="1:23">
      <c r="A47" s="127"/>
      <c r="B47" s="128"/>
      <c r="C47" s="128"/>
      <c r="D47" s="128"/>
      <c r="E47" s="128"/>
      <c r="F47" s="128"/>
      <c r="G47" s="128"/>
      <c r="H47" s="128"/>
      <c r="I47" s="128"/>
      <c r="J47" s="128"/>
      <c r="K47" s="129"/>
      <c r="L47" s="128"/>
      <c r="M47" s="128"/>
      <c r="N47" s="130"/>
      <c r="O47" s="131"/>
      <c r="P47" s="131"/>
      <c r="Q47" s="131"/>
      <c r="R47" s="131"/>
      <c r="S47" s="131"/>
      <c r="T47" s="131"/>
      <c r="U47" s="131"/>
      <c r="V47" s="132"/>
    </row>
    <row r="48" s="1" customFormat="1" ht="16" customHeight="1" spans="1:23">
      <c r="A48" s="127"/>
      <c r="B48" s="128"/>
      <c r="C48" s="128"/>
      <c r="D48" s="128"/>
      <c r="E48" s="128"/>
      <c r="F48" s="128" t="str">
        <f>"轮吐"&amp;'[1]3.调整策略与目标工况'!D12</f>
        <v>轮吐3820</v>
      </c>
      <c r="G48" s="128"/>
      <c r="H48" s="128"/>
      <c r="I48" s="128"/>
      <c r="J48" s="128"/>
      <c r="K48" s="129"/>
      <c r="L48" s="128"/>
      <c r="M48" s="128"/>
      <c r="N48" s="130"/>
      <c r="O48" s="131"/>
      <c r="P48" s="131"/>
      <c r="Q48" s="131"/>
      <c r="R48" s="131"/>
      <c r="S48" s="131"/>
      <c r="T48" s="131"/>
      <c r="U48" s="131"/>
      <c r="V48" s="132"/>
    </row>
    <row r="49" s="1" customFormat="1" ht="16" customHeight="1" spans="1:22">
      <c r="A49" s="127"/>
      <c r="B49" s="128"/>
      <c r="C49" s="128"/>
      <c r="D49" s="128"/>
      <c r="E49" s="128"/>
      <c r="F49" s="128"/>
      <c r="G49" s="128"/>
      <c r="H49" s="128"/>
      <c r="I49" s="128"/>
      <c r="J49" s="128"/>
      <c r="K49" s="129"/>
      <c r="L49" s="128"/>
      <c r="M49" s="128"/>
      <c r="N49" s="130"/>
      <c r="O49" s="131"/>
      <c r="P49" s="131"/>
      <c r="Q49" s="131"/>
      <c r="R49" s="131"/>
      <c r="S49" s="131"/>
      <c r="T49" s="131"/>
      <c r="U49" s="131"/>
      <c r="V49" s="132"/>
    </row>
    <row r="50" s="1" customFormat="1" ht="16" customHeight="1" spans="1:22">
      <c r="A50" s="127"/>
      <c r="B50" s="128"/>
      <c r="C50" s="128"/>
      <c r="D50" s="128"/>
      <c r="E50" s="128"/>
      <c r="F50" s="128"/>
      <c r="G50" s="128"/>
      <c r="H50" s="128"/>
      <c r="I50" s="128"/>
      <c r="J50" s="128"/>
      <c r="K50" s="129"/>
      <c r="L50" s="128"/>
      <c r="M50" s="128"/>
      <c r="N50" s="130"/>
      <c r="O50" s="131"/>
      <c r="P50" s="131"/>
      <c r="Q50" s="131"/>
      <c r="R50" s="131"/>
      <c r="S50" s="131"/>
      <c r="T50" s="131"/>
      <c r="U50" s="131"/>
      <c r="V50" s="132"/>
    </row>
    <row r="51" s="1" customFormat="1" ht="16" customHeight="1" spans="1:22">
      <c r="A51" s="127"/>
      <c r="B51" s="128"/>
      <c r="C51" s="128"/>
      <c r="D51" s="128"/>
      <c r="E51" s="128"/>
      <c r="F51" s="128"/>
      <c r="G51" s="128"/>
      <c r="H51" s="128"/>
      <c r="I51" s="128"/>
      <c r="J51" s="128"/>
      <c r="K51" s="129"/>
      <c r="L51" s="128"/>
      <c r="M51" s="128"/>
      <c r="N51" s="130"/>
      <c r="O51" s="131"/>
      <c r="P51" s="131"/>
      <c r="Q51" s="131"/>
      <c r="R51" s="131"/>
      <c r="S51" s="131"/>
      <c r="T51" s="131"/>
      <c r="U51" s="131"/>
      <c r="V51" s="132"/>
    </row>
    <row r="52" s="1" customFormat="1" ht="16" customHeight="1" spans="1:22">
      <c r="A52" s="127"/>
      <c r="B52" s="128"/>
      <c r="C52" s="128"/>
      <c r="D52" s="128"/>
      <c r="E52" s="128"/>
      <c r="F52" s="128"/>
      <c r="G52" s="128"/>
      <c r="H52" s="128" t="str">
        <f>"红柳"&amp;'[1]3.调整策略与目标工况'!D11</f>
        <v>红柳0</v>
      </c>
      <c r="I52" s="128"/>
      <c r="J52" s="128"/>
      <c r="K52" s="129"/>
      <c r="L52" s="128"/>
      <c r="M52" s="128"/>
      <c r="N52" s="130"/>
      <c r="O52" s="131"/>
      <c r="P52" s="131"/>
      <c r="Q52" s="131"/>
      <c r="R52" s="131"/>
      <c r="S52" s="131"/>
      <c r="T52" s="131"/>
      <c r="U52" s="131"/>
      <c r="V52" s="132"/>
    </row>
    <row r="53" s="1" customFormat="1" ht="16" customHeight="1" spans="1:22">
      <c r="A53" s="127"/>
      <c r="B53" s="128"/>
      <c r="C53" s="128"/>
      <c r="D53" s="128"/>
      <c r="E53" s="128"/>
      <c r="F53" s="128"/>
      <c r="G53" s="128"/>
      <c r="H53" s="128"/>
      <c r="I53" s="128"/>
      <c r="J53" s="128"/>
      <c r="K53" s="129"/>
      <c r="L53" s="128"/>
      <c r="M53" s="128"/>
      <c r="N53" s="130"/>
      <c r="O53" s="131"/>
      <c r="P53" s="131"/>
      <c r="Q53" s="131"/>
      <c r="R53" s="131"/>
      <c r="S53" s="131"/>
      <c r="T53" s="131"/>
      <c r="U53" s="131"/>
      <c r="V53" s="132"/>
    </row>
    <row r="54" s="1" customFormat="1" ht="16" customHeight="1" spans="1:22">
      <c r="A54" s="127"/>
      <c r="B54" s="128"/>
      <c r="C54" s="128"/>
      <c r="D54" s="128"/>
      <c r="E54" s="128"/>
      <c r="F54" s="128"/>
      <c r="G54" s="128"/>
      <c r="H54" s="128"/>
      <c r="I54" s="128"/>
      <c r="J54" s="128"/>
      <c r="K54" s="128" t="str">
        <f>"甘塘"&amp;'[1]3.调整策略与目标工况'!I10</f>
        <v>甘塘300</v>
      </c>
      <c r="L54" s="128"/>
      <c r="M54" s="128"/>
      <c r="N54" s="130"/>
      <c r="O54" s="131"/>
      <c r="P54" s="131"/>
      <c r="Q54" s="131"/>
      <c r="R54" s="131"/>
      <c r="S54" s="131"/>
      <c r="T54" s="131"/>
      <c r="U54" s="131"/>
      <c r="V54" s="132"/>
    </row>
    <row r="55" s="1" customFormat="1" ht="16" customHeight="1" spans="1:22">
      <c r="A55" s="127"/>
      <c r="B55" s="128"/>
      <c r="C55" s="128"/>
      <c r="D55" s="128"/>
      <c r="E55" s="128"/>
      <c r="F55" s="128"/>
      <c r="G55" s="128"/>
      <c r="H55" s="128"/>
      <c r="I55" s="128"/>
      <c r="J55" s="128"/>
      <c r="K55" s="129"/>
      <c r="L55" s="128"/>
      <c r="M55" s="128"/>
      <c r="N55" s="130"/>
      <c r="O55" s="131"/>
      <c r="P55" s="131"/>
      <c r="Q55" s="131"/>
      <c r="R55" s="131"/>
      <c r="S55" s="131"/>
      <c r="T55" s="131"/>
      <c r="U55" s="131"/>
      <c r="V55" s="132"/>
    </row>
    <row r="56" s="1" customFormat="1" ht="16" customHeight="1" spans="1:22">
      <c r="A56" s="127"/>
      <c r="B56" s="128"/>
      <c r="C56" s="128"/>
      <c r="D56" s="128"/>
      <c r="E56" s="128"/>
      <c r="F56" s="128"/>
      <c r="G56" s="128"/>
      <c r="H56" s="128"/>
      <c r="I56" s="128"/>
      <c r="J56" s="128"/>
      <c r="K56" s="129"/>
      <c r="L56" s="134"/>
      <c r="M56" s="134"/>
      <c r="N56" s="130"/>
      <c r="O56" s="131"/>
      <c r="P56" s="131"/>
      <c r="Q56" s="131"/>
      <c r="R56" s="131"/>
      <c r="S56" s="131"/>
      <c r="T56" s="131"/>
      <c r="U56" s="131"/>
      <c r="V56" s="132"/>
    </row>
    <row r="57" s="1" customFormat="1" ht="16" customHeight="1" spans="1:22">
      <c r="A57" s="127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30"/>
      <c r="O57" s="131"/>
      <c r="P57" s="131"/>
      <c r="Q57" s="131"/>
      <c r="R57" s="131"/>
      <c r="S57" s="131"/>
      <c r="T57" s="131"/>
      <c r="U57" s="131"/>
      <c r="V57" s="132"/>
    </row>
    <row r="58" s="1" customFormat="1" ht="16" customHeight="1" spans="1:22">
      <c r="A58" s="127"/>
      <c r="B58" s="128"/>
      <c r="C58" s="128"/>
      <c r="D58" s="128"/>
      <c r="E58" s="128"/>
      <c r="F58" s="128"/>
      <c r="G58" s="128"/>
      <c r="H58" s="128"/>
      <c r="I58" s="128"/>
      <c r="J58" s="128"/>
      <c r="K58" s="129"/>
      <c r="L58" s="128"/>
      <c r="M58" s="128"/>
      <c r="N58" s="130"/>
      <c r="O58" s="131"/>
      <c r="P58" s="131"/>
      <c r="Q58" s="131"/>
      <c r="R58" s="131"/>
      <c r="S58" s="131"/>
      <c r="T58" s="131"/>
      <c r="U58" s="131"/>
      <c r="V58" s="132"/>
    </row>
    <row r="59" s="1" customFormat="1" ht="16" customHeight="1" spans="1:22">
      <c r="A59" s="127"/>
      <c r="B59" s="128"/>
      <c r="C59" s="128"/>
      <c r="D59" s="128"/>
      <c r="E59" s="128"/>
      <c r="F59" s="128"/>
      <c r="G59" s="128"/>
      <c r="H59" s="128"/>
      <c r="I59" s="128"/>
      <c r="J59" s="128"/>
      <c r="K59" s="129"/>
      <c r="L59" s="128"/>
      <c r="M59" s="128"/>
      <c r="N59" s="130"/>
      <c r="O59" s="131"/>
      <c r="P59" s="131"/>
      <c r="Q59" s="131"/>
      <c r="R59" s="131"/>
      <c r="S59" s="131"/>
      <c r="T59" s="131"/>
      <c r="U59" s="131"/>
      <c r="V59" s="132"/>
    </row>
    <row r="60" s="1" customFormat="1" ht="16" customHeight="1" spans="1:22">
      <c r="A60" s="127"/>
      <c r="B60" s="128"/>
      <c r="C60" s="128"/>
      <c r="D60" s="128"/>
      <c r="E60" s="128"/>
      <c r="F60" s="128"/>
      <c r="G60" s="128"/>
      <c r="H60" s="128"/>
      <c r="I60" s="128"/>
      <c r="J60" s="128"/>
      <c r="K60" s="129"/>
      <c r="L60" s="128"/>
      <c r="M60" s="128"/>
      <c r="N60" s="130"/>
      <c r="O60" s="131"/>
      <c r="P60" s="131"/>
      <c r="Q60" s="131"/>
      <c r="R60" s="131"/>
      <c r="S60" s="131"/>
      <c r="T60" s="131"/>
      <c r="U60" s="131"/>
      <c r="V60" s="132"/>
    </row>
    <row r="61" s="1" customFormat="1" ht="16" customHeight="1" spans="1:22">
      <c r="A61" s="127"/>
      <c r="B61" s="128"/>
      <c r="C61" s="128"/>
      <c r="D61" s="128"/>
      <c r="E61" s="128"/>
      <c r="F61" s="128"/>
      <c r="G61" s="128"/>
      <c r="H61" s="128"/>
      <c r="I61" s="128"/>
      <c r="J61" s="128"/>
      <c r="K61" s="129"/>
      <c r="L61" s="128"/>
      <c r="M61" s="128"/>
      <c r="N61" s="130"/>
      <c r="O61" s="131"/>
      <c r="P61" s="131"/>
      <c r="Q61" s="131"/>
      <c r="R61" s="131"/>
      <c r="S61" s="131"/>
      <c r="T61" s="131"/>
      <c r="U61" s="131"/>
      <c r="V61" s="132"/>
    </row>
    <row r="62" s="1" customFormat="1" ht="16" customHeight="1" spans="1:22">
      <c r="A62" s="127"/>
      <c r="B62" s="128"/>
      <c r="C62" s="128"/>
      <c r="D62" s="128"/>
      <c r="E62" s="128"/>
      <c r="F62" s="128"/>
      <c r="G62" s="128"/>
      <c r="H62" s="128"/>
      <c r="I62" s="128"/>
      <c r="J62" s="128"/>
      <c r="K62" s="129"/>
      <c r="L62" s="128"/>
      <c r="M62" s="128"/>
      <c r="N62" s="130"/>
      <c r="O62" s="131"/>
      <c r="P62" s="131"/>
      <c r="Q62" s="131"/>
      <c r="R62" s="131"/>
      <c r="S62" s="131"/>
      <c r="T62" s="131"/>
      <c r="U62" s="131"/>
      <c r="V62" s="132"/>
    </row>
    <row r="63" s="1" customFormat="1" ht="16" customHeight="1" spans="1:22">
      <c r="A63" s="127"/>
      <c r="B63" s="128"/>
      <c r="C63" s="128"/>
      <c r="D63" s="128"/>
      <c r="E63" s="128"/>
      <c r="F63" s="128"/>
      <c r="G63" s="128"/>
      <c r="H63" s="128"/>
      <c r="I63" s="128"/>
      <c r="J63" s="128"/>
      <c r="K63" s="129"/>
      <c r="L63" s="128"/>
      <c r="M63" s="128"/>
      <c r="N63" s="130"/>
      <c r="O63" s="131"/>
      <c r="P63" s="131"/>
      <c r="Q63" s="131"/>
      <c r="R63" s="131"/>
      <c r="S63" s="131"/>
      <c r="T63" s="131"/>
      <c r="U63" s="131"/>
      <c r="V63" s="132"/>
    </row>
    <row r="64" s="1" customFormat="1" ht="16" customHeight="1" spans="1:22">
      <c r="A64" s="127"/>
      <c r="B64" s="128"/>
      <c r="C64" s="128"/>
      <c r="D64" s="128"/>
      <c r="E64" s="128"/>
      <c r="F64" s="128"/>
      <c r="G64" s="128"/>
      <c r="H64" s="128"/>
      <c r="I64" s="128"/>
      <c r="J64" s="128"/>
      <c r="K64" s="129"/>
      <c r="L64" s="128"/>
      <c r="M64" s="128"/>
      <c r="N64" s="130"/>
      <c r="O64" s="131"/>
      <c r="P64" s="131"/>
      <c r="Q64" s="131"/>
      <c r="R64" s="131"/>
      <c r="S64" s="131"/>
      <c r="T64" s="131"/>
      <c r="U64" s="131"/>
      <c r="V64" s="132"/>
    </row>
    <row r="65" s="1" customFormat="1" ht="16" customHeight="1" spans="1:22">
      <c r="A65" s="127"/>
      <c r="B65" s="128"/>
      <c r="C65" s="128"/>
      <c r="D65" s="128"/>
      <c r="E65" s="128"/>
      <c r="F65" s="128"/>
      <c r="G65" s="128"/>
      <c r="H65" s="128"/>
      <c r="I65" s="128"/>
      <c r="J65" s="128"/>
      <c r="K65" s="129"/>
      <c r="L65" s="128"/>
      <c r="M65" s="128"/>
      <c r="N65" s="130"/>
      <c r="O65" s="131"/>
      <c r="P65" s="131"/>
      <c r="Q65" s="131"/>
      <c r="R65" s="131"/>
      <c r="S65" s="131"/>
      <c r="T65" s="131"/>
      <c r="U65" s="131"/>
      <c r="V65" s="132"/>
    </row>
    <row r="66" s="1" customFormat="1" ht="16" customHeight="1" spans="1:22">
      <c r="A66" s="127"/>
      <c r="B66" s="128"/>
      <c r="C66" s="128"/>
      <c r="D66" s="128"/>
      <c r="E66" s="128"/>
      <c r="F66" s="128"/>
      <c r="G66" s="128"/>
      <c r="H66" s="128"/>
      <c r="I66" s="128"/>
      <c r="J66" s="128"/>
      <c r="K66" s="129"/>
      <c r="L66" s="128"/>
      <c r="M66" s="128"/>
      <c r="N66" s="130"/>
      <c r="O66" s="131"/>
      <c r="P66" s="131"/>
      <c r="Q66" s="131"/>
      <c r="R66" s="131"/>
      <c r="S66" s="131"/>
      <c r="T66" s="131"/>
      <c r="U66" s="131"/>
      <c r="V66" s="132"/>
    </row>
    <row r="67" s="1" customFormat="1" ht="16" customHeight="1" spans="1:22">
      <c r="A67" s="127"/>
      <c r="B67" s="128"/>
      <c r="C67" s="128"/>
      <c r="D67" s="128"/>
      <c r="E67" s="128"/>
      <c r="F67" s="128"/>
      <c r="G67" s="128"/>
      <c r="H67" s="128"/>
      <c r="I67" s="128"/>
      <c r="J67" s="128"/>
      <c r="K67" s="129"/>
      <c r="L67" s="128"/>
      <c r="M67" s="128"/>
      <c r="N67" s="130"/>
      <c r="O67" s="131"/>
      <c r="P67" s="131"/>
      <c r="Q67" s="131"/>
      <c r="R67" s="131"/>
      <c r="S67" s="131"/>
      <c r="T67" s="131"/>
      <c r="U67" s="131"/>
      <c r="V67" s="132"/>
    </row>
    <row r="68" s="1" customFormat="1" ht="16" customHeight="1" spans="1:22">
      <c r="A68" s="127"/>
      <c r="B68" s="128"/>
      <c r="C68" s="128"/>
      <c r="D68" s="128"/>
      <c r="E68" s="128"/>
      <c r="F68" s="128"/>
      <c r="G68" s="128"/>
      <c r="H68" s="128"/>
      <c r="I68" s="128"/>
      <c r="J68" s="128"/>
      <c r="K68" s="129"/>
      <c r="L68" s="128"/>
      <c r="M68" s="128"/>
      <c r="N68" s="130"/>
      <c r="O68" s="131"/>
      <c r="P68" s="131"/>
      <c r="Q68" s="131"/>
      <c r="R68" s="131"/>
      <c r="S68" s="131"/>
      <c r="T68" s="131"/>
      <c r="U68" s="131"/>
      <c r="V68" s="132"/>
    </row>
    <row r="69" s="1" customFormat="1" ht="16" customHeight="1" spans="1:22">
      <c r="A69" s="127"/>
      <c r="B69" s="128"/>
      <c r="C69" s="128"/>
      <c r="D69" s="128"/>
      <c r="E69" s="128"/>
      <c r="F69" s="128"/>
      <c r="G69" s="128"/>
      <c r="H69" s="128"/>
      <c r="I69" s="128"/>
      <c r="J69" s="128"/>
      <c r="K69" s="129"/>
      <c r="L69" s="128"/>
      <c r="M69" s="128"/>
      <c r="N69" s="130"/>
      <c r="O69" s="131"/>
      <c r="P69" s="131"/>
      <c r="Q69" s="131"/>
      <c r="R69" s="131"/>
      <c r="S69" s="131"/>
      <c r="T69" s="131"/>
      <c r="U69" s="131"/>
      <c r="V69" s="132"/>
    </row>
    <row r="70" s="1" customFormat="1" ht="16" customHeight="1" spans="1:22">
      <c r="A70" s="127"/>
      <c r="B70" s="128"/>
      <c r="C70" s="128"/>
      <c r="D70" s="128"/>
      <c r="E70" s="128"/>
      <c r="F70" s="128"/>
      <c r="G70" s="128"/>
      <c r="H70" s="128"/>
      <c r="I70" s="128"/>
      <c r="J70" s="128"/>
      <c r="K70" s="129"/>
      <c r="L70" s="128"/>
      <c r="M70" s="128"/>
      <c r="N70" s="130"/>
      <c r="O70" s="131"/>
      <c r="P70" s="131"/>
      <c r="Q70" s="131"/>
      <c r="R70" s="131"/>
      <c r="S70" s="131"/>
      <c r="T70" s="131"/>
      <c r="U70" s="131"/>
      <c r="V70" s="132"/>
    </row>
    <row r="71" s="1" customFormat="1" ht="16" customHeight="1" spans="1:22">
      <c r="A71" s="127"/>
      <c r="B71" s="128"/>
      <c r="C71" s="128"/>
      <c r="D71" s="128"/>
      <c r="E71" s="128"/>
      <c r="F71" s="128"/>
      <c r="G71" s="128"/>
      <c r="H71" s="128"/>
      <c r="I71" s="128"/>
      <c r="J71" s="128"/>
      <c r="K71" s="129"/>
      <c r="L71" s="128"/>
      <c r="M71" s="128"/>
      <c r="N71" s="135"/>
      <c r="O71" s="136"/>
      <c r="P71" s="136"/>
      <c r="Q71" s="136"/>
      <c r="R71" s="136"/>
      <c r="S71" s="136"/>
      <c r="T71" s="136"/>
      <c r="U71" s="136"/>
      <c r="V71" s="137"/>
    </row>
    <row r="72" s="1" customFormat="1" ht="16" customHeight="1" spans="1:22">
      <c r="A72" s="138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40"/>
    </row>
    <row r="73" s="1" customFormat="1" ht="16" customHeight="1" spans="1:22">
      <c r="A73" s="141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3"/>
    </row>
    <row r="74" s="1" customFormat="1" ht="16" customHeight="1" spans="1:22">
      <c r="A74" s="141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3"/>
    </row>
    <row r="75" s="1" customFormat="1" ht="16" customHeight="1" spans="1:22">
      <c r="A75" s="141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3"/>
    </row>
    <row r="76" s="1" customFormat="1" ht="16" customHeight="1" spans="1:22">
      <c r="A76" s="141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3"/>
    </row>
    <row r="77" s="1" customFormat="1" ht="16" customHeight="1" spans="1:22">
      <c r="A77" s="141"/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3"/>
    </row>
    <row r="78" s="1" customFormat="1" ht="16" customHeight="1" spans="1:22">
      <c r="A78" s="141"/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3"/>
    </row>
    <row r="79" s="1" customFormat="1" ht="16" customHeight="1" spans="1:22">
      <c r="A79" s="141"/>
      <c r="B79" s="142"/>
      <c r="C79" s="142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3"/>
    </row>
    <row r="80" s="1" customFormat="1" ht="16" customHeight="1" spans="1:22">
      <c r="A80" s="141"/>
      <c r="B80" s="142"/>
      <c r="C80" s="142"/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3"/>
    </row>
    <row r="81" s="1" customFormat="1" ht="16" customHeight="1" spans="1:22">
      <c r="A81" s="141"/>
      <c r="B81" s="142"/>
      <c r="C81" s="142"/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3"/>
    </row>
    <row r="82" s="1" customFormat="1" spans="1:22">
      <c r="A82" s="141"/>
      <c r="B82" s="142"/>
      <c r="C82" s="142"/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3"/>
    </row>
    <row r="83" s="1" customFormat="1" spans="1:22">
      <c r="A83" s="141"/>
      <c r="B83" s="142"/>
      <c r="C83" s="14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3"/>
    </row>
    <row r="84" s="1" customFormat="1" ht="24" customHeight="1" spans="1:22">
      <c r="A84" s="144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6"/>
    </row>
    <row r="88" s="1" customFormat="1" spans="1:22">
      <c r="L88" s="133"/>
      <c r="R88" s="147"/>
      <c r="S88" s="147"/>
    </row>
    <row r="92" s="1" customFormat="1" spans="1:22">
      <c r="J92" s="133"/>
    </row>
    <row r="94" s="1" customFormat="1" spans="1:22">
      <c r="L94" s="133" t="s">
        <v>96</v>
      </c>
    </row>
    <row r="95" s="1" customFormat="1" spans="1:22">
      <c r="L95" s="133"/>
    </row>
    <row r="96" s="1" customFormat="1" spans="1:22">
      <c r="L96" s="133" t="s">
        <v>96</v>
      </c>
    </row>
  </sheetData>
  <mergeCells count="47">
    <mergeCell ref="A1:V1"/>
    <mergeCell ref="A2:V2"/>
    <mergeCell ref="A3:V3"/>
    <mergeCell ref="A7:B7"/>
    <mergeCell ref="C7:L7"/>
    <mergeCell ref="M7:V7"/>
    <mergeCell ref="A12:L12"/>
    <mergeCell ref="M12:V12"/>
    <mergeCell ref="A18:V18"/>
    <mergeCell ref="A34:B34"/>
    <mergeCell ref="B35:E35"/>
    <mergeCell ref="F35:K35"/>
    <mergeCell ref="L35:P35"/>
    <mergeCell ref="Q35:V35"/>
    <mergeCell ref="B36:E36"/>
    <mergeCell ref="F36:K36"/>
    <mergeCell ref="L36:P36"/>
    <mergeCell ref="Q36:V36"/>
    <mergeCell ref="B37:E37"/>
    <mergeCell ref="F37:K37"/>
    <mergeCell ref="L37:P37"/>
    <mergeCell ref="Q37:V37"/>
    <mergeCell ref="B38:E38"/>
    <mergeCell ref="F38:K38"/>
    <mergeCell ref="L38:P38"/>
    <mergeCell ref="Q38:V38"/>
    <mergeCell ref="B39:E39"/>
    <mergeCell ref="F39:K39"/>
    <mergeCell ref="L39:P39"/>
    <mergeCell ref="Q39:V39"/>
    <mergeCell ref="B40:E40"/>
    <mergeCell ref="F40:K40"/>
    <mergeCell ref="L40:P40"/>
    <mergeCell ref="Q40:V40"/>
    <mergeCell ref="L41:M41"/>
    <mergeCell ref="L56:M56"/>
    <mergeCell ref="X23:X24"/>
    <mergeCell ref="X25:X26"/>
    <mergeCell ref="X27:X28"/>
    <mergeCell ref="X29:X30"/>
    <mergeCell ref="X31:X32"/>
    <mergeCell ref="A4:V6"/>
    <mergeCell ref="I13:L15"/>
    <mergeCell ref="M13:V17"/>
    <mergeCell ref="I16:L17"/>
    <mergeCell ref="N41:V71"/>
    <mergeCell ref="A72:V84"/>
  </mergeCells>
  <conditionalFormatting sqref="B20">
    <cfRule type="cellIs" dxfId="0" priority="1" operator="lessThan">
      <formula>6</formula>
    </cfRule>
  </conditionalFormatting>
  <pageMargins left="0.75" right="0.75" top="1" bottom="1" header="0.511805555555556" footer="0.511805555555556"/>
  <pageSetup paperSize="9" orientation="portrait"/>
  <headerFooter alignWithMargins="0"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2023-05-12T11:23:08Z</dcterms:created>
  <dcterms:modified xsi:type="dcterms:W3CDTF">2026-05-07T04:54:36Z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02B5888BF5554D5BB9AE81D9AF8EB790_13</vt:lpwstr>
  </property>
  <property fmtid="{D5CDD505-2E9C-101B-9397-08002B2CF9AE}" pid="4" name="CalculationRule">
    <vt:i4>0</vt:i4>
  </property>
</Properties>
</file>