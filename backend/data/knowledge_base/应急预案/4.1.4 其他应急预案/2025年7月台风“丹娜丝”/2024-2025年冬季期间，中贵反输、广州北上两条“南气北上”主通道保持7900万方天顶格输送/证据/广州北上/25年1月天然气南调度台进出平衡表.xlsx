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4175" activeTab="6"/>
  </bookViews>
  <sheets>
    <sheet name="平衡输差" sheetId="1" r:id="rId1"/>
    <sheet name="中缅+广南西" sheetId="2" r:id="rId2"/>
    <sheet name="西三东+海西" sheetId="3" r:id="rId3"/>
    <sheet name="中贵" sheetId="4" r:id="rId4"/>
    <sheet name="广西管道" sheetId="5" r:id="rId5"/>
    <sheet name="海南管网" sheetId="6" r:id="rId6"/>
    <sheet name="西二线" sheetId="7" r:id="rId7"/>
    <sheet name="日指定完成情况-不分托" sheetId="8" r:id="rId8"/>
    <sheet name="日指定完成情况-分托" sheetId="9" r:id="rId9"/>
    <sheet name="运行分析" sheetId="10" r:id="rId10"/>
    <sheet name="气质台账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<sst xmlns="http://schemas.openxmlformats.org/spreadsheetml/2006/main" count="5313" uniqueCount="1608">
  <si>
    <t>南部台平衡输差汇总表</t>
  </si>
  <si>
    <t>日期</t>
  </si>
  <si>
    <t>平衡</t>
  </si>
  <si>
    <t>输差</t>
  </si>
  <si>
    <t>(中缅+广南西、广西、西三东)</t>
  </si>
  <si>
    <t>二级管道 (海南）</t>
  </si>
  <si>
    <t>总平衡</t>
  </si>
  <si>
    <t>明细</t>
  </si>
  <si>
    <t>一级管道</t>
  </si>
  <si>
    <t>总输差</t>
  </si>
  <si>
    <t>中缅+广南西</t>
  </si>
  <si>
    <t>中贵（含播州东）</t>
  </si>
  <si>
    <t>西三东+海西</t>
  </si>
  <si>
    <t>广西管道</t>
  </si>
  <si>
    <t>海南管网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</si>
  <si>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</si>
  <si>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</si>
  <si>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</si>
  <si>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</si>
  <si>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</si>
  <si>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</si>
  <si>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</si>
  <si>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</si>
  <si>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</si>
  <si>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</si>
  <si>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</si>
  <si>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</si>
  <si>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</si>
  <si>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</si>
  <si>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</si>
  <si>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</si>
  <si>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</si>
  <si>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</si>
  <si>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</si>
  <si>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</si>
  <si>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</si>
  <si>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</si>
  <si>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</si>
  <si>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</si>
  <si>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</si>
  <si>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</si>
  <si>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</si>
  <si>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</si>
  <si>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</si>
  <si>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</si>
  <si>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</si>
  <si>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</si>
  <si>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中缅线+广南西进销平衡表</t>
  </si>
  <si>
    <t>进气</t>
  </si>
  <si>
    <t>出气</t>
  </si>
  <si>
    <t>管存</t>
  </si>
  <si>
    <t>耗气与放空明细</t>
  </si>
  <si>
    <t>上载气源</t>
  </si>
  <si>
    <t>转供</t>
  </si>
  <si>
    <t>进气合计</t>
  </si>
  <si>
    <t>销售</t>
  </si>
  <si>
    <t>耗气与放空</t>
  </si>
  <si>
    <t>出气合计</t>
  </si>
  <si>
    <t>中缅线</t>
  </si>
  <si>
    <t>广南支干线西段</t>
  </si>
  <si>
    <t>管存合计</t>
  </si>
  <si>
    <t>管存变化</t>
  </si>
  <si>
    <t>放空</t>
  </si>
  <si>
    <t>自耗</t>
  </si>
  <si>
    <t>瑞丽首站</t>
  </si>
  <si>
    <t>28#阀室</t>
  </si>
  <si>
    <t>贵阳输气站</t>
  </si>
  <si>
    <t>梧州分输清管站</t>
  </si>
  <si>
    <t>钦州输气站</t>
  </si>
  <si>
    <t>来宾合建站</t>
  </si>
  <si>
    <t>南宁输气站</t>
  </si>
  <si>
    <t>中缅天然气干线</t>
  </si>
  <si>
    <t>桂林支线</t>
  </si>
  <si>
    <t>防城港支线</t>
  </si>
  <si>
    <t>河池支线</t>
  </si>
  <si>
    <t>独山支线</t>
  </si>
  <si>
    <t>钦州支线</t>
  </si>
  <si>
    <t>玉溪支线</t>
  </si>
  <si>
    <t>丽江支线</t>
  </si>
  <si>
    <t>福泉支线</t>
  </si>
  <si>
    <t>都匀支线</t>
  </si>
  <si>
    <t>平塘支线</t>
  </si>
  <si>
    <t>中缅销售合计</t>
  </si>
  <si>
    <t>崇左支线</t>
  </si>
  <si>
    <t>苍梧-贺州支线</t>
  </si>
  <si>
    <t>广南支线西段</t>
  </si>
  <si>
    <t>贵港-玉林支线</t>
  </si>
  <si>
    <t>南宁-百色支线</t>
  </si>
  <si>
    <t>广南西销售合计</t>
  </si>
  <si>
    <t>销气合计</t>
  </si>
  <si>
    <t>钦州分输站</t>
  </si>
  <si>
    <t>来宾分输站</t>
  </si>
  <si>
    <t>南宁末站</t>
  </si>
  <si>
    <t>荔波支线</t>
  </si>
  <si>
    <t>中缅天然气管道 桂林-阳朔-荔浦支线</t>
  </si>
  <si>
    <t>三都支线</t>
  </si>
  <si>
    <t>长顺支线</t>
  </si>
  <si>
    <t>陇川支线</t>
  </si>
  <si>
    <t>中缅管存合计</t>
  </si>
  <si>
    <t>梧州-岑溪支线</t>
  </si>
  <si>
    <t>广南支干线管存合计</t>
  </si>
  <si>
    <t>月累</t>
  </si>
  <si>
    <t>年累</t>
  </si>
  <si>
    <t>西三线东段干线+海西德化支线进销平衡表</t>
  </si>
  <si>
    <t>内转供</t>
  </si>
  <si>
    <t>西三东干线</t>
  </si>
  <si>
    <t>漳州LNG外输管道</t>
  </si>
  <si>
    <t>德化联络线</t>
  </si>
  <si>
    <t>海西</t>
  </si>
  <si>
    <r>
      <rPr>
        <sz val="10"/>
        <color rgb="FF000000"/>
        <rFont val="Dialog.plain"/>
        <charset val="134"/>
      </rPr>
      <t>福州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(莆田LNG)</t>
    </r>
  </si>
  <si>
    <r>
      <rPr>
        <sz val="10"/>
        <color rgb="FF000000"/>
        <rFont val="Dialog.plain"/>
        <charset val="134"/>
      </rPr>
      <t>营前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(莆田LNG)</t>
    </r>
  </si>
  <si>
    <r>
      <rPr>
        <sz val="10"/>
        <color rgb="FF000000"/>
        <rFont val="Dialog.plain"/>
        <charset val="134"/>
      </rPr>
      <t>漳州LNG接收站</t>
    </r>
  </si>
  <si>
    <t>漳州</t>
  </si>
  <si>
    <t>西三线东段</t>
  </si>
  <si>
    <t>海西二期管道</t>
  </si>
  <si>
    <t>吉安</t>
  </si>
  <si>
    <t>营前</t>
  </si>
  <si>
    <t>西三线东段干线</t>
  </si>
  <si>
    <t>漳州-诏安段</t>
  </si>
  <si>
    <t>福州-福鼎段</t>
  </si>
  <si>
    <t>德化支线</t>
  </si>
  <si>
    <t>福州</t>
  </si>
  <si>
    <t>福州联络线</t>
  </si>
  <si>
    <t>漳州联络线</t>
  </si>
  <si>
    <t>漳州-龙岩段</t>
  </si>
  <si>
    <t>中贵线进销平衡表</t>
  </si>
  <si>
    <t>西南油气田</t>
  </si>
  <si>
    <t>相国寺采气</t>
  </si>
  <si>
    <t>相国寺注气</t>
  </si>
  <si>
    <t>陇西支线</t>
  </si>
  <si>
    <t>中卫-贵阳联络线 干线</t>
  </si>
  <si>
    <t>中卫-贵阳联络线 江津-支坪支线</t>
  </si>
  <si>
    <t>固原-原州联络线</t>
  </si>
  <si>
    <t>陇南支线</t>
  </si>
  <si>
    <t>潼南支线</t>
  </si>
  <si>
    <t>中卫-贵阳联络线 广元电厂支线</t>
  </si>
  <si>
    <t>天水支线</t>
  </si>
  <si>
    <t>中贵线-元坝普光互联互通管道</t>
  </si>
  <si>
    <t>一级管线管存合计</t>
  </si>
  <si>
    <t>播州东支线</t>
  </si>
  <si>
    <t>武胜</t>
  </si>
  <si>
    <t>铜梁</t>
  </si>
  <si>
    <t>江津</t>
  </si>
  <si>
    <t>西二三中卫</t>
  </si>
  <si>
    <t>川东北元坝</t>
  </si>
  <si>
    <t>川二铜梁</t>
  </si>
  <si>
    <t>中缅贵阳</t>
  </si>
  <si>
    <t>西一中卫</t>
  </si>
  <si>
    <t>西三中靖</t>
  </si>
  <si>
    <t>西三原州</t>
  </si>
  <si>
    <r>
      <rPr>
        <sz val="10"/>
        <color rgb="FF000000"/>
        <rFont val="Dialog.plain"/>
        <charset val="134"/>
      </rPr>
      <t>中贵线</t>
    </r>
  </si>
  <si>
    <t>广西管道进销平衡表</t>
  </si>
  <si>
    <t>涠洲岛1#</t>
  </si>
  <si>
    <t>西二线东段</t>
  </si>
  <si>
    <t>广东省网</t>
  </si>
  <si>
    <t>新气管道</t>
  </si>
  <si>
    <t>柳州支线</t>
  </si>
  <si>
    <t>广西天然气管道桂林支线</t>
  </si>
  <si>
    <t>广西管道干线</t>
  </si>
  <si>
    <t>南宁互联互通管道</t>
  </si>
  <si>
    <r>
      <rPr>
        <sz val="10"/>
        <color rgb="FF000000"/>
        <rFont val="Dialog.plain"/>
        <charset val="134"/>
      </rPr>
      <t>粤西支线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(广西段)</t>
    </r>
  </si>
  <si>
    <r>
      <rPr>
        <sz val="10"/>
        <color rgb="FF000000"/>
        <rFont val="Dialog.plain"/>
        <charset val="134"/>
      </rPr>
      <t>粤西支线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(广东段)</t>
    </r>
  </si>
  <si>
    <r>
      <rPr>
        <sz val="10"/>
        <color rgb="FF000000"/>
        <rFont val="Dialog.plain"/>
        <charset val="134"/>
      </rPr>
      <t>书房仔至廉江联络线</t>
    </r>
  </si>
  <si>
    <t>北海LNG分托运商明细</t>
  </si>
  <si>
    <t>钦州</t>
  </si>
  <si>
    <t>来宾</t>
  </si>
  <si>
    <t>南宁</t>
  </si>
  <si>
    <r>
      <rPr>
        <sz val="10"/>
        <color rgb="FF000000"/>
        <rFont val="Dialog.plain"/>
        <charset val="134"/>
      </rPr>
      <t>白沙输气站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（广东省网）</t>
    </r>
  </si>
  <si>
    <r>
      <rPr>
        <sz val="10"/>
        <color rgb="FF000000"/>
        <rFont val="Dialog.plain"/>
        <charset val="134"/>
      </rPr>
      <t>茂名分输站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（广东省网）</t>
    </r>
  </si>
  <si>
    <t>桂林LNG</t>
  </si>
  <si>
    <r>
      <rPr>
        <sz val="10"/>
        <color rgb="FF000000"/>
        <rFont val="Dialog.plain"/>
        <charset val="134"/>
      </rPr>
      <t>粤西支线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（广西段）</t>
    </r>
  </si>
  <si>
    <r>
      <rPr>
        <sz val="10"/>
        <color rgb="FF000000"/>
        <rFont val="Dialog.plain"/>
        <charset val="134"/>
      </rPr>
      <t>粤西支线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（广东段）</t>
    </r>
  </si>
  <si>
    <r>
      <rPr>
        <sz val="10"/>
        <color rgb="FF000000"/>
        <rFont val="Dialog.plain"/>
        <charset val="134"/>
      </rPr>
      <t>粤西支线书房仔至廉江联络线</t>
    </r>
  </si>
  <si>
    <r>
      <rPr>
        <sz val="10"/>
        <color rgb="FF000000"/>
        <rFont val="Dialog.plain"/>
        <charset val="134"/>
      </rPr>
      <t>白沙输气站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（广西管道）</t>
    </r>
  </si>
  <si>
    <r>
      <rPr>
        <sz val="10"/>
        <color rgb="FF000000"/>
        <rFont val="Dialog.plain"/>
        <charset val="134"/>
      </rPr>
      <t>茂名分输站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（广西管道）</t>
    </r>
  </si>
  <si>
    <r>
      <rPr>
        <sz val="10"/>
        <color rgb="FF000000"/>
        <rFont val="Dialog.plain"/>
        <charset val="134"/>
      </rPr>
      <t>广西管道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（不包含粤西）</t>
    </r>
  </si>
  <si>
    <r>
      <rPr>
        <sz val="10"/>
        <color rgb="FF000000"/>
        <rFont val="Dialog.plain"/>
        <charset val="134"/>
      </rPr>
      <t>粤西管道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（广西段）</t>
    </r>
  </si>
  <si>
    <r>
      <rPr>
        <sz val="10"/>
        <color rgb="FF000000"/>
        <rFont val="Dialog.plain"/>
        <charset val="134"/>
      </rPr>
      <t>粤西管道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（广东段）</t>
    </r>
  </si>
  <si>
    <t>中石油</t>
  </si>
  <si>
    <t>中海油</t>
  </si>
  <si>
    <t>中石化</t>
  </si>
  <si>
    <t>新奥能投</t>
  </si>
  <si>
    <t>国家管网西气</t>
  </si>
  <si>
    <t>合计</t>
  </si>
  <si>
    <t>海南管网进销平衡表</t>
  </si>
  <si>
    <r>
      <rPr>
        <b/>
        <sz val="10"/>
        <color rgb="FF000000"/>
        <rFont val="Dialog.bold"/>
        <charset val="134"/>
      </rPr>
      <t>输差</t>
    </r>
  </si>
  <si>
    <t>海南LNG</t>
  </si>
  <si>
    <t>南山海气</t>
  </si>
  <si>
    <t>东方海气</t>
  </si>
  <si>
    <t>约亭管线</t>
  </si>
  <si>
    <t>文昌-琼海-万宁-三亚管线</t>
  </si>
  <si>
    <t>昌江支线</t>
  </si>
  <si>
    <t>东方-儋州-洋浦段</t>
  </si>
  <si>
    <t>三八输气管道</t>
  </si>
  <si>
    <t>海文管线</t>
  </si>
  <si>
    <t>儋老输气管道</t>
  </si>
  <si>
    <t>海南LNG复线</t>
  </si>
  <si>
    <t>东崖连接线</t>
  </si>
  <si>
    <t>西二线（吉安以南）进销平衡表灰底不参与进销平衡表</t>
  </si>
  <si>
    <r>
      <rPr>
        <b/>
        <sz val="10"/>
        <color rgb="FF000000"/>
        <rFont val="Dialog.bold"/>
        <charset val="134"/>
      </rPr>
      <t>吉安北上</t>
    </r>
    <r>
      <rPr>
        <b/>
        <sz val="10"/>
        <color rgb="FF000000"/>
        <rFont val="Dialog.bold"/>
        <charset val="134"/>
      </rPr>
      <t xml:space="preserve">
</t>
    </r>
    <r>
      <rPr>
        <b/>
        <sz val="10"/>
        <color rgb="FF000000"/>
        <rFont val="Dialog.bold"/>
        <charset val="134"/>
      </rPr>
      <t>(反算)</t>
    </r>
  </si>
  <si>
    <t>广州北上量</t>
  </si>
  <si>
    <t>深圳LNG</t>
  </si>
  <si>
    <r>
      <rPr>
        <sz val="10"/>
        <color rgb="FF000000"/>
        <rFont val="Dialog.plain"/>
        <charset val="134"/>
      </rPr>
      <t xml:space="preserve">揭阳分输站 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(粤东LNG)</t>
    </r>
  </si>
  <si>
    <t>广南西</t>
  </si>
  <si>
    <t>西三东</t>
  </si>
  <si>
    <r>
      <rPr>
        <sz val="10"/>
        <color rgb="FF000000"/>
        <rFont val="Dialog.plain"/>
        <charset val="134"/>
      </rPr>
      <t>华瀛LNG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(所城站)</t>
    </r>
  </si>
  <si>
    <r>
      <rPr>
        <sz val="10"/>
        <color rgb="FF000000"/>
        <rFont val="Dialog.plain"/>
        <charset val="134"/>
      </rPr>
      <t>粤东LNG</t>
    </r>
    <r>
      <rPr>
        <sz val="10"/>
        <color rgb="FF000000"/>
        <rFont val="Dialog.plain"/>
        <charset val="134"/>
      </rPr>
      <t xml:space="preserve">
</t>
    </r>
    <r>
      <rPr>
        <sz val="10"/>
        <color rgb="FF000000"/>
        <rFont val="Dialog.plain"/>
        <charset val="134"/>
      </rPr>
      <t>(揭阳首站)</t>
    </r>
  </si>
  <si>
    <t>西三线</t>
  </si>
  <si>
    <t>吉安-广州</t>
  </si>
  <si>
    <t>广深支干线</t>
  </si>
  <si>
    <t>广南支线东段</t>
  </si>
  <si>
    <t>香港支线</t>
  </si>
  <si>
    <t>闽粤支干线（广州-潮州段）</t>
  </si>
  <si>
    <t>深圳LNG外输管道</t>
  </si>
  <si>
    <t>新丰专线</t>
  </si>
  <si>
    <t>潮阳支线</t>
  </si>
  <si>
    <t>浮洋分输站-莲华末站段干线</t>
  </si>
  <si>
    <t>普宁支线</t>
  </si>
  <si>
    <t>粤东外输管道干线</t>
  </si>
  <si>
    <t>吉安-广州销售明细</t>
  </si>
  <si>
    <t>梧州</t>
  </si>
  <si>
    <t>广州</t>
  </si>
  <si>
    <t>韶关</t>
  </si>
  <si>
    <t>吉安-广州干线</t>
  </si>
  <si>
    <t>揭阳-梅州支干线</t>
  </si>
  <si>
    <t>海丰-惠来联络线</t>
  </si>
  <si>
    <t>西三线河源-河源末站</t>
  </si>
  <si>
    <t>广州分输压气站</t>
  </si>
  <si>
    <t>韶关首站</t>
  </si>
  <si>
    <t>肇庆分输站</t>
  </si>
  <si>
    <t>东莞分输站</t>
  </si>
  <si>
    <t>河源分输清管站</t>
  </si>
  <si>
    <t>西三线揭阳站</t>
  </si>
  <si>
    <t>韶关分输清管站</t>
  </si>
  <si>
    <t>吉安分输清管站</t>
  </si>
  <si>
    <t>149#阀室</t>
  </si>
  <si>
    <t>南雄分输站</t>
  </si>
  <si>
    <t>赣州分输清管站</t>
  </si>
  <si>
    <t>天然气下载南部台（不分托运商）</t>
  </si>
  <si>
    <t>管网名称</t>
  </si>
  <si>
    <t>管线名称</t>
  </si>
  <si>
    <t>场站名称</t>
  </si>
  <si>
    <t>客户名称</t>
  </si>
  <si>
    <t>省份</t>
  </si>
  <si>
    <t>调度台</t>
  </si>
  <si>
    <t>日指定</t>
  </si>
  <si>
    <t>日指定月累计</t>
  </si>
  <si>
    <t>日完成</t>
  </si>
  <si>
    <t>日偏差</t>
  </si>
  <si>
    <t>日偏差率%</t>
  </si>
  <si>
    <t>超过标准</t>
  </si>
  <si>
    <t>月累计</t>
  </si>
  <si>
    <t>年累计</t>
  </si>
  <si>
    <t>超欠原因</t>
  </si>
  <si>
    <t>西气东输二线东段干线（吉安-广州）</t>
  </si>
  <si>
    <t>西二线</t>
  </si>
  <si>
    <t>西气东输二线东段干线</t>
  </si>
  <si>
    <t>广州新奥</t>
  </si>
  <si>
    <t>广东</t>
  </si>
  <si>
    <t>中部台</t>
  </si>
  <si>
    <t>0%</t>
  </si>
  <si>
    <t>-</t>
  </si>
  <si>
    <t>佛山燃气</t>
  </si>
  <si>
    <t>广州石化</t>
  </si>
  <si>
    <t>佛山福能电厂</t>
  </si>
  <si>
    <t>清远港华</t>
  </si>
  <si>
    <t>广州燃气</t>
  </si>
  <si>
    <t>广州联穗能源</t>
  </si>
  <si>
    <t>广州九丰</t>
  </si>
  <si>
    <t>花都昆仑</t>
  </si>
  <si>
    <t>从化昆仑</t>
  </si>
  <si>
    <t>-26.08%</t>
  </si>
  <si>
    <t>√</t>
  </si>
  <si>
    <t>因下游工业用户计划量减少，造成日指定未完成</t>
  </si>
  <si>
    <t>番禺煤气</t>
  </si>
  <si>
    <t>吉安CNG</t>
  </si>
  <si>
    <t>江西</t>
  </si>
  <si>
    <t>井冈山天然气</t>
  </si>
  <si>
    <t>0.49%</t>
  </si>
  <si>
    <t>吉安华润</t>
  </si>
  <si>
    <t>2.63%</t>
  </si>
  <si>
    <t>下游工业用户临时增加产能，导致超日指定</t>
  </si>
  <si>
    <t>大余中油</t>
  </si>
  <si>
    <t>0.02%</t>
  </si>
  <si>
    <t>始兴昆仑</t>
  </si>
  <si>
    <t>-40.32%</t>
  </si>
  <si>
    <t>韶关港华</t>
  </si>
  <si>
    <t>南雄佛燃</t>
  </si>
  <si>
    <t>-33.76%</t>
  </si>
  <si>
    <t>赣州深燃</t>
  </si>
  <si>
    <t>0.07%</t>
  </si>
  <si>
    <t>赣州CNG</t>
  </si>
  <si>
    <t>西气东输三线</t>
  </si>
  <si>
    <t>西气东输三线东段漳州LNG外输管道</t>
  </si>
  <si>
    <t>港尾分输站</t>
  </si>
  <si>
    <t>龙海安然</t>
  </si>
  <si>
    <t>福建</t>
  </si>
  <si>
    <t>南部台</t>
  </si>
  <si>
    <t>12.52%</t>
  </si>
  <si>
    <t>气温骤降，用气量增加，导致超日指定</t>
  </si>
  <si>
    <t>西气东输三线东段干线</t>
  </si>
  <si>
    <t>西三线东段157#阀室</t>
  </si>
  <si>
    <t>泰和华润燃气</t>
  </si>
  <si>
    <t>0.06%</t>
  </si>
  <si>
    <t>福州末站</t>
  </si>
  <si>
    <t>闽侯华润</t>
  </si>
  <si>
    <t>泉州分输清管站</t>
  </si>
  <si>
    <t>泉州燃气</t>
  </si>
  <si>
    <t>-0.01%</t>
  </si>
  <si>
    <t>莆田分输联络站</t>
  </si>
  <si>
    <t>莆田旷远</t>
  </si>
  <si>
    <t>-6.98%</t>
  </si>
  <si>
    <t>瑞金分输清管站</t>
  </si>
  <si>
    <t>瑞金深燃</t>
  </si>
  <si>
    <t>0.09%</t>
  </si>
  <si>
    <t>龙岩分输清管站</t>
  </si>
  <si>
    <t>龙岩华润</t>
  </si>
  <si>
    <t>-5.45%</t>
  </si>
  <si>
    <t>161#阀室</t>
  </si>
  <si>
    <t>兴国家欢</t>
  </si>
  <si>
    <t>10.8%</t>
  </si>
  <si>
    <t>角美分输站</t>
  </si>
  <si>
    <t>经发燃气</t>
  </si>
  <si>
    <t>漳州分输清管站</t>
  </si>
  <si>
    <t>晟鑫能源</t>
  </si>
  <si>
    <t>福建中铭</t>
  </si>
  <si>
    <t>同安分输站</t>
  </si>
  <si>
    <t>厦门华润</t>
  </si>
  <si>
    <t>-18.35%</t>
  </si>
  <si>
    <t>福清分输站</t>
  </si>
  <si>
    <t>福州华润</t>
  </si>
  <si>
    <t>-5.29%</t>
  </si>
  <si>
    <t>海沧分输站</t>
  </si>
  <si>
    <t>0.04%</t>
  </si>
  <si>
    <t>长汀分输站</t>
  </si>
  <si>
    <t>长汀福燃</t>
  </si>
  <si>
    <t>-13.14%</t>
  </si>
  <si>
    <t>于都分输站</t>
  </si>
  <si>
    <t>于都海特</t>
  </si>
  <si>
    <t>-17.51%</t>
  </si>
  <si>
    <t>天气转暖，用气量减少，无管存能力，造成日指定未完成</t>
  </si>
  <si>
    <t>上杭分输站</t>
  </si>
  <si>
    <t>西气东输三线东段闽粤支干线（广州-潮州段）</t>
  </si>
  <si>
    <t>西三线潮州站</t>
  </si>
  <si>
    <t>凤泉电厂</t>
  </si>
  <si>
    <t>潮州昆仑</t>
  </si>
  <si>
    <t>甘露电厂</t>
  </si>
  <si>
    <t>揭阳分输清管站</t>
  </si>
  <si>
    <t>国电投揭东电厂</t>
  </si>
  <si>
    <t>揭阳昆仑</t>
  </si>
  <si>
    <t>-0.32%</t>
  </si>
  <si>
    <t>揭东昆仑</t>
  </si>
  <si>
    <t>中缅天然气管线</t>
  </si>
  <si>
    <t>中缅天然气管线干线</t>
  </si>
  <si>
    <t>47#阀室</t>
  </si>
  <si>
    <t>贵州管网</t>
  </si>
  <si>
    <t>贵州</t>
  </si>
  <si>
    <t>龙陵分输站</t>
  </si>
  <si>
    <t>云南昆仑</t>
  </si>
  <si>
    <t>云南</t>
  </si>
  <si>
    <t>楚雄分输站</t>
  </si>
  <si>
    <t>攀枝花川港</t>
  </si>
  <si>
    <t>-0.15%</t>
  </si>
  <si>
    <t>楚雄昆仑燃气</t>
  </si>
  <si>
    <t>-0.1%</t>
  </si>
  <si>
    <t>24#阀室</t>
  </si>
  <si>
    <t>云南省天司销售</t>
  </si>
  <si>
    <t>-0.3%</t>
  </si>
  <si>
    <t>弥渡分输清管站</t>
  </si>
  <si>
    <t>能迅天然气</t>
  </si>
  <si>
    <t>弥渡恒泰</t>
  </si>
  <si>
    <t>-76.15%</t>
  </si>
  <si>
    <t>下游工业用户设备故障，造成日指定未完成</t>
  </si>
  <si>
    <t>曲靖分输清管站</t>
  </si>
  <si>
    <t>云投能源</t>
  </si>
  <si>
    <t>-3%</t>
  </si>
  <si>
    <t>曲靖华油</t>
  </si>
  <si>
    <t>-0.04%</t>
  </si>
  <si>
    <t>35#阀室</t>
  </si>
  <si>
    <t>0.33%</t>
  </si>
  <si>
    <t>宜州分输站</t>
  </si>
  <si>
    <t>宜州嘉和</t>
  </si>
  <si>
    <t>广西</t>
  </si>
  <si>
    <t>广投管网</t>
  </si>
  <si>
    <t>中缅9#阀室</t>
  </si>
  <si>
    <t>-1.67%</t>
  </si>
  <si>
    <t>安顺分输清管站</t>
  </si>
  <si>
    <t>安顺中石油昆仑百灵</t>
  </si>
  <si>
    <t>-0.19%</t>
  </si>
  <si>
    <t>中缅17#阀室</t>
  </si>
  <si>
    <t>20#阀室</t>
  </si>
  <si>
    <t>南华昆能</t>
  </si>
  <si>
    <t>31#阀室</t>
  </si>
  <si>
    <t>-2.44%</t>
  </si>
  <si>
    <t>禄丰分输清管站</t>
  </si>
  <si>
    <t>禄丰昆仑</t>
  </si>
  <si>
    <t>-0.25%</t>
  </si>
  <si>
    <t>禄丰神州</t>
  </si>
  <si>
    <t>0.37%</t>
  </si>
  <si>
    <t>41#阀室</t>
  </si>
  <si>
    <t>0.35%</t>
  </si>
  <si>
    <t>33#阀室</t>
  </si>
  <si>
    <t>-0.18%</t>
  </si>
  <si>
    <t>寻甸站</t>
  </si>
  <si>
    <t>滇凯玻璃</t>
  </si>
  <si>
    <t>-8.02%</t>
  </si>
  <si>
    <t>芒市分输清管站</t>
  </si>
  <si>
    <t>德宏中石油昆仑燃气</t>
  </si>
  <si>
    <t>-6.75%</t>
  </si>
  <si>
    <t>分输压力较高，造成日指定未完成</t>
  </si>
  <si>
    <t>保山分输压气站</t>
  </si>
  <si>
    <t>保山中石油昆仑燃气</t>
  </si>
  <si>
    <t>-0.16%</t>
  </si>
  <si>
    <t>-5.96%</t>
  </si>
  <si>
    <t>38#阀室</t>
  </si>
  <si>
    <t>-0.12%</t>
  </si>
  <si>
    <t>曲靖盛能</t>
  </si>
  <si>
    <t>-2.59%</t>
  </si>
  <si>
    <t>23#阀室</t>
  </si>
  <si>
    <t>禄丰华煜</t>
  </si>
  <si>
    <t>中缅天然气管线 桂林支线</t>
  </si>
  <si>
    <t>永福输气站</t>
  </si>
  <si>
    <t>3#监控阀室</t>
  </si>
  <si>
    <t>-0.5%</t>
  </si>
  <si>
    <t>桂林输气站</t>
  </si>
  <si>
    <t>桂林华能</t>
  </si>
  <si>
    <t>-2.66%</t>
  </si>
  <si>
    <t>-16.78%</t>
  </si>
  <si>
    <t>桂林昆燃</t>
  </si>
  <si>
    <t>柳州输气站</t>
  </si>
  <si>
    <t>中缅天然气支线 防城港支线</t>
  </si>
  <si>
    <t>防城港输气站</t>
  </si>
  <si>
    <t>-4.4%</t>
  </si>
  <si>
    <t>防城港广盛</t>
  </si>
  <si>
    <t>-18.71%</t>
  </si>
  <si>
    <t>中缅天然气管线 河池支线</t>
  </si>
  <si>
    <t>河池支线输气站</t>
  </si>
  <si>
    <t>-8.58%</t>
  </si>
  <si>
    <t>中缅天然气管线 独山支线</t>
  </si>
  <si>
    <t>独山分输站</t>
  </si>
  <si>
    <t>独山华润</t>
  </si>
  <si>
    <t>0.03%</t>
  </si>
  <si>
    <t>中缅天然气管线 钦州支线</t>
  </si>
  <si>
    <t>6#监视阀室</t>
  </si>
  <si>
    <t>广西昆仑</t>
  </si>
  <si>
    <t>-17.94%</t>
  </si>
  <si>
    <t>-10.78%</t>
  </si>
  <si>
    <t>钦州港输气站</t>
  </si>
  <si>
    <t>钦州胜利</t>
  </si>
  <si>
    <t>-0.11%</t>
  </si>
  <si>
    <t>广西石化</t>
  </si>
  <si>
    <t>-11.06%</t>
  </si>
  <si>
    <t>钦州昆燃</t>
  </si>
  <si>
    <t>-13.24%</t>
  </si>
  <si>
    <t>中缅天然气管线 玉溪支线</t>
  </si>
  <si>
    <t>1#阀室</t>
  </si>
  <si>
    <t>安宁昆仑</t>
  </si>
  <si>
    <t>-1.4%</t>
  </si>
  <si>
    <t>玉溪站</t>
  </si>
  <si>
    <t>-0.34%</t>
  </si>
  <si>
    <t>玉溪燃气</t>
  </si>
  <si>
    <t>3#阀室</t>
  </si>
  <si>
    <t>晋宁润燃</t>
  </si>
  <si>
    <t>-0.23%</t>
  </si>
  <si>
    <t>安宁站</t>
  </si>
  <si>
    <t>云南裕能</t>
  </si>
  <si>
    <t>云南石化</t>
  </si>
  <si>
    <t>-0.67%</t>
  </si>
  <si>
    <t>-5.33%</t>
  </si>
  <si>
    <t>安宁锐狮</t>
  </si>
  <si>
    <t>-9.58%</t>
  </si>
  <si>
    <t>中缅天然气管线 丽江支线</t>
  </si>
  <si>
    <t>大理站</t>
  </si>
  <si>
    <t>大理昆仑燃气</t>
  </si>
  <si>
    <t>-0.14%</t>
  </si>
  <si>
    <t>大理苍南</t>
  </si>
  <si>
    <t>丽江6#阀室</t>
  </si>
  <si>
    <t>鹤庆恒泰</t>
  </si>
  <si>
    <t>丽江站</t>
  </si>
  <si>
    <t>丽江昆燃</t>
  </si>
  <si>
    <t>2#阀室</t>
  </si>
  <si>
    <t>宾川恒泰</t>
  </si>
  <si>
    <t>-0.03%</t>
  </si>
  <si>
    <t>4#阀室</t>
  </si>
  <si>
    <t>中缅天然气管线 福泉支线</t>
  </si>
  <si>
    <t>昌明分输站</t>
  </si>
  <si>
    <t>贵定盘江</t>
  </si>
  <si>
    <t>-0.17%</t>
  </si>
  <si>
    <t>昌明贵燃</t>
  </si>
  <si>
    <t>0.3%</t>
  </si>
  <si>
    <t>贵定分输站</t>
  </si>
  <si>
    <t>贵定鼎诚</t>
  </si>
  <si>
    <t>福泉末站</t>
  </si>
  <si>
    <t>福泉昆仑</t>
  </si>
  <si>
    <t>黔南裕能</t>
  </si>
  <si>
    <t>中缅天然气管线 都匀支线</t>
  </si>
  <si>
    <t>都匀末站</t>
  </si>
  <si>
    <t>黔东南昆仑燃气</t>
  </si>
  <si>
    <t>-4.9%</t>
  </si>
  <si>
    <t>-12.99%</t>
  </si>
  <si>
    <t>中缅天然气管线 平塘支线</t>
  </si>
  <si>
    <t>平塘分输站</t>
  </si>
  <si>
    <t>平塘方根</t>
  </si>
  <si>
    <t>-34.5%</t>
  </si>
  <si>
    <t>海西二期管道漳州-诏安段</t>
  </si>
  <si>
    <t>诏安末站</t>
  </si>
  <si>
    <t>诏安安然</t>
  </si>
  <si>
    <t>10.76%</t>
  </si>
  <si>
    <t>旧镇分输站</t>
  </si>
  <si>
    <t>漳浦安然</t>
  </si>
  <si>
    <t>2.68%</t>
  </si>
  <si>
    <t>古雷华润</t>
  </si>
  <si>
    <t>常山分输站</t>
  </si>
  <si>
    <t>中联华瑞</t>
  </si>
  <si>
    <t>常山安然</t>
  </si>
  <si>
    <t>-14.5%</t>
  </si>
  <si>
    <t>海西二期管道福州-福鼎段</t>
  </si>
  <si>
    <t>营前分输站</t>
  </si>
  <si>
    <t>福建LNG</t>
  </si>
  <si>
    <t>长乐安然</t>
  </si>
  <si>
    <t>福安分输站</t>
  </si>
  <si>
    <t>福安新奥</t>
  </si>
  <si>
    <t>10.84%</t>
  </si>
  <si>
    <t>罗源分输站</t>
  </si>
  <si>
    <t>罗源华润</t>
  </si>
  <si>
    <t>2.52%</t>
  </si>
  <si>
    <t>连江分输站</t>
  </si>
  <si>
    <t>连江华润</t>
  </si>
  <si>
    <t>-2.42%</t>
  </si>
  <si>
    <t>双木洋清管站</t>
  </si>
  <si>
    <t>宁德福投</t>
  </si>
  <si>
    <t>30.53%</t>
  </si>
  <si>
    <t>琅岐分输站</t>
  </si>
  <si>
    <t>福州润能</t>
  </si>
  <si>
    <t>-28.06%</t>
  </si>
  <si>
    <t>宁德分输站</t>
  </si>
  <si>
    <t>宁德新奥</t>
  </si>
  <si>
    <t>6.55%</t>
  </si>
  <si>
    <t>福鼎末站</t>
  </si>
  <si>
    <t>福鼎安然</t>
  </si>
  <si>
    <t>15.43%</t>
  </si>
  <si>
    <t>柘荣分输站</t>
  </si>
  <si>
    <t>柘荣新奥</t>
  </si>
  <si>
    <t>-17%</t>
  </si>
  <si>
    <t>海西二期管道德化支线</t>
  </si>
  <si>
    <t>安溪分输站</t>
  </si>
  <si>
    <t>12.55%</t>
  </si>
  <si>
    <t>永春分输站</t>
  </si>
  <si>
    <t>19.92%</t>
  </si>
  <si>
    <t>德化分输站</t>
  </si>
  <si>
    <t>-6.27%</t>
  </si>
  <si>
    <t>中贵联络线</t>
  </si>
  <si>
    <t>中卫-贵阳联络线 陇西支线</t>
  </si>
  <si>
    <t>6#阀室</t>
  </si>
  <si>
    <t>武山金地</t>
  </si>
  <si>
    <t>甘肃</t>
  </si>
  <si>
    <t>-5.61%</t>
  </si>
  <si>
    <t>陇西末站</t>
  </si>
  <si>
    <t>榆洲能源</t>
  </si>
  <si>
    <t>陇西宏宇燃气</t>
  </si>
  <si>
    <t>-6.41%</t>
  </si>
  <si>
    <t>甘谷安济</t>
  </si>
  <si>
    <t>-12.17%</t>
  </si>
  <si>
    <t>江津分输压气站</t>
  </si>
  <si>
    <t>重庆管道（大唐）</t>
  </si>
  <si>
    <t>重庆</t>
  </si>
  <si>
    <t>68#分输阀室</t>
  </si>
  <si>
    <t>中贵14#阀室</t>
  </si>
  <si>
    <t>通渭城投</t>
  </si>
  <si>
    <t>-0.35%</t>
  </si>
  <si>
    <t>22#分输阀室</t>
  </si>
  <si>
    <t>成县川中</t>
  </si>
  <si>
    <t>71#阀室</t>
  </si>
  <si>
    <t>-2.95%</t>
  </si>
  <si>
    <t>11#分输阀室</t>
  </si>
  <si>
    <t>静宁巨能</t>
  </si>
  <si>
    <t>-9.98%</t>
  </si>
  <si>
    <t>固原压气站</t>
  </si>
  <si>
    <t>固原经纬</t>
  </si>
  <si>
    <t>宁夏</t>
  </si>
  <si>
    <t>遵义分输压气站</t>
  </si>
  <si>
    <t>-33.08%</t>
  </si>
  <si>
    <t>9#阀室</t>
  </si>
  <si>
    <t>西吉吉源</t>
  </si>
  <si>
    <t>0.05%</t>
  </si>
  <si>
    <t>武胜分输站</t>
  </si>
  <si>
    <t>四川</t>
  </si>
  <si>
    <t>55#分输阀室</t>
  </si>
  <si>
    <t>马坊输气站</t>
  </si>
  <si>
    <t>铜梁分输站</t>
  </si>
  <si>
    <t>西南油气田（华能）</t>
  </si>
  <si>
    <t>∞%</t>
  </si>
  <si>
    <t>63#阀室</t>
  </si>
  <si>
    <t>-3.29%</t>
  </si>
  <si>
    <t>16#分输阀室</t>
  </si>
  <si>
    <t>秦安天然气</t>
  </si>
  <si>
    <t>-16.53%</t>
  </si>
  <si>
    <t>贵州管网（燕楼-孟关）</t>
  </si>
  <si>
    <t>同心兴俊</t>
  </si>
  <si>
    <t>-0.07%</t>
  </si>
  <si>
    <t>广元分输压气站</t>
  </si>
  <si>
    <t>华气广元</t>
  </si>
  <si>
    <t>四川能投</t>
  </si>
  <si>
    <t>广元市天然气</t>
  </si>
  <si>
    <t>陇南清管分输站</t>
  </si>
  <si>
    <t>康县民康</t>
  </si>
  <si>
    <t>陕天然气</t>
  </si>
  <si>
    <t>19#分输阀室</t>
  </si>
  <si>
    <t>礼县德通</t>
  </si>
  <si>
    <t>-8.56%</t>
  </si>
  <si>
    <t>58#阀室</t>
  </si>
  <si>
    <t>0.12%</t>
  </si>
  <si>
    <t>20#分输阀室</t>
  </si>
  <si>
    <t>西和成昌</t>
  </si>
  <si>
    <t>28#分输阀室</t>
  </si>
  <si>
    <t>宁强旭日</t>
  </si>
  <si>
    <t>陕西</t>
  </si>
  <si>
    <t>66#阀室</t>
  </si>
  <si>
    <t>南部分输站</t>
  </si>
  <si>
    <t>贵阳北分输站</t>
  </si>
  <si>
    <t>中卫-贵阳联络线 潼南支线</t>
  </si>
  <si>
    <t>潼南末站</t>
  </si>
  <si>
    <t>华电重庆燃机</t>
  </si>
  <si>
    <t>中卫-贵阳联络线 天水支线</t>
  </si>
  <si>
    <t>天水末站</t>
  </si>
  <si>
    <t>天水燃气公司</t>
  </si>
  <si>
    <t>-12.53%</t>
  </si>
  <si>
    <t>中卫-贵阳联络线 陇南支线</t>
  </si>
  <si>
    <t>陇南末站</t>
  </si>
  <si>
    <t>武都宏远</t>
  </si>
  <si>
    <t>-9.18%</t>
  </si>
  <si>
    <t>中卫-贵阳联络线 播州东支线</t>
  </si>
  <si>
    <t>团溪分输站</t>
  </si>
  <si>
    <t>遵义昆仑</t>
  </si>
  <si>
    <t>龙坪分输站</t>
  </si>
  <si>
    <t>广西天然气管道粤西支线</t>
  </si>
  <si>
    <t>白沙输气站</t>
  </si>
  <si>
    <t>广西燃气</t>
  </si>
  <si>
    <t>-0.02%</t>
  </si>
  <si>
    <t>湛江输气站</t>
  </si>
  <si>
    <t>遂溪华润</t>
  </si>
  <si>
    <t>-3.33%</t>
  </si>
  <si>
    <t>华南销售中心</t>
  </si>
  <si>
    <t>茂名输气站(广西管道)</t>
  </si>
  <si>
    <t>-17.06%</t>
  </si>
  <si>
    <t>广西天然气管道柳州支线</t>
  </si>
  <si>
    <t>柳东输气站</t>
  </si>
  <si>
    <t>柳州东城</t>
  </si>
  <si>
    <t>-4.21%</t>
  </si>
  <si>
    <t>广西天然气管道主干线</t>
  </si>
  <si>
    <t>北海首站</t>
  </si>
  <si>
    <t>涠洲岛2号</t>
  </si>
  <si>
    <t>北部湾新奥</t>
  </si>
  <si>
    <t>-2.49%</t>
  </si>
  <si>
    <t>南宁通燃</t>
  </si>
  <si>
    <t>六景阀室</t>
  </si>
  <si>
    <t>神州燃气</t>
  </si>
  <si>
    <t>黎塘输气站</t>
  </si>
  <si>
    <t>宾阳润桂</t>
  </si>
  <si>
    <t>前村阀室</t>
  </si>
  <si>
    <t>柳州中燃</t>
  </si>
  <si>
    <t>-37.14%</t>
  </si>
  <si>
    <t>龙朝门站</t>
  </si>
  <si>
    <t>柳州港华</t>
  </si>
  <si>
    <t>粤西支线书房仔至廉江联络线</t>
  </si>
  <si>
    <t>廉江分输站</t>
  </si>
  <si>
    <t>廉江新奥</t>
  </si>
  <si>
    <t>-25.65%</t>
  </si>
  <si>
    <t>海南管道</t>
  </si>
  <si>
    <t>儋州-老城输气管道</t>
  </si>
  <si>
    <t>东洋海12#阀室</t>
  </si>
  <si>
    <t>海油金江燃气</t>
  </si>
  <si>
    <t>海南</t>
  </si>
  <si>
    <t>金江燃气</t>
  </si>
  <si>
    <t>东洋海3#阀室-昌江站</t>
  </si>
  <si>
    <t>昌江站</t>
  </si>
  <si>
    <t>海油昌江燃气</t>
  </si>
  <si>
    <t>海南民生昌江燃气</t>
  </si>
  <si>
    <t>万宁民生</t>
  </si>
  <si>
    <t>-39.48%</t>
  </si>
  <si>
    <t>城市燃气，用气量不稳定</t>
  </si>
  <si>
    <t>北大站</t>
  </si>
  <si>
    <t>大唐万宁电厂</t>
  </si>
  <si>
    <t>9.1%</t>
  </si>
  <si>
    <t>受电网调控，用户临时负荷增加，用气量增加，导致超日指定</t>
  </si>
  <si>
    <t>万宁槟榔城</t>
  </si>
  <si>
    <t>13%</t>
  </si>
  <si>
    <t>万宁分输站</t>
  </si>
  <si>
    <t>万宁神州半岛</t>
  </si>
  <si>
    <t>27#阀室</t>
  </si>
  <si>
    <t>陵水民生</t>
  </si>
  <si>
    <t>-16.31%</t>
  </si>
  <si>
    <t>海南LNG复线长输管道</t>
  </si>
  <si>
    <t>洋浦分输站</t>
  </si>
  <si>
    <t>海南炼化</t>
  </si>
  <si>
    <t>洋浦热电</t>
  </si>
  <si>
    <t>金海浆纸</t>
  </si>
  <si>
    <t>海南发电</t>
  </si>
  <si>
    <t>海口-文昌输气管道</t>
  </si>
  <si>
    <t>文昌站</t>
  </si>
  <si>
    <t>东路燃气（海南管道客户）</t>
  </si>
  <si>
    <t>海口站</t>
  </si>
  <si>
    <t>海油老城燃气</t>
  </si>
  <si>
    <t>-28.73%</t>
  </si>
  <si>
    <t>大唐海口电厂</t>
  </si>
  <si>
    <t>1.15%</t>
  </si>
  <si>
    <t>调峰电厂，电网临时调整负荷</t>
  </si>
  <si>
    <t>海口民生</t>
  </si>
  <si>
    <t>-26.53%</t>
  </si>
  <si>
    <t>三亚-八所输气管道</t>
  </si>
  <si>
    <t>三亚分输站</t>
  </si>
  <si>
    <t>南山电厂</t>
  </si>
  <si>
    <t>-32.67%</t>
  </si>
  <si>
    <t>调峰电厂用气量不稳定</t>
  </si>
  <si>
    <t>三亚长丰</t>
  </si>
  <si>
    <t>-9.86%</t>
  </si>
  <si>
    <t>城市燃气用气量不稳定</t>
  </si>
  <si>
    <t>海南民生CNG</t>
  </si>
  <si>
    <t>-0.6%</t>
  </si>
  <si>
    <t>东方站</t>
  </si>
  <si>
    <t>东方燃气</t>
  </si>
  <si>
    <t>海油东方燃气</t>
  </si>
  <si>
    <t>-32.42%</t>
  </si>
  <si>
    <t>富岛化肥</t>
  </si>
  <si>
    <t>三八线2#阀室</t>
  </si>
  <si>
    <t>海油乐东燃气</t>
  </si>
  <si>
    <t>三八线1#阀室</t>
  </si>
  <si>
    <t>中海民生（九所）</t>
  </si>
  <si>
    <t>-1%</t>
  </si>
  <si>
    <t>东路站</t>
  </si>
  <si>
    <t>海油文昌燃气</t>
  </si>
  <si>
    <t>-86.1%</t>
  </si>
  <si>
    <t>文昌电厂</t>
  </si>
  <si>
    <t>5.39%</t>
  </si>
  <si>
    <t>东方首站</t>
  </si>
  <si>
    <t>东方石化</t>
  </si>
  <si>
    <t>海油东方工业园</t>
  </si>
  <si>
    <t>-14.18%</t>
  </si>
  <si>
    <t>洋浦站</t>
  </si>
  <si>
    <t>海油洋浦燃气</t>
  </si>
  <si>
    <t>-38.6%</t>
  </si>
  <si>
    <t>城市燃气，用气量不稳定，造成日指定未完成</t>
  </si>
  <si>
    <t>2.07%</t>
  </si>
  <si>
    <t>洋浦燃气（海南管道客户）</t>
  </si>
  <si>
    <t>-8.92%</t>
  </si>
  <si>
    <t>受电网调控，用户临时负减少荷，用气量较少，造成日指定未完成</t>
  </si>
  <si>
    <t>-31.11%</t>
  </si>
  <si>
    <t>东洋海7#阀室</t>
  </si>
  <si>
    <t>海油儋州燃气</t>
  </si>
  <si>
    <t>-23.15%</t>
  </si>
  <si>
    <t>广东省网新丰专线</t>
  </si>
  <si>
    <t>新丰末站</t>
  </si>
  <si>
    <t>新丰安顺达</t>
  </si>
  <si>
    <t>涠洲岛1#管道</t>
  </si>
  <si>
    <t>涠洲岛1#专线</t>
  </si>
  <si>
    <t>广南支干线</t>
  </si>
  <si>
    <t>南宁-凭祥支线（南宁-崇左段）</t>
  </si>
  <si>
    <t>扶绥输气站</t>
  </si>
  <si>
    <t>扶绥港华</t>
  </si>
  <si>
    <t>临港输气站</t>
  </si>
  <si>
    <t>梧州晟年</t>
  </si>
  <si>
    <t>长洲分输站</t>
  </si>
  <si>
    <t>-16.58%</t>
  </si>
  <si>
    <t>苍梧输气站</t>
  </si>
  <si>
    <t>-1.28%</t>
  </si>
  <si>
    <t>5号阀室</t>
  </si>
  <si>
    <t>贺州华润</t>
  </si>
  <si>
    <t>贺州末站</t>
  </si>
  <si>
    <t>-8.98%</t>
  </si>
  <si>
    <t>肇庆中油</t>
  </si>
  <si>
    <t>中电四会热电</t>
  </si>
  <si>
    <t>肇庆新奥（新增）</t>
  </si>
  <si>
    <t>0.41%</t>
  </si>
  <si>
    <t>肇庆新奥</t>
  </si>
  <si>
    <t>肇庆佛燃</t>
  </si>
  <si>
    <t>肇庆昆仑</t>
  </si>
  <si>
    <t>肇庆开盛</t>
  </si>
  <si>
    <t>肇庆新奥（中油代）</t>
  </si>
  <si>
    <t>高要分输站</t>
  </si>
  <si>
    <t>佛山分输站</t>
  </si>
  <si>
    <t>-2.08%</t>
  </si>
  <si>
    <t>中山智仁能源</t>
  </si>
  <si>
    <t>华电顺德</t>
  </si>
  <si>
    <t>华电三水</t>
  </si>
  <si>
    <t>德庆分输站</t>
  </si>
  <si>
    <t>华海电厂</t>
  </si>
  <si>
    <t>-4.18%</t>
  </si>
  <si>
    <t>下游未按照计划提气</t>
  </si>
  <si>
    <t>珊瑚门站</t>
  </si>
  <si>
    <t>佛山佳利达</t>
  </si>
  <si>
    <t>广州燃气（粤电花都）</t>
  </si>
  <si>
    <t>-9.24%</t>
  </si>
  <si>
    <t>清远分输站</t>
  </si>
  <si>
    <t>清远昆仑</t>
  </si>
  <si>
    <t>南宁昆燃</t>
  </si>
  <si>
    <t>-3.53%</t>
  </si>
  <si>
    <t>1.06%</t>
  </si>
  <si>
    <t>广南支干线12#阀室</t>
  </si>
  <si>
    <t>藤县北燃</t>
  </si>
  <si>
    <t>-6.79%</t>
  </si>
  <si>
    <t>西气东输</t>
  </si>
  <si>
    <t>广南支干线21#阀室</t>
  </si>
  <si>
    <t>贵港分输压气站</t>
  </si>
  <si>
    <t>-31.32%</t>
  </si>
  <si>
    <t>广南支干线17#阀室</t>
  </si>
  <si>
    <t>贵港新奥</t>
  </si>
  <si>
    <t>-2.13%</t>
  </si>
  <si>
    <t>玉林末站</t>
  </si>
  <si>
    <t>-24.81%</t>
  </si>
  <si>
    <t>玉林中燃</t>
  </si>
  <si>
    <t>-17.15%</t>
  </si>
  <si>
    <t>隆安分输站</t>
  </si>
  <si>
    <t>平果分输阀室</t>
  </si>
  <si>
    <t>平果新能</t>
  </si>
  <si>
    <t>-3.98%</t>
  </si>
  <si>
    <t>-24.36%</t>
  </si>
  <si>
    <t>百色输气站</t>
  </si>
  <si>
    <t>百东新能</t>
  </si>
  <si>
    <t>-10.94%</t>
  </si>
  <si>
    <t>田东分输阀室</t>
  </si>
  <si>
    <t>吴圩分输清管站</t>
  </si>
  <si>
    <t>14#监控阀室</t>
  </si>
  <si>
    <t>田东新能</t>
  </si>
  <si>
    <t>10.38%</t>
  </si>
  <si>
    <t>西气东输二线东段广深支干线</t>
  </si>
  <si>
    <t>樟木头分输站</t>
  </si>
  <si>
    <t>东莞樟洋电厂</t>
  </si>
  <si>
    <t>东莞唯美热电</t>
  </si>
  <si>
    <t>东莞新奥-直供</t>
  </si>
  <si>
    <t>-2.16%</t>
  </si>
  <si>
    <t>虎门电厂</t>
  </si>
  <si>
    <t>东莞中电</t>
  </si>
  <si>
    <t>东莞第二热电</t>
  </si>
  <si>
    <t>上海绿升翔</t>
  </si>
  <si>
    <t>华能谢岗</t>
  </si>
  <si>
    <t>惠州丰达</t>
  </si>
  <si>
    <t>惠州燃气</t>
  </si>
  <si>
    <t>东莞新奥</t>
  </si>
  <si>
    <t>东莞天明电厂</t>
  </si>
  <si>
    <t>大铲岛分输站</t>
  </si>
  <si>
    <t>妈湾电厂</t>
  </si>
  <si>
    <t>香港</t>
  </si>
  <si>
    <t>香港青电</t>
  </si>
  <si>
    <t>-0.63%</t>
  </si>
  <si>
    <t>广深支干线17#阀室</t>
  </si>
  <si>
    <t>光明电厂</t>
  </si>
  <si>
    <t>-99.9%</t>
  </si>
  <si>
    <t>下游为电厂，用气量不可控。</t>
  </si>
  <si>
    <t>求雨岭分输站</t>
  </si>
  <si>
    <t>深圳燃气</t>
  </si>
  <si>
    <t>天然气下载南部台（分托运商）</t>
  </si>
  <si>
    <t>托运商</t>
  </si>
  <si>
    <t>南方销售</t>
  </si>
  <si>
    <t>中燃宏兴</t>
  </si>
  <si>
    <t>乐苗能源（如东）</t>
  </si>
  <si>
    <t>大亚湾华润</t>
  </si>
  <si>
    <t>东莞九丰储运</t>
  </si>
  <si>
    <t>珠海金石</t>
  </si>
  <si>
    <t>重庆众腾</t>
  </si>
  <si>
    <t>中海油气电福建</t>
  </si>
  <si>
    <t>中国海油</t>
  </si>
  <si>
    <t>华润能源发展</t>
  </si>
  <si>
    <t>庆华智慧能源</t>
  </si>
  <si>
    <t>江投九燃</t>
  </si>
  <si>
    <t>中国石化</t>
  </si>
  <si>
    <t>江西鄱阳湖液化</t>
  </si>
  <si>
    <t>熙悦佳合</t>
  </si>
  <si>
    <t>伊犁新天煤化工有限责任公司</t>
  </si>
  <si>
    <t>中海油气电广东</t>
  </si>
  <si>
    <t>新奥能源</t>
  </si>
  <si>
    <t>宿松徽商长城</t>
  </si>
  <si>
    <t>浙江瀚川能源</t>
  </si>
  <si>
    <t>国家管网市场部</t>
  </si>
  <si>
    <t>中拉能源（陕西）</t>
  </si>
  <si>
    <t>欣潼长涪能源科技</t>
  </si>
  <si>
    <t>深圳华安</t>
  </si>
  <si>
    <t>中山鑫众兴</t>
  </si>
  <si>
    <t>中燃宏大</t>
  </si>
  <si>
    <t>武汉恒达通</t>
  </si>
  <si>
    <t>北燃天销</t>
  </si>
  <si>
    <t>山东汇泰能源</t>
  </si>
  <si>
    <t>河北昆仑能源</t>
  </si>
  <si>
    <t>浙江西能</t>
  </si>
  <si>
    <t>上犹圣安</t>
  </si>
  <si>
    <t>河北新奥</t>
  </si>
  <si>
    <t>江苏榕成能源</t>
  </si>
  <si>
    <t>中海福建</t>
  </si>
  <si>
    <t>陕西长庆环保</t>
  </si>
  <si>
    <t>厦门隆盛泽新</t>
  </si>
  <si>
    <t>海南仲亚能源</t>
  </si>
  <si>
    <t>宁波城际能源</t>
  </si>
  <si>
    <t>华油中蓝</t>
  </si>
  <si>
    <t>深能燃控</t>
  </si>
  <si>
    <t>广发贸易</t>
  </si>
  <si>
    <t>广西LNG接收站管道</t>
  </si>
  <si>
    <t>广西LNG外输（BOG）</t>
  </si>
  <si>
    <t>广西LNG接收站</t>
  </si>
  <si>
    <t>中燃宏大（BOG直供）</t>
  </si>
  <si>
    <t>中海油气电西南</t>
  </si>
  <si>
    <t>防城港LNG接收站</t>
  </si>
  <si>
    <t>防城港LNG直供</t>
  </si>
  <si>
    <t>西南管道</t>
  </si>
  <si>
    <t>重庆凯源</t>
  </si>
  <si>
    <t>慧纵能源</t>
  </si>
  <si>
    <t>贵州省天然气</t>
  </si>
  <si>
    <t>贵州神州燃气</t>
  </si>
  <si>
    <t>海口创合</t>
  </si>
  <si>
    <t>桂林新奥</t>
  </si>
  <si>
    <t>廊坊坤元达</t>
  </si>
  <si>
    <t>华峰能源</t>
  </si>
  <si>
    <t>辽宁高盛新能源</t>
  </si>
  <si>
    <t>中集新能（滨海）</t>
  </si>
  <si>
    <t>汉纳斯能源科技（河南）</t>
  </si>
  <si>
    <t>东辉公司</t>
  </si>
  <si>
    <t>津辰燃气</t>
  </si>
  <si>
    <t>云信数字能源</t>
  </si>
  <si>
    <t>贵州地通</t>
  </si>
  <si>
    <t>西部管道</t>
  </si>
  <si>
    <t>海南华腾</t>
  </si>
  <si>
    <t>德宸能源</t>
  </si>
  <si>
    <t>聚祥燃气</t>
  </si>
  <si>
    <t>大唐江津燃机公司</t>
  </si>
  <si>
    <t>四川港华合纵</t>
  </si>
  <si>
    <t>重庆天富鸿</t>
  </si>
  <si>
    <t>中胜佰佳</t>
  </si>
  <si>
    <t>海南华奥能源</t>
  </si>
  <si>
    <t>港能海南</t>
  </si>
  <si>
    <t>广西吉淅祥</t>
  </si>
  <si>
    <t>北京富华</t>
  </si>
  <si>
    <t>陕西燃气交通</t>
  </si>
  <si>
    <t>闽投数字能源</t>
  </si>
  <si>
    <t>重庆渝腾</t>
  </si>
  <si>
    <t>贵阳中石油昆仑</t>
  </si>
  <si>
    <t>四川川港</t>
  </si>
  <si>
    <t>四川省燃气</t>
  </si>
  <si>
    <t>山西国新</t>
  </si>
  <si>
    <t>华油天然气广元有限公司</t>
  </si>
  <si>
    <t>江苏多米</t>
  </si>
  <si>
    <t>重庆九燃</t>
  </si>
  <si>
    <t>新奥（海南）能源</t>
  </si>
  <si>
    <t>中气能源</t>
  </si>
  <si>
    <t>深圳达通</t>
  </si>
  <si>
    <t>中海油气电海南</t>
  </si>
  <si>
    <t>澄迈燃气</t>
  </si>
  <si>
    <t>中海油海油燃化</t>
  </si>
  <si>
    <t>老城站</t>
  </si>
  <si>
    <t>河南</t>
  </si>
  <si>
    <t>海南管道（中海油）</t>
  </si>
  <si>
    <t>老城燃气(海南管道客户)</t>
  </si>
  <si>
    <t>中油深南</t>
  </si>
  <si>
    <t>海南LNG外输首站</t>
  </si>
  <si>
    <t>金海浆纸(BOG直供)</t>
  </si>
  <si>
    <t>海南电网清澜电厂</t>
  </si>
  <si>
    <t>三亚长丰（海油燃化客户）</t>
  </si>
  <si>
    <t>乐东燃气</t>
  </si>
  <si>
    <t>中海民生（九所）（海油燃化客户）</t>
  </si>
  <si>
    <t>椰风保健</t>
  </si>
  <si>
    <t>海马贡酒厂</t>
  </si>
  <si>
    <t>深圳LNG接收站</t>
  </si>
  <si>
    <t>深圳迭福LNG接收站</t>
  </si>
  <si>
    <t>深圳燃气（直供）</t>
  </si>
  <si>
    <t>中国石油</t>
  </si>
  <si>
    <t>深圳燃气管道</t>
  </si>
  <si>
    <t>迭福门站</t>
  </si>
  <si>
    <t>如东金太</t>
  </si>
  <si>
    <t>深圳LNG外输管道大鹏LNG外输线</t>
  </si>
  <si>
    <t>福华德支线阀室</t>
  </si>
  <si>
    <t>山东</t>
  </si>
  <si>
    <t>广东能源</t>
  </si>
  <si>
    <t>大鹏管道（直供）</t>
  </si>
  <si>
    <t>北海LNG接收站</t>
  </si>
  <si>
    <t>海南LNG接收站</t>
  </si>
  <si>
    <t>海南LNG接收站BOG</t>
  </si>
  <si>
    <t>汉地流体（直供）</t>
  </si>
  <si>
    <t>遵义南输气站</t>
  </si>
  <si>
    <t>贵州鑫燃</t>
  </si>
  <si>
    <t>西南分公司</t>
  </si>
  <si>
    <t>贵州中油</t>
  </si>
  <si>
    <t>海美斯</t>
  </si>
  <si>
    <t>遵义海特</t>
  </si>
  <si>
    <t>盘州输气站</t>
  </si>
  <si>
    <t>盘州燃气</t>
  </si>
  <si>
    <t>六枝输气站</t>
  </si>
  <si>
    <t>六枝国贸</t>
  </si>
  <si>
    <t>贵燃六盘水</t>
  </si>
  <si>
    <t>都匀输气站</t>
  </si>
  <si>
    <t>昆都能源</t>
  </si>
  <si>
    <t>贵燃都匀</t>
  </si>
  <si>
    <t>贵州燃气都匀</t>
  </si>
  <si>
    <t>和平输气站</t>
  </si>
  <si>
    <t>贵燃播州</t>
  </si>
  <si>
    <t>清镇输气站</t>
  </si>
  <si>
    <t>贵州燃气</t>
  </si>
  <si>
    <t>清镇华润</t>
  </si>
  <si>
    <t>修文输气站</t>
  </si>
  <si>
    <t>开阳石达</t>
  </si>
  <si>
    <t>贵燃修文县</t>
  </si>
  <si>
    <t>安顺输气站</t>
  </si>
  <si>
    <t>贵燃安顺</t>
  </si>
  <si>
    <t>普定慧远</t>
  </si>
  <si>
    <t>贵州燃气安顺</t>
  </si>
  <si>
    <t>普安输气站</t>
  </si>
  <si>
    <t>黔西南阳光</t>
  </si>
  <si>
    <t>白云输气站</t>
  </si>
  <si>
    <t>深能贸易</t>
  </si>
  <si>
    <t>胜通能源</t>
  </si>
  <si>
    <t>深圳新奥销售</t>
  </si>
  <si>
    <t>中化石油</t>
  </si>
  <si>
    <t>重庆祥泰</t>
  </si>
  <si>
    <t>前海佛燃</t>
  </si>
  <si>
    <t>江苏永卓能源</t>
  </si>
  <si>
    <t>陕西太豪</t>
  </si>
  <si>
    <t>江西瀚蓝</t>
  </si>
  <si>
    <t>山西压缩</t>
  </si>
  <si>
    <t>广东志成能源</t>
  </si>
  <si>
    <t>厦门国贸能源</t>
  </si>
  <si>
    <t>新奥长城</t>
  </si>
  <si>
    <t>固始县弘昌</t>
  </si>
  <si>
    <t>弘新能源</t>
  </si>
  <si>
    <t>山东中创能源</t>
  </si>
  <si>
    <t>广投燃气玉北公司</t>
  </si>
  <si>
    <t>广西平果广投</t>
  </si>
  <si>
    <t>东莞道生</t>
  </si>
  <si>
    <t>重庆利诺</t>
  </si>
  <si>
    <t>广西管网</t>
  </si>
  <si>
    <t>江南分输站</t>
  </si>
  <si>
    <t>南宁华电</t>
  </si>
  <si>
    <t>万秀输气站</t>
  </si>
  <si>
    <t>梧州深燃</t>
  </si>
  <si>
    <t>苍梧输气站（管网）</t>
  </si>
  <si>
    <t>梧州昆燃</t>
  </si>
  <si>
    <t>南宁分输站</t>
  </si>
  <si>
    <t>广西嘉和</t>
  </si>
  <si>
    <t>南宁中燃</t>
  </si>
  <si>
    <t>长洲输气站（管网）</t>
  </si>
  <si>
    <t>贵港分输站</t>
  </si>
  <si>
    <t>南部台机组运行情况及气源压力</t>
  </si>
  <si>
    <t>机组运行情况</t>
  </si>
  <si>
    <t>气源压力</t>
  </si>
  <si>
    <t>吉安联络站</t>
  </si>
  <si>
    <t>天水分输压气站</t>
  </si>
  <si>
    <t>中卫联络站(西三线西段)</t>
  </si>
  <si>
    <t>中卫压气站</t>
  </si>
  <si>
    <t>河池分输压气站</t>
  </si>
  <si>
    <t>南充分输压气站</t>
  </si>
  <si>
    <t>缅气</t>
  </si>
  <si>
    <t>粤东LNG</t>
  </si>
  <si>
    <t>莆田LNG</t>
  </si>
  <si>
    <t>漳州LNG</t>
  </si>
  <si>
    <t>运行</t>
  </si>
  <si>
    <t>备用</t>
  </si>
  <si>
    <t>不备用</t>
  </si>
  <si>
    <t>瑞丽</t>
  </si>
  <si>
    <t>LNG接收站</t>
  </si>
  <si>
    <t>揭阳</t>
  </si>
  <si>
    <t>漳州LNG接收站</t>
  </si>
  <si>
    <t>=SWITCH(B3, '贵港分输压气站', 2 - SUM(B5,C5), '贵阳输气站', 3 - SUM(B5,C5), '保山分输压气站', 2 - SUM(B5,C5), '大铲岛分输站', 4 - SUM(B5,C5), '梧州分输清管站', 2 - SUM(B5,C5), '河池分输压气站', 2 - SUM(B5,C5), '广州分输压气站', 2 - SUM(B5,C5), '吉安联络站', 2 - SUM(B5,C5), )</t>
  </si>
  <si>
    <t>=SWITCH(E3, '贵港分输压气站', 2 - SUM(E5,F5), '贵阳输气站', 3 - SUM(E5,F5), '保山分输压气站', 2 - SUM(E5,F5), '大铲岛分输站', 4 - SUM(E5,F5), '梧州分输清管站', 2 - SUM(E5,F5), '河池分输压气站', 2 - SUM(E5,F5), '广州分输压气站', 2 - SUM(E5,F5), '吉安联络站', 2 - SUM(E5,F5), )</t>
  </si>
  <si>
    <t>=SWITCH(H3, '贵港分输压气站', 2 - SUM(H5,I5), '贵阳输气站', 3 - SUM(H5,I5), '保山分输压气站', 2 - SUM(H5,I5), '大铲岛分输站', 4 - SUM(H5,I5), '梧州分输清管站', 2 - SUM(H5,I5), '河池分输压气站', 2 - SUM(H5,I5), '广州分输压气站', 2 - SUM(H5,I5), '吉安联络站', 2 - SUM(H5,I5), )</t>
  </si>
  <si>
    <t>=SWITCH(K3, '贵港分输压气站', 2 - SUM(K5,L5), '贵阳输气站', 3 - SUM(K5,L5), '保山分输压气站', 2 - SUM(K5,L5), '大铲岛分输站', 4 - SUM(K5,L5), '梧州分输清管站', 2 - SUM(K5,L5), '河池分输压气站', 2 - SUM(K5,L5), '广州分输压气站', 2 - SUM(K5,L5), '吉安联络站', 2 - SUM(K5,L5), )</t>
  </si>
  <si>
    <t>=SWITCH(N3, '贵港分输压气站', 2 - SUM(N5,O5), '贵阳输气站', 3 - SUM(N5,O5), '保山分输压气站', 2 - SUM(N5,O5), '大铲岛分输站', 4 - SUM(N5,O5), '梧州分输清管站', 2 - SUM(N5,O5), '河池分输压气站', 2 - SUM(N5,O5), '广州分输压气站', 2 - SUM(N5,O5), '吉安联络站', 2 - SUM(N5,O5), )</t>
  </si>
  <si>
    <t>=SWITCH(Q3, '贵港分输压气站', 2 - SUM(Q5,R5), '贵阳输气站', 3 - SUM(Q5,R5), '保山分输压气站', 2 - SUM(Q5,R5), '大铲岛分输站', 4 - SUM(Q5,R5), '梧州分输清管站', 2 - SUM(Q5,R5), '河池分输压气站', 2 - SUM(Q5,R5), '广州分输压气站', 2 - SUM(Q5,R5), '吉安联络站', 2 - SUM(Q5,R5), )</t>
  </si>
  <si>
    <t>=SWITCH(T3, '贵港分输压气站', 2 - SUM(T5,U5), '贵阳输气站', 3 - SUM(T5,U5), '保山分输压气站', 2 - SUM(T5,U5), '大铲岛分输站', 4 - SUM(T5,U5), '梧州分输清管站', 2 - SUM(T5,U5), '河池分输压气站', 2 - SUM(T5,U5), '广州分输压气站', 2 - SUM(T5,U5), '吉安联络站', 2 - SUM(T5,U5), )</t>
  </si>
  <si>
    <t>=SWITCH(W3, '贵港分输压气站', 2 - SUM(W5,X5), '贵阳输气站', 3 - SUM(W5,X5), '保山分输压气站', 2 - SUM(W5,X5), '大铲岛分输站', 4 - SUM(W5,X5), '梧州分输清管站', 2 - SUM(W5,X5), '河池分输压气站', 2 - SUM(W5,X5), '广州分输压气站', 2 - SUM(W5,X5), '吉安联络站', 2 - SUM(W5,X5), )</t>
  </si>
  <si>
    <t>=SWITCH(Z3, '贵港分输压气站', 2 - SUM(Z5,AA5), '贵阳输气站', 3 - SUM(Z5,AA5), '保山分输压气站', 2 - SUM(Z5,AA5), '大铲岛分输站', 4 - SUM(Z5,AA5), '梧州分输清管站', 2 - SUM(Z5,AA5), '河池分输压气站', 2 - SUM(Z5,AA5), '广州分输压气站', 2 - SUM(Z5,AA5), '吉安联络站', 2 - SUM(Z5,AA5), )</t>
  </si>
  <si>
    <t>=SWITCH(AC3, '贵港分输压气站', 2 - SUM(AC5,AD5), '贵阳输气站', 3 - SUM(AC5,AD5), '保山分输压气站', 2 - SUM(AC5,AD5), '大铲岛分输站', 4 - SUM(AC5,AD5), '梧州分输清管站', 2 - SUM(AC5,AD5), '河池分输压气站', 2 - SUM(AC5,AD5), '广州分输压气站', 2 - SUM(AC5,AD5), '吉安联络站', 2 - SUM(AC5,AD5), )</t>
  </si>
  <si>
    <t>=SWITCH(AF3, '贵港分输压气站', 2 - SUM(AF5,AG5), '贵阳输气站', 3 - SUM(AF5,AG5), '保山分输压气站', 2 - SUM(AF5,AG5), '大铲岛分输站', 4 - SUM(AF5,AG5), '梧州分输清管站', 2 - SUM(AF5,AG5), '河池分输压气站', 2 - SUM(AF5,AG5), '广州分输压气站', 2 - SUM(AF5,AG5), '吉安联络站', 2 - SUM(AF5,AG5), )</t>
  </si>
  <si>
    <t>=SWITCH(AI3, '贵港分输压气站', 2 - SUM(AI5,AJ5), '贵阳输气站', 3 - SUM(AI5,AJ5), '保山分输压气站', 2 - SUM(AI5,AJ5), '大铲岛分输站', 4 - SUM(AI5,AJ5), '梧州分输清管站', 2 - SUM(AI5,AJ5), '河池分输压气站', 2 - SUM(AI5,AJ5), '广州分输压气站', 2 - SUM(AI5,AJ5), '吉安联络站', 2 - SUM(AI5,AJ5), )</t>
  </si>
  <si>
    <t>=SWITCH(AL3, '贵港分输压气站', 2 - SUM(AL5,AM5), '贵阳输气站', 3 - SUM(AL5,AM5), '保山分输压气站', 2 - SUM(AL5,AM5), '大铲岛分输站', 4 - SUM(AL5,AM5), '梧州分输清管站', 2 - SUM(AL5,AM5), '河池分输压气站', 2 - SUM(AL5,AM5), '广州分输压气站', 2 - SUM(AL5,AM5), '吉安联络站', 2 - SUM(AL5,AM5), )</t>
  </si>
  <si>
    <t>=SWITCH(AO3, '贵港分输压气站', 2 - SUM(AO5,AP5), '贵阳输气站', 3 - SUM(AO5,AP5), '保山分输压气站', 2 - SUM(AO5,AP5), '大铲岛分输站', 4 - SUM(AO5,AP5), '梧州分输清管站', 2 - SUM(AO5,AP5), '河池分输压气站', 2 - SUM(AO5,AP5), '广州分输压气站', 2 - SUM(AO5,AP5), '吉安联络站', 2 - SUM(AO5,AP5), )</t>
  </si>
  <si>
    <t>=SWITCH(AR3, '贵港分输压气站', 2 - SUM(AR5,AS5), '贵阳输气站', 3 - SUM(AR5,AS5), '保山分输压气站', 2 - SUM(AR5,AS5), '大铲岛分输站', 4 - SUM(AR5,AS5), '梧州分输清管站', 2 - SUM(AR5,AS5), '河池分输压气站', 2 - SUM(AR5,AS5), '广州分输压气站', 2 - SUM(AR5,AS5), '吉安联络站', 2 - SUM(AR5,AS5), )</t>
  </si>
  <si>
    <t>=SWITCH(AU3, '贵港分输压气站', 2 - SUM(AU5,AV5), '贵阳输气站', 3 - SUM(AU5,AV5), '保山分输压气站', 2 - SUM(AU5,AV5), '大铲岛分输站', 4 - SUM(AU5,AV5), '梧州分输清管站', 2 - SUM(AU5,AV5), '河池分输压气站', 2 - SUM(AU5,AV5), '广州分输压气站', 2 - SUM(AU5,AV5), '吉安联络站', 2 - SUM(AU5,AV5), )</t>
  </si>
  <si>
    <t>=SWITCH(B3, '贵港分输压气站', 2 - SUM(B6,C6), '贵阳输气站', 3 - SUM(B6,C6), '保山分输压气站', 2 - SUM(B6,C6), '大铲岛分输站', 4 - SUM(B6,C6), '梧州分输清管站', 2 - SUM(B6,C6), '河池分输压气站', 2 - SUM(B6,C6), '广州分输压气站', 2 - SUM(B6,C6), '吉安联络站', 2 - SUM(B6,C6), )</t>
  </si>
  <si>
    <t>=SWITCH(E3, '贵港分输压气站', 2 - SUM(E6,F6), '贵阳输气站', 3 - SUM(E6,F6), '保山分输压气站', 2 - SUM(E6,F6), '大铲岛分输站', 4 - SUM(E6,F6), '梧州分输清管站', 2 - SUM(E6,F6), '河池分输压气站', 2 - SUM(E6,F6), '广州分输压气站', 2 - SUM(E6,F6), '吉安联络站', 2 - SUM(E6,F6), )</t>
  </si>
  <si>
    <t>=SWITCH(H3, '贵港分输压气站', 2 - SUM(H6,I6), '贵阳输气站', 3 - SUM(H6,I6), '保山分输压气站', 2 - SUM(H6,I6), '大铲岛分输站', 4 - SUM(H6,I6), '梧州分输清管站', 2 - SUM(H6,I6), '河池分输压气站', 2 - SUM(H6,I6), '广州分输压气站', 2 - SUM(H6,I6), '吉安联络站', 2 - SUM(H6,I6), )</t>
  </si>
  <si>
    <t>=SWITCH(K3, '贵港分输压气站', 2 - SUM(K6,L6), '贵阳输气站', 3 - SUM(K6,L6), '保山分输压气站', 2 - SUM(K6,L6), '大铲岛分输站', 4 - SUM(K6,L6), '梧州分输清管站', 2 - SUM(K6,L6), '河池分输压气站', 2 - SUM(K6,L6), '广州分输压气站', 2 - SUM(K6,L6), '吉安联络站', 2 - SUM(K6,L6), )</t>
  </si>
  <si>
    <t>=SWITCH(N3, '贵港分输压气站', 2 - SUM(N6,O6), '贵阳输气站', 3 - SUM(N6,O6), '保山分输压气站', 2 - SUM(N6,O6), '大铲岛分输站', 4 - SUM(N6,O6), '梧州分输清管站', 2 - SUM(N6,O6), '河池分输压气站', 2 - SUM(N6,O6), '广州分输压气站', 2 - SUM(N6,O6), '吉安联络站', 2 - SUM(N6,O6), )</t>
  </si>
  <si>
    <t>=SWITCH(Q3, '贵港分输压气站', 2 - SUM(Q6,R6), '贵阳输气站', 3 - SUM(Q6,R6), '保山分输压气站', 2 - SUM(Q6,R6), '大铲岛分输站', 4 - SUM(Q6,R6), '梧州分输清管站', 2 - SUM(Q6,R6), '河池分输压气站', 2 - SUM(Q6,R6), '广州分输压气站', 2 - SUM(Q6,R6), '吉安联络站', 2 - SUM(Q6,R6), )</t>
  </si>
  <si>
    <t>=SWITCH(T3, '贵港分输压气站', 2 - SUM(T6,U6), '贵阳输气站', 3 - SUM(T6,U6), '保山分输压气站', 2 - SUM(T6,U6), '大铲岛分输站', 4 - SUM(T6,U6), '梧州分输清管站', 2 - SUM(T6,U6), '河池分输压气站', 2 - SUM(T6,U6), '广州分输压气站', 2 - SUM(T6,U6), '吉安联络站', 2 - SUM(T6,U6), )</t>
  </si>
  <si>
    <t>=SWITCH(W3, '贵港分输压气站', 2 - SUM(W6,X6), '贵阳输气站', 3 - SUM(W6,X6), '保山分输压气站', 2 - SUM(W6,X6), '大铲岛分输站', 4 - SUM(W6,X6), '梧州分输清管站', 2 - SUM(W6,X6), '河池分输压气站', 2 - SUM(W6,X6), '广州分输压气站', 2 - SUM(W6,X6), '吉安联络站', 2 - SUM(W6,X6), )</t>
  </si>
  <si>
    <t>=SWITCH(Z3, '贵港分输压气站', 2 - SUM(Z6,AA6), '贵阳输气站', 3 - SUM(Z6,AA6), '保山分输压气站', 2 - SUM(Z6,AA6), '大铲岛分输站', 4 - SUM(Z6,AA6), '梧州分输清管站', 2 - SUM(Z6,AA6), '河池分输压气站', 2 - SUM(Z6,AA6), '广州分输压气站', 2 - SUM(Z6,AA6), '吉安联络站', 2 - SUM(Z6,AA6), )</t>
  </si>
  <si>
    <t>=SWITCH(AC3, '贵港分输压气站', 2 - SUM(AC6,AD6), '贵阳输气站', 3 - SUM(AC6,AD6), '保山分输压气站', 2 - SUM(AC6,AD6), '大铲岛分输站', 4 - SUM(AC6,AD6), '梧州分输清管站', 2 - SUM(AC6,AD6), '河池分输压气站', 2 - SUM(AC6,AD6), '广州分输压气站', 2 - SUM(AC6,AD6), '吉安联络站', 2 - SUM(AC6,AD6), )</t>
  </si>
  <si>
    <t>=SWITCH(AF3, '贵港分输压气站', 2 - SUM(AF6,AG6), '贵阳输气站', 3 - SUM(AF6,AG6), '保山分输压气站', 2 - SUM(AF6,AG6), '大铲岛分输站', 4 - SUM(AF6,AG6), '梧州分输清管站', 2 - SUM(AF6,AG6), '河池分输压气站', 2 - SUM(AF6,AG6), '广州分输压气站', 2 - SUM(AF6,AG6), '吉安联络站', 2 - SUM(AF6,AG6), )</t>
  </si>
  <si>
    <t>=SWITCH(AI3, '贵港分输压气站', 2 - SUM(AI6,AJ6), '贵阳输气站', 3 - SUM(AI6,AJ6), '保山分输压气站', 2 - SUM(AI6,AJ6), '大铲岛分输站', 4 - SUM(AI6,AJ6), '梧州分输清管站', 2 - SUM(AI6,AJ6), '河池分输压气站', 2 - SUM(AI6,AJ6), '广州分输压气站', 2 - SUM(AI6,AJ6), '吉安联络站', 2 - SUM(AI6,AJ6), )</t>
  </si>
  <si>
    <t>=SWITCH(AL3, '贵港分输压气站', 2 - SUM(AL6,AM6), '贵阳输气站', 3 - SUM(AL6,AM6), '保山分输压气站', 2 - SUM(AL6,AM6), '大铲岛分输站', 4 - SUM(AL6,AM6), '梧州分输清管站', 2 - SUM(AL6,AM6), '河池分输压气站', 2 - SUM(AL6,AM6), '广州分输压气站', 2 - SUM(AL6,AM6), '吉安联络站', 2 - SUM(AL6,AM6), )</t>
  </si>
  <si>
    <t>=SWITCH(AO3, '贵港分输压气站', 2 - SUM(AO6,AP6), '贵阳输气站', 3 - SUM(AO6,AP6), '保山分输压气站', 2 - SUM(AO6,AP6), '大铲岛分输站', 4 - SUM(AO6,AP6), '梧州分输清管站', 2 - SUM(AO6,AP6), '河池分输压气站', 2 - SUM(AO6,AP6), '广州分输压气站', 2 - SUM(AO6,AP6), '吉安联络站', 2 - SUM(AO6,AP6), )</t>
  </si>
  <si>
    <t>=SWITCH(AR3, '贵港分输压气站', 2 - SUM(AR6,AS6), '贵阳输气站', 3 - SUM(AR6,AS6), '保山分输压气站', 2 - SUM(AR6,AS6), '大铲岛分输站', 4 - SUM(AR6,AS6), '梧州分输清管站', 2 - SUM(AR6,AS6), '河池分输压气站', 2 - SUM(AR6,AS6), '广州分输压气站', 2 - SUM(AR6,AS6), '吉安联络站', 2 - SUM(AR6,AS6), )</t>
  </si>
  <si>
    <t>=SWITCH(AU3, '贵港分输压气站', 2 - SUM(AU6,AV6), '贵阳输气站', 3 - SUM(AU6,AV6), '保山分输压气站', 2 - SUM(AU6,AV6), '大铲岛分输站', 4 - SUM(AU6,AV6), '梧州分输清管站', 2 - SUM(AU6,AV6), '河池分输压气站', 2 - SUM(AU6,AV6), '广州分输压气站', 2 - SUM(AU6,AV6), '吉安联络站', 2 - SUM(AU6,AV6), )</t>
  </si>
  <si>
    <t>=SWITCH(B3, '贵港分输压气站', 2 - SUM(B7,C7), '贵阳输气站', 3 - SUM(B7,C7), '保山分输压气站', 2 - SUM(B7,C7), '大铲岛分输站', 4 - SUM(B7,C7), '梧州分输清管站', 2 - SUM(B7,C7), '河池分输压气站', 2 - SUM(B7,C7), '广州分输压气站', 2 - SUM(B7,C7), '吉安联络站', 2 - SUM(B7,C7), )</t>
  </si>
  <si>
    <t>=SWITCH(E3, '贵港分输压气站', 2 - SUM(E7,F7), '贵阳输气站', 3 - SUM(E7,F7), '保山分输压气站', 2 - SUM(E7,F7), '大铲岛分输站', 4 - SUM(E7,F7), '梧州分输清管站', 2 - SUM(E7,F7), '河池分输压气站', 2 - SUM(E7,F7), '广州分输压气站', 2 - SUM(E7,F7), '吉安联络站', 2 - SUM(E7,F7), )</t>
  </si>
  <si>
    <t>=SWITCH(H3, '贵港分输压气站', 2 - SUM(H7,I7), '贵阳输气站', 3 - SUM(H7,I7), '保山分输压气站', 2 - SUM(H7,I7), '大铲岛分输站', 4 - SUM(H7,I7), '梧州分输清管站', 2 - SUM(H7,I7), '河池分输压气站', 2 - SUM(H7,I7), '广州分输压气站', 2 - SUM(H7,I7), '吉安联络站', 2 - SUM(H7,I7), )</t>
  </si>
  <si>
    <t>=SWITCH(K3, '贵港分输压气站', 2 - SUM(K7,L7), '贵阳输气站', 3 - SUM(K7,L7), '保山分输压气站', 2 - SUM(K7,L7), '大铲岛分输站', 4 - SUM(K7,L7), '梧州分输清管站', 2 - SUM(K7,L7), '河池分输压气站', 2 - SUM(K7,L7), '广州分输压气站', 2 - SUM(K7,L7), '吉安联络站', 2 - SUM(K7,L7), )</t>
  </si>
  <si>
    <t>=SWITCH(N3, '贵港分输压气站', 2 - SUM(N7,O7), '贵阳输气站', 3 - SUM(N7,O7), '保山分输压气站', 2 - SUM(N7,O7), '大铲岛分输站', 4 - SUM(N7,O7), '梧州分输清管站', 2 - SUM(N7,O7), '河池分输压气站', 2 - SUM(N7,O7), '广州分输压气站', 2 - SUM(N7,O7), '吉安联络站', 2 - SUM(N7,O7), )</t>
  </si>
  <si>
    <t>=SWITCH(Q3, '贵港分输压气站', 2 - SUM(Q7,R7), '贵阳输气站', 3 - SUM(Q7,R7), '保山分输压气站', 2 - SUM(Q7,R7), '大铲岛分输站', 4 - SUM(Q7,R7), '梧州分输清管站', 2 - SUM(Q7,R7), '河池分输压气站', 2 - SUM(Q7,R7), '广州分输压气站', 2 - SUM(Q7,R7), '吉安联络站', 2 - SUM(Q7,R7), )</t>
  </si>
  <si>
    <t>=SWITCH(T3, '贵港分输压气站', 2 - SUM(T7,U7), '贵阳输气站', 3 - SUM(T7,U7), '保山分输压气站', 2 - SUM(T7,U7), '大铲岛分输站', 4 - SUM(T7,U7), '梧州分输清管站', 2 - SUM(T7,U7), '河池分输压气站', 2 - SUM(T7,U7), '广州分输压气站', 2 - SUM(T7,U7), '吉安联络站', 2 - SUM(T7,U7), )</t>
  </si>
  <si>
    <t>=SWITCH(W3, '贵港分输压气站', 2 - SUM(W7,X7), '贵阳输气站', 3 - SUM(W7,X7), '保山分输压气站', 2 - SUM(W7,X7), '大铲岛分输站', 4 - SUM(W7,X7), '梧州分输清管站', 2 - SUM(W7,X7), '河池分输压气站', 2 - SUM(W7,X7), '广州分输压气站', 2 - SUM(W7,X7), '吉安联络站', 2 - SUM(W7,X7), )</t>
  </si>
  <si>
    <t>=SWITCH(Z3, '贵港分输压气站', 2 - SUM(Z7,AA7), '贵阳输气站', 3 - SUM(Z7,AA7), '保山分输压气站', 2 - SUM(Z7,AA7), '大铲岛分输站', 4 - SUM(Z7,AA7), '梧州分输清管站', 2 - SUM(Z7,AA7), '河池分输压气站', 2 - SUM(Z7,AA7), '广州分输压气站', 2 - SUM(Z7,AA7), '吉安联络站', 2 - SUM(Z7,AA7), )</t>
  </si>
  <si>
    <t>=SWITCH(AC3, '贵港分输压气站', 2 - SUM(AC7,AD7), '贵阳输气站', 3 - SUM(AC7,AD7), '保山分输压气站', 2 - SUM(AC7,AD7), '大铲岛分输站', 4 - SUM(AC7,AD7), '梧州分输清管站', 2 - SUM(AC7,AD7), '河池分输压气站', 2 - SUM(AC7,AD7), '广州分输压气站', 2 - SUM(AC7,AD7), '吉安联络站', 2 - SUM(AC7,AD7), )</t>
  </si>
  <si>
    <t>=SWITCH(AF3, '贵港分输压气站', 2 - SUM(AF7,AG7), '贵阳输气站', 3 - SUM(AF7,AG7), '保山分输压气站', 2 - SUM(AF7,AG7), '大铲岛分输站', 4 - SUM(AF7,AG7), '梧州分输清管站', 2 - SUM(AF7,AG7), '河池分输压气站', 2 - SUM(AF7,AG7), '广州分输压气站', 2 - SUM(AF7,AG7), '吉安联络站', 2 - SUM(AF7,AG7), )</t>
  </si>
  <si>
    <t>=SWITCH(AI3, '贵港分输压气站', 2 - SUM(AI7,AJ7), '贵阳输气站', 3 - SUM(AI7,AJ7), '保山分输压气站', 2 - SUM(AI7,AJ7), '大铲岛分输站', 4 - SUM(AI7,AJ7), '梧州分输清管站', 2 - SUM(AI7,AJ7), '河池分输压气站', 2 - SUM(AI7,AJ7), '广州分输压气站', 2 - SUM(AI7,AJ7), '吉安联络站', 2 - SUM(AI7,AJ7), )</t>
  </si>
  <si>
    <t>=SWITCH(AL3, '贵港分输压气站', 2 - SUM(AL7,AM7), '贵阳输气站', 3 - SUM(AL7,AM7), '保山分输压气站', 2 - SUM(AL7,AM7), '大铲岛分输站', 4 - SUM(AL7,AM7), '梧州分输清管站', 2 - SUM(AL7,AM7), '河池分输压气站', 2 - SUM(AL7,AM7), '广州分输压气站', 2 - SUM(AL7,AM7), '吉安联络站', 2 - SUM(AL7,AM7), )</t>
  </si>
  <si>
    <t>=SWITCH(AO3, '贵港分输压气站', 2 - SUM(AO7,AP7), '贵阳输气站', 3 - SUM(AO7,AP7), '保山分输压气站', 2 - SUM(AO7,AP7), '大铲岛分输站', 4 - SUM(AO7,AP7), '梧州分输清管站', 2 - SUM(AO7,AP7), '河池分输压气站', 2 - SUM(AO7,AP7), '广州分输压气站', 2 - SUM(AO7,AP7), '吉安联络站', 2 - SUM(AO7,AP7), )</t>
  </si>
  <si>
    <t>=SWITCH(AR3, '贵港分输压气站', 2 - SUM(AR7,AS7), '贵阳输气站', 3 - SUM(AR7,AS7), '保山分输压气站', 2 - SUM(AR7,AS7), '大铲岛分输站', 4 - SUM(AR7,AS7), '梧州分输清管站', 2 - SUM(AR7,AS7), '河池分输压气站', 2 - SUM(AR7,AS7), '广州分输压气站', 2 - SUM(AR7,AS7), '吉安联络站', 2 - SUM(AR7,AS7), )</t>
  </si>
  <si>
    <t>=SWITCH(AU3, '贵港分输压气站', 2 - SUM(AU7,AV7), '贵阳输气站', 3 - SUM(AU7,AV7), '保山分输压气站', 2 - SUM(AU7,AV7), '大铲岛分输站', 4 - SUM(AU7,AV7), '梧州分输清管站', 2 - SUM(AU7,AV7), '河池分输压气站', 2 - SUM(AU7,AV7), '广州分输压气站', 2 - SUM(AU7,AV7), '吉安联络站', 2 - SUM(AU7,AV7), )</t>
  </si>
  <si>
    <t>=SWITCH(B3, '贵港分输压气站', 2 - SUM(B8,C8), '贵阳输气站', 3 - SUM(B8,C8), '保山分输压气站', 2 - SUM(B8,C8), '大铲岛分输站', 4 - SUM(B8,C8), '梧州分输清管站', 2 - SUM(B8,C8), '河池分输压气站', 2 - SUM(B8,C8), '广州分输压气站', 2 - SUM(B8,C8), '吉安联络站', 2 - SUM(B8,C8), )</t>
  </si>
  <si>
    <t>=SWITCH(E3, '贵港分输压气站', 2 - SUM(E8,F8), '贵阳输气站', 3 - SUM(E8,F8), '保山分输压气站', 2 - SUM(E8,F8), '大铲岛分输站', 4 - SUM(E8,F8), '梧州分输清管站', 2 - SUM(E8,F8), '河池分输压气站', 2 - SUM(E8,F8), '广州分输压气站', 2 - SUM(E8,F8), '吉安联络站', 2 - SUM(E8,F8), )</t>
  </si>
  <si>
    <t>=SWITCH(H3, '贵港分输压气站', 2 - SUM(H8,I8), '贵阳输气站', 3 - SUM(H8,I8), '保山分输压气站', 2 - SUM(H8,I8), '大铲岛分输站', 4 - SUM(H8,I8), '梧州分输清管站', 2 - SUM(H8,I8), '河池分输压气站', 2 - SUM(H8,I8), '广州分输压气站', 2 - SUM(H8,I8), '吉安联络站', 2 - SUM(H8,I8), )</t>
  </si>
  <si>
    <t>=SWITCH(K3, '贵港分输压气站', 2 - SUM(K8,L8), '贵阳输气站', 3 - SUM(K8,L8), '保山分输压气站', 2 - SUM(K8,L8), '大铲岛分输站', 4 - SUM(K8,L8), '梧州分输清管站', 2 - SUM(K8,L8), '河池分输压气站', 2 - SUM(K8,L8), '广州分输压气站', 2 - SUM(K8,L8), '吉安联络站', 2 - SUM(K8,L8), )</t>
  </si>
  <si>
    <t>=SWITCH(N3, '贵港分输压气站', 2 - SUM(N8,O8), '贵阳输气站', 3 - SUM(N8,O8), '保山分输压气站', 2 - SUM(N8,O8), '大铲岛分输站', 4 - SUM(N8,O8), '梧州分输清管站', 2 - SUM(N8,O8), '河池分输压气站', 2 - SUM(N8,O8), '广州分输压气站', 2 - SUM(N8,O8), '吉安联络站', 2 - SUM(N8,O8), )</t>
  </si>
  <si>
    <t>=SWITCH(Q3, '贵港分输压气站', 2 - SUM(Q8,R8), '贵阳输气站', 3 - SUM(Q8,R8), '保山分输压气站', 2 - SUM(Q8,R8), '大铲岛分输站', 4 - SUM(Q8,R8), '梧州分输清管站', 2 - SUM(Q8,R8), '河池分输压气站', 2 - SUM(Q8,R8), '广州分输压气站', 2 - SUM(Q8,R8), '吉安联络站', 2 - SUM(Q8,R8), )</t>
  </si>
  <si>
    <t>=SWITCH(T3, '贵港分输压气站', 2 - SUM(T8,U8), '贵阳输气站', 3 - SUM(T8,U8), '保山分输压气站', 2 - SUM(T8,U8), '大铲岛分输站', 4 - SUM(T8,U8), '梧州分输清管站', 2 - SUM(T8,U8), '河池分输压气站', 2 - SUM(T8,U8), '广州分输压气站', 2 - SUM(T8,U8), '吉安联络站', 2 - SUM(T8,U8), )</t>
  </si>
  <si>
    <t>=SWITCH(W3, '贵港分输压气站', 2 - SUM(W8,X8), '贵阳输气站', 3 - SUM(W8,X8), '保山分输压气站', 2 - SUM(W8,X8), '大铲岛分输站', 4 - SUM(W8,X8), '梧州分输清管站', 2 - SUM(W8,X8), '河池分输压气站', 2 - SUM(W8,X8), '广州分输压气站', 2 - SUM(W8,X8), '吉安联络站', 2 - SUM(W8,X8), )</t>
  </si>
  <si>
    <t>=SWITCH(Z3, '贵港分输压气站', 2 - SUM(Z8,AA8), '贵阳输气站', 3 - SUM(Z8,AA8), '保山分输压气站', 2 - SUM(Z8,AA8), '大铲岛分输站', 4 - SUM(Z8,AA8), '梧州分输清管站', 2 - SUM(Z8,AA8), '河池分输压气站', 2 - SUM(Z8,AA8), '广州分输压气站', 2 - SUM(Z8,AA8), '吉安联络站', 2 - SUM(Z8,AA8), )</t>
  </si>
  <si>
    <t>=SWITCH(AC3, '贵港分输压气站', 2 - SUM(AC8,AD8), '贵阳输气站', 3 - SUM(AC8,AD8), '保山分输压气站', 2 - SUM(AC8,AD8), '大铲岛分输站', 4 - SUM(AC8,AD8), '梧州分输清管站', 2 - SUM(AC8,AD8), '河池分输压气站', 2 - SUM(AC8,AD8), '广州分输压气站', 2 - SUM(AC8,AD8), '吉安联络站', 2 - SUM(AC8,AD8), )</t>
  </si>
  <si>
    <t>=SWITCH(AF3, '贵港分输压气站', 2 - SUM(AF8,AG8), '贵阳输气站', 3 - SUM(AF8,AG8), '保山分输压气站', 2 - SUM(AF8,AG8), '大铲岛分输站', 4 - SUM(AF8,AG8), '梧州分输清管站', 2 - SUM(AF8,AG8), '河池分输压气站', 2 - SUM(AF8,AG8), '广州分输压气站', 2 - SUM(AF8,AG8), '吉安联络站', 2 - SUM(AF8,AG8), )</t>
  </si>
  <si>
    <t>=SWITCH(AI3, '贵港分输压气站', 2 - SUM(AI8,AJ8), '贵阳输气站', 3 - SUM(AI8,AJ8), '保山分输压气站', 2 - SUM(AI8,AJ8), '大铲岛分输站', 4 - SUM(AI8,AJ8), '梧州分输清管站', 2 - SUM(AI8,AJ8), '河池分输压气站', 2 - SUM(AI8,AJ8), '广州分输压气站', 2 - SUM(AI8,AJ8), '吉安联络站', 2 - SUM(AI8,AJ8), )</t>
  </si>
  <si>
    <t>=SWITCH(AL3, '贵港分输压气站', 2 - SUM(AL8,AM8), '贵阳输气站', 3 - SUM(AL8,AM8), '保山分输压气站', 2 - SUM(AL8,AM8), '大铲岛分输站', 4 - SUM(AL8,AM8), '梧州分输清管站', 2 - SUM(AL8,AM8), '河池分输压气站', 2 - SUM(AL8,AM8), '广州分输压气站', 2 - SUM(AL8,AM8), '吉安联络站', 2 - SUM(AL8,AM8), )</t>
  </si>
  <si>
    <t>=SWITCH(AO3, '贵港分输压气站', 2 - SUM(AO8,AP8), '贵阳输气站', 3 - SUM(AO8,AP8), '保山分输压气站', 2 - SUM(AO8,AP8), '大铲岛分输站', 4 - SUM(AO8,AP8), '梧州分输清管站', 2 - SUM(AO8,AP8), '河池分输压气站', 2 - SUM(AO8,AP8), '广州分输压气站', 2 - SUM(AO8,AP8), '吉安联络站', 2 - SUM(AO8,AP8), )</t>
  </si>
  <si>
    <t>=SWITCH(AR3, '贵港分输压气站', 2 - SUM(AR8,AS8), '贵阳输气站', 3 - SUM(AR8,AS8), '保山分输压气站', 2 - SUM(AR8,AS8), '大铲岛分输站', 4 - SUM(AR8,AS8), '梧州分输清管站', 2 - SUM(AR8,AS8), '河池分输压气站', 2 - SUM(AR8,AS8), '广州分输压气站', 2 - SUM(AR8,AS8), '吉安联络站', 2 - SUM(AR8,AS8), )</t>
  </si>
  <si>
    <t>=SWITCH(AU3, '贵港分输压气站', 2 - SUM(AU8,AV8), '贵阳输气站', 3 - SUM(AU8,AV8), '保山分输压气站', 2 - SUM(AU8,AV8), '大铲岛分输站', 4 - SUM(AU8,AV8), '梧州分输清管站', 2 - SUM(AU8,AV8), '河池分输压气站', 2 - SUM(AU8,AV8), '广州分输压气站', 2 - SUM(AU8,AV8), '吉安联络站', 2 - SUM(AU8,AV8), )</t>
  </si>
  <si>
    <t>=SWITCH(B3, '贵港分输压气站', 2 - SUM(B9,C9), '贵阳输气站', 3 - SUM(B9,C9), '保山分输压气站', 2 - SUM(B9,C9), '大铲岛分输站', 4 - SUM(B9,C9), '梧州分输清管站', 2 - SUM(B9,C9), '河池分输压气站', 2 - SUM(B9,C9), '广州分输压气站', 2 - SUM(B9,C9), '吉安联络站', 2 - SUM(B9,C9), )</t>
  </si>
  <si>
    <t>=SWITCH(E3, '贵港分输压气站', 2 - SUM(E9,F9), '贵阳输气站', 3 - SUM(E9,F9), '保山分输压气站', 2 - SUM(E9,F9), '大铲岛分输站', 4 - SUM(E9,F9), '梧州分输清管站', 2 - SUM(E9,F9), '河池分输压气站', 2 - SUM(E9,F9), '广州分输压气站', 2 - SUM(E9,F9), '吉安联络站', 2 - SUM(E9,F9), )</t>
  </si>
  <si>
    <t>=SWITCH(H3, '贵港分输压气站', 2 - SUM(H9,I9), '贵阳输气站', 3 - SUM(H9,I9), '保山分输压气站', 2 - SUM(H9,I9), '大铲岛分输站', 4 - SUM(H9,I9), '梧州分输清管站', 2 - SUM(H9,I9), '河池分输压气站', 2 - SUM(H9,I9), '广州分输压气站', 2 - SUM(H9,I9), '吉安联络站', 2 - SUM(H9,I9), )</t>
  </si>
  <si>
    <t>=SWITCH(K3, '贵港分输压气站', 2 - SUM(K9,L9), '贵阳输气站', 3 - SUM(K9,L9), '保山分输压气站', 2 - SUM(K9,L9), '大铲岛分输站', 4 - SUM(K9,L9), '梧州分输清管站', 2 - SUM(K9,L9), '河池分输压气站', 2 - SUM(K9,L9), '广州分输压气站', 2 - SUM(K9,L9), '吉安联络站', 2 - SUM(K9,L9), )</t>
  </si>
  <si>
    <t>=SWITCH(N3, '贵港分输压气站', 2 - SUM(N9,O9), '贵阳输气站', 3 - SUM(N9,O9), '保山分输压气站', 2 - SUM(N9,O9), '大铲岛分输站', 4 - SUM(N9,O9), '梧州分输清管站', 2 - SUM(N9,O9), '河池分输压气站', 2 - SUM(N9,O9), '广州分输压气站', 2 - SUM(N9,O9), '吉安联络站', 2 - SUM(N9,O9), )</t>
  </si>
  <si>
    <t>=SWITCH(Q3, '贵港分输压气站', 2 - SUM(Q9,R9), '贵阳输气站', 3 - SUM(Q9,R9), '保山分输压气站', 2 - SUM(Q9,R9), '大铲岛分输站', 4 - SUM(Q9,R9), '梧州分输清管站', 2 - SUM(Q9,R9), '河池分输压气站', 2 - SUM(Q9,R9), '广州分输压气站', 2 - SUM(Q9,R9), '吉安联络站', 2 - SUM(Q9,R9), )</t>
  </si>
  <si>
    <t>=SWITCH(T3, '贵港分输压气站', 2 - SUM(T9,U9), '贵阳输气站', 3 - SUM(T9,U9), '保山分输压气站', 2 - SUM(T9,U9), '大铲岛分输站', 4 - SUM(T9,U9), '梧州分输清管站', 2 - SUM(T9,U9), '河池分输压气站', 2 - SUM(T9,U9), '广州分输压气站', 2 - SUM(T9,U9), '吉安联络站', 2 - SUM(T9,U9), )</t>
  </si>
  <si>
    <t>=SWITCH(W3, '贵港分输压气站', 2 - SUM(W9,X9), '贵阳输气站', 3 - SUM(W9,X9), '保山分输压气站', 2 - SUM(W9,X9), '大铲岛分输站', 4 - SUM(W9,X9), '梧州分输清管站', 2 - SUM(W9,X9), '河池分输压气站', 2 - SUM(W9,X9), '广州分输压气站', 2 - SUM(W9,X9), '吉安联络站', 2 - SUM(W9,X9), )</t>
  </si>
  <si>
    <t>=SWITCH(Z3, '贵港分输压气站', 2 - SUM(Z9,AA9), '贵阳输气站', 3 - SUM(Z9,AA9), '保山分输压气站', 2 - SUM(Z9,AA9), '大铲岛分输站', 4 - SUM(Z9,AA9), '梧州分输清管站', 2 - SUM(Z9,AA9), '河池分输压气站', 2 - SUM(Z9,AA9), '广州分输压气站', 2 - SUM(Z9,AA9), '吉安联络站', 2 - SUM(Z9,AA9), )</t>
  </si>
  <si>
    <t>=SWITCH(AC3, '贵港分输压气站', 2 - SUM(AC9,AD9), '贵阳输气站', 3 - SUM(AC9,AD9), '保山分输压气站', 2 - SUM(AC9,AD9), '大铲岛分输站', 4 - SUM(AC9,AD9), '梧州分输清管站', 2 - SUM(AC9,AD9), '河池分输压气站', 2 - SUM(AC9,AD9), '广州分输压气站', 2 - SUM(AC9,AD9), '吉安联络站', 2 - SUM(AC9,AD9), )</t>
  </si>
  <si>
    <t>=SWITCH(AF3, '贵港分输压气站', 2 - SUM(AF9,AG9), '贵阳输气站', 3 - SUM(AF9,AG9), '保山分输压气站', 2 - SUM(AF9,AG9), '大铲岛分输站', 4 - SUM(AF9,AG9), '梧州分输清管站', 2 - SUM(AF9,AG9), '河池分输压气站', 2 - SUM(AF9,AG9), '广州分输压气站', 2 - SUM(AF9,AG9), '吉安联络站', 2 - SUM(AF9,AG9), )</t>
  </si>
  <si>
    <t>=SWITCH(AI3, '贵港分输压气站', 2 - SUM(AI9,AJ9), '贵阳输气站', 3 - SUM(AI9,AJ9), '保山分输压气站', 2 - SUM(AI9,AJ9), '大铲岛分输站', 4 - SUM(AI9,AJ9), '梧州分输清管站', 2 - SUM(AI9,AJ9), '河池分输压气站', 2 - SUM(AI9,AJ9), '广州分输压气站', 2 - SUM(AI9,AJ9), '吉安联络站', 2 - SUM(AI9,AJ9), )</t>
  </si>
  <si>
    <t>=SWITCH(AL3, '贵港分输压气站', 2 - SUM(AL9,AM9), '贵阳输气站', 3 - SUM(AL9,AM9), '保山分输压气站', 2 - SUM(AL9,AM9), '大铲岛分输站', 4 - SUM(AL9,AM9), '梧州分输清管站', 2 - SUM(AL9,AM9), '河池分输压气站', 2 - SUM(AL9,AM9), '广州分输压气站', 2 - SUM(AL9,AM9), '吉安联络站', 2 - SUM(AL9,AM9), )</t>
  </si>
  <si>
    <t>=SWITCH(AO3, '贵港分输压气站', 2 - SUM(AO9,AP9), '贵阳输气站', 3 - SUM(AO9,AP9), '保山分输压气站', 2 - SUM(AO9,AP9), '大铲岛分输站', 4 - SUM(AO9,AP9), '梧州分输清管站', 2 - SUM(AO9,AP9), '河池分输压气站', 2 - SUM(AO9,AP9), '广州分输压气站', 2 - SUM(AO9,AP9), '吉安联络站', 2 - SUM(AO9,AP9), )</t>
  </si>
  <si>
    <t>=SWITCH(AR3, '贵港分输压气站', 2 - SUM(AR9,AS9), '贵阳输气站', 3 - SUM(AR9,AS9), '保山分输压气站', 2 - SUM(AR9,AS9), '大铲岛分输站', 4 - SUM(AR9,AS9), '梧州分输清管站', 2 - SUM(AR9,AS9), '河池分输压气站', 2 - SUM(AR9,AS9), '广州分输压气站', 2 - SUM(AR9,AS9), '吉安联络站', 2 - SUM(AR9,AS9), )</t>
  </si>
  <si>
    <t>=SWITCH(AU3, '贵港分输压气站', 2 - SUM(AU9,AV9), '贵阳输气站', 3 - SUM(AU9,AV9), '保山分输压气站', 2 - SUM(AU9,AV9), '大铲岛分输站', 4 - SUM(AU9,AV9), '梧州分输清管站', 2 - SUM(AU9,AV9), '河池分输压气站', 2 - SUM(AU9,AV9), '广州分输压气站', 2 - SUM(AU9,AV9), '吉安联络站', 2 - SUM(AU9,AV9), )</t>
  </si>
  <si>
    <t>=SWITCH(B3, '贵港分输压气站', 2 - SUM(B10,C10), '贵阳输气站', 3 - SUM(B10,C10), '保山分输压气站', 2 - SUM(B10,C10), '大铲岛分输站', 4 - SUM(B10,C10), '梧州分输清管站', 2 - SUM(B10,C10), '河池分输压气站', 2 - SUM(B10,C10), '广州分输压气站', 2 - SUM(B10,C10), '吉安联络站', 2 - SUM(B10,C10), )</t>
  </si>
  <si>
    <t>=SWITCH(E3, '贵港分输压气站', 2 - SUM(E10,F10), '贵阳输气站', 3 - SUM(E10,F10), '保山分输压气站', 2 - SUM(E10,F10), '大铲岛分输站', 4 - SUM(E10,F10), '梧州分输清管站', 2 - SUM(E10,F10), '河池分输压气站', 2 - SUM(E10,F10), '广州分输压气站', 2 - SUM(E10,F10), '吉安联络站', 2 - SUM(E10,F10), )</t>
  </si>
  <si>
    <t>=SWITCH(H3, '贵港分输压气站', 2 - SUM(H10,I10), '贵阳输气站', 3 - SUM(H10,I10), '保山分输压气站', 2 - SUM(H10,I10), '大铲岛分输站', 4 - SUM(H10,I10), '梧州分输清管站', 2 - SUM(H10,I10), '河池分输压气站', 2 - SUM(H10,I10), '广州分输压气站', 2 - SUM(H10,I10), '吉安联络站', 2 - SUM(H10,I10), )</t>
  </si>
  <si>
    <t>=SWITCH(K3, '贵港分输压气站', 2 - SUM(K10,L10), '贵阳输气站', 3 - SUM(K10,L10), '保山分输压气站', 2 - SUM(K10,L10), '大铲岛分输站', 4 - SUM(K10,L10), '梧州分输清管站', 2 - SUM(K10,L10), '河池分输压气站', 2 - SUM(K10,L10), '广州分输压气站', 2 - SUM(K10,L10), '吉安联络站', 2 - SUM(K10,L10), )</t>
  </si>
  <si>
    <t>=SWITCH(N3, '贵港分输压气站', 2 - SUM(N10,O10), '贵阳输气站', 3 - SUM(N10,O10), '保山分输压气站', 2 - SUM(N10,O10), '大铲岛分输站', 4 - SUM(N10,O10), '梧州分输清管站', 2 - SUM(N10,O10), '河池分输压气站', 2 - SUM(N10,O10), '广州分输压气站', 2 - SUM(N10,O10), '吉安联络站', 2 - SUM(N10,O10), )</t>
  </si>
  <si>
    <t>=SWITCH(Q3, '贵港分输压气站', 2 - SUM(Q10,R10), '贵阳输气站', 3 - SUM(Q10,R10), '保山分输压气站', 2 - SUM(Q10,R10), '大铲岛分输站', 4 - SUM(Q10,R10), '梧州分输清管站', 2 - SUM(Q10,R10), '河池分输压气站', 2 - SUM(Q10,R10), '广州分输压气站', 2 - SUM(Q10,R10), '吉安联络站', 2 - SUM(Q10,R10), )</t>
  </si>
  <si>
    <t>=SWITCH(T3, '贵港分输压气站', 2 - SUM(T10,U10), '贵阳输气站', 3 - SUM(T10,U10), '保山分输压气站', 2 - SUM(T10,U10), '大铲岛分输站', 4 - SUM(T10,U10), '梧州分输清管站', 2 - SUM(T10,U10), '河池分输压气站', 2 - SUM(T10,U10), '广州分输压气站', 2 - SUM(T10,U10), '吉安联络站', 2 - SUM(T10,U10), )</t>
  </si>
  <si>
    <t>=SWITCH(W3, '贵港分输压气站', 2 - SUM(W10,X10), '贵阳输气站', 3 - SUM(W10,X10), '保山分输压气站', 2 - SUM(W10,X10), '大铲岛分输站', 4 - SUM(W10,X10), '梧州分输清管站', 2 - SUM(W10,X10), '河池分输压气站', 2 - SUM(W10,X10), '广州分输压气站', 2 - SUM(W10,X10), '吉安联络站', 2 - SUM(W10,X10), )</t>
  </si>
  <si>
    <t>=SWITCH(Z3, '贵港分输压气站', 2 - SUM(Z10,AA10), '贵阳输气站', 3 - SUM(Z10,AA10), '保山分输压气站', 2 - SUM(Z10,AA10), '大铲岛分输站', 4 - SUM(Z10,AA10), '梧州分输清管站', 2 - SUM(Z10,AA10), '河池分输压气站', 2 - SUM(Z10,AA10), '广州分输压气站', 2 - SUM(Z10,AA10), '吉安联络站', 2 - SUM(Z10,AA10), )</t>
  </si>
  <si>
    <t>=SWITCH(AC3, '贵港分输压气站', 2 - SUM(AC10,AD10), '贵阳输气站', 3 - SUM(AC10,AD10), '保山分输压气站', 2 - SUM(AC10,AD10), '大铲岛分输站', 4 - SUM(AC10,AD10), '梧州分输清管站', 2 - SUM(AC10,AD10), '河池分输压气站', 2 - SUM(AC10,AD10), '广州分输压气站', 2 - SUM(AC10,AD10), '吉安联络站', 2 - SUM(AC10,AD10), )</t>
  </si>
  <si>
    <t>=SWITCH(AF3, '贵港分输压气站', 2 - SUM(AF10,AG10), '贵阳输气站', 3 - SUM(AF10,AG10), '保山分输压气站', 2 - SUM(AF10,AG10), '大铲岛分输站', 4 - SUM(AF10,AG10), '梧州分输清管站', 2 - SUM(AF10,AG10), '河池分输压气站', 2 - SUM(AF10,AG10), '广州分输压气站', 2 - SUM(AF10,AG10), '吉安联络站', 2 - SUM(AF10,AG10), )</t>
  </si>
  <si>
    <t>=SWITCH(AI3, '贵港分输压气站', 2 - SUM(AI10,AJ10), '贵阳输气站', 3 - SUM(AI10,AJ10), '保山分输压气站', 2 - SUM(AI10,AJ10), '大铲岛分输站', 4 - SUM(AI10,AJ10), '梧州分输清管站', 2 - SUM(AI10,AJ10), '河池分输压气站', 2 - SUM(AI10,AJ10), '广州分输压气站', 2 - SUM(AI10,AJ10), '吉安联络站', 2 - SUM(AI10,AJ10), )</t>
  </si>
  <si>
    <t>=SWITCH(AL3, '贵港分输压气站', 2 - SUM(AL10,AM10), '贵阳输气站', 3 - SUM(AL10,AM10), '保山分输压气站', 2 - SUM(AL10,AM10), '大铲岛分输站', 4 - SUM(AL10,AM10), '梧州分输清管站', 2 - SUM(AL10,AM10), '河池分输压气站', 2 - SUM(AL10,AM10), '广州分输压气站', 2 - SUM(AL10,AM10), '吉安联络站', 2 - SUM(AL10,AM10), )</t>
  </si>
  <si>
    <t>=SWITCH(AO3, '贵港分输压气站', 2 - SUM(AO10,AP10), '贵阳输气站', 3 - SUM(AO10,AP10), '保山分输压气站', 2 - SUM(AO10,AP10), '大铲岛分输站', 4 - SUM(AO10,AP10), '梧州分输清管站', 2 - SUM(AO10,AP10), '河池分输压气站', 2 - SUM(AO10,AP10), '广州分输压气站', 2 - SUM(AO10,AP10), '吉安联络站', 2 - SUM(AO10,AP10), )</t>
  </si>
  <si>
    <t>=SWITCH(AR3, '贵港分输压气站', 2 - SUM(AR10,AS10), '贵阳输气站', 3 - SUM(AR10,AS10), '保山分输压气站', 2 - SUM(AR10,AS10), '大铲岛分输站', 4 - SUM(AR10,AS10), '梧州分输清管站', 2 - SUM(AR10,AS10), '河池分输压气站', 2 - SUM(AR10,AS10), '广州分输压气站', 2 - SUM(AR10,AS10), '吉安联络站', 2 - SUM(AR10,AS10), )</t>
  </si>
  <si>
    <t>=SWITCH(AU3, '贵港分输压气站', 2 - SUM(AU10,AV10), '贵阳输气站', 3 - SUM(AU10,AV10), '保山分输压气站', 2 - SUM(AU10,AV10), '大铲岛分输站', 4 - SUM(AU10,AV10), '梧州分输清管站', 2 - SUM(AU10,AV10), '河池分输压气站', 2 - SUM(AU10,AV10), '广州分输压气站', 2 - SUM(AU10,AV10), '吉安联络站', 2 - SUM(AU10,AV10), )</t>
  </si>
  <si>
    <t>=SWITCH(B3, '贵港分输压气站', 2 - SUM(B11,C11), '贵阳输气站', 3 - SUM(B11,C11), '保山分输压气站', 2 - SUM(B11,C11), '大铲岛分输站', 4 - SUM(B11,C11), '梧州分输清管站', 2 - SUM(B11,C11), '河池分输压气站', 2 - SUM(B11,C11), '广州分输压气站', 2 - SUM(B11,C11), '吉安联络站', 2 - SUM(B11,C11), )</t>
  </si>
  <si>
    <t>=SWITCH(E3, '贵港分输压气站', 2 - SUM(E11,F11), '贵阳输气站', 3 - SUM(E11,F11), '保山分输压气站', 2 - SUM(E11,F11), '大铲岛分输站', 4 - SUM(E11,F11), '梧州分输清管站', 2 - SUM(E11,F11), '河池分输压气站', 2 - SUM(E11,F11), '广州分输压气站', 2 - SUM(E11,F11), '吉安联络站', 2 - SUM(E11,F11), )</t>
  </si>
  <si>
    <t>=SWITCH(H3, '贵港分输压气站', 2 - SUM(H11,I11), '贵阳输气站', 3 - SUM(H11,I11), '保山分输压气站', 2 - SUM(H11,I11), '大铲岛分输站', 4 - SUM(H11,I11), '梧州分输清管站', 2 - SUM(H11,I11), '河池分输压气站', 2 - SUM(H11,I11), '广州分输压气站', 2 - SUM(H11,I11), '吉安联络站', 2 - SUM(H11,I11), )</t>
  </si>
  <si>
    <t>=SWITCH(K3, '贵港分输压气站', 2 - SUM(K11,L11), '贵阳输气站', 3 - SUM(K11,L11), '保山分输压气站', 2 - SUM(K11,L11), '大铲岛分输站', 4 - SUM(K11,L11), '梧州分输清管站', 2 - SUM(K11,L11), '河池分输压气站', 2 - SUM(K11,L11), '广州分输压气站', 2 - SUM(K11,L11), '吉安联络站', 2 - SUM(K11,L11), )</t>
  </si>
  <si>
    <t>=SWITCH(N3, '贵港分输压气站', 2 - SUM(N11,O11), '贵阳输气站', 3 - SUM(N11,O11), '保山分输压气站', 2 - SUM(N11,O11), '大铲岛分输站', 4 - SUM(N11,O11), '梧州分输清管站', 2 - SUM(N11,O11), '河池分输压气站', 2 - SUM(N11,O11), '广州分输压气站', 2 - SUM(N11,O11), '吉安联络站', 2 - SUM(N11,O11), )</t>
  </si>
  <si>
    <t>=SWITCH(Q3, '贵港分输压气站', 2 - SUM(Q11,R11), '贵阳输气站', 3 - SUM(Q11,R11), '保山分输压气站', 2 - SUM(Q11,R11), '大铲岛分输站', 4 - SUM(Q11,R11), '梧州分输清管站', 2 - SUM(Q11,R11), '河池分输压气站', 2 - SUM(Q11,R11), '广州分输压气站', 2 - SUM(Q11,R11), '吉安联络站', 2 - SUM(Q11,R11), )</t>
  </si>
  <si>
    <t>=SWITCH(T3, '贵港分输压气站', 2 - SUM(T11,U11), '贵阳输气站', 3 - SUM(T11,U11), '保山分输压气站', 2 - SUM(T11,U11), '大铲岛分输站', 4 - SUM(T11,U11), '梧州分输清管站', 2 - SUM(T11,U11), '河池分输压气站', 2 - SUM(T11,U11), '广州分输压气站', 2 - SUM(T11,U11), '吉安联络站', 2 - SUM(T11,U11), )</t>
  </si>
  <si>
    <t>=SWITCH(W3, '贵港分输压气站', 2 - SUM(W11,X11), '贵阳输气站', 3 - SUM(W11,X11), '保山分输压气站', 2 - SUM(W11,X11), '大铲岛分输站', 4 - SUM(W11,X11), '梧州分输清管站', 2 - SUM(W11,X11), '河池分输压气站', 2 - SUM(W11,X11), '广州分输压气站', 2 - SUM(W11,X11), '吉安联络站', 2 - SUM(W11,X11), )</t>
  </si>
  <si>
    <t>=SWITCH(Z3, '贵港分输压气站', 2 - SUM(Z11,AA11), '贵阳输气站', 3 - SUM(Z11,AA11), '保山分输压气站', 2 - SUM(Z11,AA11), '大铲岛分输站', 4 - SUM(Z11,AA11), '梧州分输清管站', 2 - SUM(Z11,AA11), '河池分输压气站', 2 - SUM(Z11,AA11), '广州分输压气站', 2 - SUM(Z11,AA11), '吉安联络站', 2 - SUM(Z11,AA11), )</t>
  </si>
  <si>
    <t>=SWITCH(AC3, '贵港分输压气站', 2 - SUM(AC11,AD11), '贵阳输气站', 3 - SUM(AC11,AD11), '保山分输压气站', 2 - SUM(AC11,AD11), '大铲岛分输站', 4 - SUM(AC11,AD11), '梧州分输清管站', 2 - SUM(AC11,AD11), '河池分输压气站', 2 - SUM(AC11,AD11), '广州分输压气站', 2 - SUM(AC11,AD11), '吉安联络站', 2 - SUM(AC11,AD11), )</t>
  </si>
  <si>
    <t>=SWITCH(AF3, '贵港分输压气站', 2 - SUM(AF11,AG11), '贵阳输气站', 3 - SUM(AF11,AG11), '保山分输压气站', 2 - SUM(AF11,AG11), '大铲岛分输站', 4 - SUM(AF11,AG11), '梧州分输清管站', 2 - SUM(AF11,AG11), '河池分输压气站', 2 - SUM(AF11,AG11), '广州分输压气站', 2 - SUM(AF11,AG11), '吉安联络站', 2 - SUM(AF11,AG11), )</t>
  </si>
  <si>
    <t>=SWITCH(AI3, '贵港分输压气站', 2 - SUM(AI11,AJ11), '贵阳输气站', 3 - SUM(AI11,AJ11), '保山分输压气站', 2 - SUM(AI11,AJ11), '大铲岛分输站', 4 - SUM(AI11,AJ11), '梧州分输清管站', 2 - SUM(AI11,AJ11), '河池分输压气站', 2 - SUM(AI11,AJ11), '广州分输压气站', 2 - SUM(AI11,AJ11), '吉安联络站', 2 - SUM(AI11,AJ11), )</t>
  </si>
  <si>
    <t>=SWITCH(AL3, '贵港分输压气站', 2 - SUM(AL11,AM11), '贵阳输气站', 3 - SUM(AL11,AM11), '保山分输压气站', 2 - SUM(AL11,AM11), '大铲岛分输站', 4 - SUM(AL11,AM11), '梧州分输清管站', 2 - SUM(AL11,AM11), '河池分输压气站', 2 - SUM(AL11,AM11), '广州分输压气站', 2 - SUM(AL11,AM11), '吉安联络站', 2 - SUM(AL11,AM11), )</t>
  </si>
  <si>
    <t>=SWITCH(AO3, '贵港分输压气站', 2 - SUM(AO11,AP11), '贵阳输气站', 3 - SUM(AO11,AP11), '保山分输压气站', 2 - SUM(AO11,AP11), '大铲岛分输站', 4 - SUM(AO11,AP11), '梧州分输清管站', 2 - SUM(AO11,AP11), '河池分输压气站', 2 - SUM(AO11,AP11), '广州分输压气站', 2 - SUM(AO11,AP11), '吉安联络站', 2 - SUM(AO11,AP11), )</t>
  </si>
  <si>
    <t>=SWITCH(AR3, '贵港分输压气站', 2 - SUM(AR11,AS11), '贵阳输气站', 3 - SUM(AR11,AS11), '保山分输压气站', 2 - SUM(AR11,AS11), '大铲岛分输站', 4 - SUM(AR11,AS11), '梧州分输清管站', 2 - SUM(AR11,AS11), '河池分输压气站', 2 - SUM(AR11,AS11), '广州分输压气站', 2 - SUM(AR11,AS11), '吉安联络站', 2 - SUM(AR11,AS11), )</t>
  </si>
  <si>
    <t>=SWITCH(AU3, '贵港分输压气站', 2 - SUM(AU11,AV11), '贵阳输气站', 3 - SUM(AU11,AV11), '保山分输压气站', 2 - SUM(AU11,AV11), '大铲岛分输站', 4 - SUM(AU11,AV11), '梧州分输清管站', 2 - SUM(AU11,AV11), '河池分输压气站', 2 - SUM(AU11,AV11), '广州分输压气站', 2 - SUM(AU11,AV11), '吉安联络站', 2 - SUM(AU11,AV11), )</t>
  </si>
  <si>
    <t>=SWITCH(B3, '贵港分输压气站', 2 - SUM(B12,C12), '贵阳输气站', 3 - SUM(B12,C12), '保山分输压气站', 2 - SUM(B12,C12), '大铲岛分输站', 4 - SUM(B12,C12), '梧州分输清管站', 2 - SUM(B12,C12), '河池分输压气站', 2 - SUM(B12,C12), '广州分输压气站', 2 - SUM(B12,C12), '吉安联络站', 2 - SUM(B12,C12), )</t>
  </si>
  <si>
    <t>=SWITCH(E3, '贵港分输压气站', 2 - SUM(E12,F12), '贵阳输气站', 3 - SUM(E12,F12), '保山分输压气站', 2 - SUM(E12,F12), '大铲岛分输站', 4 - SUM(E12,F12), '梧州分输清管站', 2 - SUM(E12,F12), '河池分输压气站', 2 - SUM(E12,F12), '广州分输压气站', 2 - SUM(E12,F12), '吉安联络站', 2 - SUM(E12,F12), )</t>
  </si>
  <si>
    <t>=SWITCH(H3, '贵港分输压气站', 2 - SUM(H12,I12), '贵阳输气站', 3 - SUM(H12,I12), '保山分输压气站', 2 - SUM(H12,I12), '大铲岛分输站', 4 - SUM(H12,I12), '梧州分输清管站', 2 - SUM(H12,I12), '河池分输压气站', 2 - SUM(H12,I12), '广州分输压气站', 2 - SUM(H12,I12), '吉安联络站', 2 - SUM(H12,I12), )</t>
  </si>
  <si>
    <t>=SWITCH(K3, '贵港分输压气站', 2 - SUM(K12,L12), '贵阳输气站', 3 - SUM(K12,L12), '保山分输压气站', 2 - SUM(K12,L12), '大铲岛分输站', 4 - SUM(K12,L12), '梧州分输清管站', 2 - SUM(K12,L12), '河池分输压气站', 2 - SUM(K12,L12), '广州分输压气站', 2 - SUM(K12,L12), '吉安联络站', 2 - SUM(K12,L12), )</t>
  </si>
  <si>
    <t>=SWITCH(N3, '贵港分输压气站', 2 - SUM(N12,O12), '贵阳输气站', 3 - SUM(N12,O12), '保山分输压气站', 2 - SUM(N12,O12), '大铲岛分输站', 4 - SUM(N12,O12), '梧州分输清管站', 2 - SUM(N12,O12), '河池分输压气站', 2 - SUM(N12,O12), '广州分输压气站', 2 - SUM(N12,O12), '吉安联络站', 2 - SUM(N12,O12), )</t>
  </si>
  <si>
    <t>=SWITCH(Q3, '贵港分输压气站', 2 - SUM(Q12,R12), '贵阳输气站', 3 - SUM(Q12,R12), '保山分输压气站', 2 - SUM(Q12,R12), '大铲岛分输站', 4 - SUM(Q12,R12), '梧州分输清管站', 2 - SUM(Q12,R12), '河池分输压气站', 2 - SUM(Q12,R12), '广州分输压气站', 2 - SUM(Q12,R12), '吉安联络站', 2 - SUM(Q12,R12), )</t>
  </si>
  <si>
    <t>=SWITCH(T3, '贵港分输压气站', 2 - SUM(T12,U12), '贵阳输气站', 3 - SUM(T12,U12), '保山分输压气站', 2 - SUM(T12,U12), '大铲岛分输站', 4 - SUM(T12,U12), '梧州分输清管站', 2 - SUM(T12,U12), '河池分输压气站', 2 - SUM(T12,U12), '广州分输压气站', 2 - SUM(T12,U12), '吉安联络站', 2 - SUM(T12,U12), )</t>
  </si>
  <si>
    <t>=SWITCH(W3, '贵港分输压气站', 2 - SUM(W12,X12), '贵阳输气站', 3 - SUM(W12,X12), '保山分输压气站', 2 - SUM(W12,X12), '大铲岛分输站', 4 - SUM(W12,X12), '梧州分输清管站', 2 - SUM(W12,X12), '河池分输压气站', 2 - SUM(W12,X12), '广州分输压气站', 2 - SUM(W12,X12), '吉安联络站', 2 - SUM(W12,X12), )</t>
  </si>
  <si>
    <t>=SWITCH(Z3, '贵港分输压气站', 2 - SUM(Z12,AA12), '贵阳输气站', 3 - SUM(Z12,AA12), '保山分输压气站', 2 - SUM(Z12,AA12), '大铲岛分输站', 4 - SUM(Z12,AA12), '梧州分输清管站', 2 - SUM(Z12,AA12), '河池分输压气站', 2 - SUM(Z12,AA12), '广州分输压气站', 2 - SUM(Z12,AA12), '吉安联络站', 2 - SUM(Z12,AA12), )</t>
  </si>
  <si>
    <t>=SWITCH(AC3, '贵港分输压气站', 2 - SUM(AC12,AD12), '贵阳输气站', 3 - SUM(AC12,AD12), '保山分输压气站', 2 - SUM(AC12,AD12), '大铲岛分输站', 4 - SUM(AC12,AD12), '梧州分输清管站', 2 - SUM(AC12,AD12), '河池分输压气站', 2 - SUM(AC12,AD12), '广州分输压气站', 2 - SUM(AC12,AD12), '吉安联络站', 2 - SUM(AC12,AD12), )</t>
  </si>
  <si>
    <t>=SWITCH(AF3, '贵港分输压气站', 2 - SUM(AF12,AG12), '贵阳输气站', 3 - SUM(AF12,AG12), '保山分输压气站', 2 - SUM(AF12,AG12), '大铲岛分输站', 4 - SUM(AF12,AG12), '梧州分输清管站', 2 - SUM(AF12,AG12), '河池分输压气站', 2 - SUM(AF12,AG12), '广州分输压气站', 2 - SUM(AF12,AG12), '吉安联络站', 2 - SUM(AF12,AG12), )</t>
  </si>
  <si>
    <t>=SWITCH(AI3, '贵港分输压气站', 2 - SUM(AI12,AJ12), '贵阳输气站', 3 - SUM(AI12,AJ12), '保山分输压气站', 2 - SUM(AI12,AJ12), '大铲岛分输站', 4 - SUM(AI12,AJ12), '梧州分输清管站', 2 - SUM(AI12,AJ12), '河池分输压气站', 2 - SUM(AI12,AJ12), '广州分输压气站', 2 - SUM(AI12,AJ12), '吉安联络站', 2 - SUM(AI12,AJ12), )</t>
  </si>
  <si>
    <t>=SWITCH(AL3, '贵港分输压气站', 2 - SUM(AL12,AM12), '贵阳输气站', 3 - SUM(AL12,AM12), '保山分输压气站', 2 - SUM(AL12,AM12), '大铲岛分输站', 4 - SUM(AL12,AM12), '梧州分输清管站', 2 - SUM(AL12,AM12), '河池分输压气站', 2 - SUM(AL12,AM12), '广州分输压气站', 2 - SUM(AL12,AM12), '吉安联络站', 2 - SUM(AL12,AM12), )</t>
  </si>
  <si>
    <t>=SWITCH(AO3, '贵港分输压气站', 2 - SUM(AO12,AP12), '贵阳输气站', 3 - SUM(AO12,AP12), '保山分输压气站', 2 - SUM(AO12,AP12), '大铲岛分输站', 4 - SUM(AO12,AP12), '梧州分输清管站', 2 - SUM(AO12,AP12), '河池分输压气站', 2 - SUM(AO12,AP12), '广州分输压气站', 2 - SUM(AO12,AP12), '吉安联络站', 2 - SUM(AO12,AP12), )</t>
  </si>
  <si>
    <t>=SWITCH(AR3, '贵港分输压气站', 2 - SUM(AR12,AS12), '贵阳输气站', 3 - SUM(AR12,AS12), '保山分输压气站', 2 - SUM(AR12,AS12), '大铲岛分输站', 4 - SUM(AR12,AS12), '梧州分输清管站', 2 - SUM(AR12,AS12), '河池分输压气站', 2 - SUM(AR12,AS12), '广州分输压气站', 2 - SUM(AR12,AS12), '吉安联络站', 2 - SUM(AR12,AS12), )</t>
  </si>
  <si>
    <t>=SWITCH(AU3, '贵港分输压气站', 2 - SUM(AU12,AV12), '贵阳输气站', 3 - SUM(AU12,AV12), '保山分输压气站', 2 - SUM(AU12,AV12), '大铲岛分输站', 4 - SUM(AU12,AV12), '梧州分输清管站', 2 - SUM(AU12,AV12), '河池分输压气站', 2 - SUM(AU12,AV12), '广州分输压气站', 2 - SUM(AU12,AV12), '吉安联络站', 2 - SUM(AU12,AV12), )</t>
  </si>
  <si>
    <t>=SWITCH(B3, '贵港分输压气站', 2 - SUM(B13,C13), '贵阳输气站', 3 - SUM(B13,C13), '保山分输压气站', 2 - SUM(B13,C13), '大铲岛分输站', 4 - SUM(B13,C13), '梧州分输清管站', 2 - SUM(B13,C13), '河池分输压气站', 2 - SUM(B13,C13), '广州分输压气站', 2 - SUM(B13,C13), '吉安联络站', 2 - SUM(B13,C13), )</t>
  </si>
  <si>
    <t>=SWITCH(E3, '贵港分输压气站', 2 - SUM(E13,F13), '贵阳输气站', 3 - SUM(E13,F13), '保山分输压气站', 2 - SUM(E13,F13), '大铲岛分输站', 4 - SUM(E13,F13), '梧州分输清管站', 2 - SUM(E13,F13), '河池分输压气站', 2 - SUM(E13,F13), '广州分输压气站', 2 - SUM(E13,F13), '吉安联络站', 2 - SUM(E13,F13), )</t>
  </si>
  <si>
    <t>=SWITCH(H3, '贵港分输压气站', 2 - SUM(H13,I13), '贵阳输气站', 3 - SUM(H13,I13), '保山分输压气站', 2 - SUM(H13,I13), '大铲岛分输站', 4 - SUM(H13,I13), '梧州分输清管站', 2 - SUM(H13,I13), '河池分输压气站', 2 - SUM(H13,I13), '广州分输压气站', 2 - SUM(H13,I13), '吉安联络站', 2 - SUM(H13,I13), )</t>
  </si>
  <si>
    <t>=SWITCH(K3, '贵港分输压气站', 2 - SUM(K13,L13), '贵阳输气站', 3 - SUM(K13,L13), '保山分输压气站', 2 - SUM(K13,L13), '大铲岛分输站', 4 - SUM(K13,L13), '梧州分输清管站', 2 - SUM(K13,L13), '河池分输压气站', 2 - SUM(K13,L13), '广州分输压气站', 2 - SUM(K13,L13), '吉安联络站', 2 - SUM(K13,L13), )</t>
  </si>
  <si>
    <t>=SWITCH(N3, '贵港分输压气站', 2 - SUM(N13,O13), '贵阳输气站', 3 - SUM(N13,O13), '保山分输压气站', 2 - SUM(N13,O13), '大铲岛分输站', 4 - SUM(N13,O13), '梧州分输清管站', 2 - SUM(N13,O13), '河池分输压气站', 2 - SUM(N13,O13), '广州分输压气站', 2 - SUM(N13,O13), '吉安联络站', 2 - SUM(N13,O13), )</t>
  </si>
  <si>
    <t>=SWITCH(Q3, '贵港分输压气站', 2 - SUM(Q13,R13), '贵阳输气站', 3 - SUM(Q13,R13), '保山分输压气站', 2 - SUM(Q13,R13), '大铲岛分输站', 4 - SUM(Q13,R13), '梧州分输清管站', 2 - SUM(Q13,R13), '河池分输压气站', 2 - SUM(Q13,R13), '广州分输压气站', 2 - SUM(Q13,R13), '吉安联络站', 2 - SUM(Q13,R13), )</t>
  </si>
  <si>
    <t>=SWITCH(T3, '贵港分输压气站', 2 - SUM(T13,U13), '贵阳输气站', 3 - SUM(T13,U13), '保山分输压气站', 2 - SUM(T13,U13), '大铲岛分输站', 4 - SUM(T13,U13), '梧州分输清管站', 2 - SUM(T13,U13), '河池分输压气站', 2 - SUM(T13,U13), '广州分输压气站', 2 - SUM(T13,U13), '吉安联络站', 2 - SUM(T13,U13), )</t>
  </si>
  <si>
    <t>=SWITCH(W3, '贵港分输压气站', 2 - SUM(W13,X13), '贵阳输气站', 3 - SUM(W13,X13), '保山分输压气站', 2 - SUM(W13,X13), '大铲岛分输站', 4 - SUM(W13,X13), '梧州分输清管站', 2 - SUM(W13,X13), '河池分输压气站', 2 - SUM(W13,X13), '广州分输压气站', 2 - SUM(W13,X13), '吉安联络站', 2 - SUM(W13,X13), )</t>
  </si>
  <si>
    <t>=SWITCH(Z3, '贵港分输压气站', 2 - SUM(Z13,AA13), '贵阳输气站', 3 - SUM(Z13,AA13), '保山分输压气站', 2 - SUM(Z13,AA13), '大铲岛分输站', 4 - SUM(Z13,AA13), '梧州分输清管站', 2 - SUM(Z13,AA13), '河池分输压气站', 2 - SUM(Z13,AA13), '广州分输压气站', 2 - SUM(Z13,AA13), '吉安联络站', 2 - SUM(Z13,AA13), )</t>
  </si>
  <si>
    <t>=SWITCH(AC3, '贵港分输压气站', 2 - SUM(AC13,AD13), '贵阳输气站', 3 - SUM(AC13,AD13), '保山分输压气站', 2 - SUM(AC13,AD13), '大铲岛分输站', 4 - SUM(AC13,AD13), '梧州分输清管站', 2 - SUM(AC13,AD13), '河池分输压气站', 2 - SUM(AC13,AD13), '广州分输压气站', 2 - SUM(AC13,AD13), '吉安联络站', 2 - SUM(AC13,AD13), )</t>
  </si>
  <si>
    <t>=SWITCH(AF3, '贵港分输压气站', 2 - SUM(AF13,AG13), '贵阳输气站', 3 - SUM(AF13,AG13), '保山分输压气站', 2 - SUM(AF13,AG13), '大铲岛分输站', 4 - SUM(AF13,AG13), '梧州分输清管站', 2 - SUM(AF13,AG13), '河池分输压气站', 2 - SUM(AF13,AG13), '广州分输压气站', 2 - SUM(AF13,AG13), '吉安联络站', 2 - SUM(AF13,AG13), )</t>
  </si>
  <si>
    <t>=SWITCH(AI3, '贵港分输压气站', 2 - SUM(AI13,AJ13), '贵阳输气站', 3 - SUM(AI13,AJ13), '保山分输压气站', 2 - SUM(AI13,AJ13), '大铲岛分输站', 4 - SUM(AI13,AJ13), '梧州分输清管站', 2 - SUM(AI13,AJ13), '河池分输压气站', 2 - SUM(AI13,AJ13), '广州分输压气站', 2 - SUM(AI13,AJ13), '吉安联络站', 2 - SUM(AI13,AJ13), )</t>
  </si>
  <si>
    <t>=SWITCH(AL3, '贵港分输压气站', 2 - SUM(AL13,AM13), '贵阳输气站', 3 - SUM(AL13,AM13), '保山分输压气站', 2 - SUM(AL13,AM13), '大铲岛分输站', 4 - SUM(AL13,AM13), '梧州分输清管站', 2 - SUM(AL13,AM13), '河池分输压气站', 2 - SUM(AL13,AM13), '广州分输压气站', 2 - SUM(AL13,AM13), '吉安联络站', 2 - SUM(AL13,AM13), )</t>
  </si>
  <si>
    <t>=SWITCH(AO3, '贵港分输压气站', 2 - SUM(AO13,AP13), '贵阳输气站', 3 - SUM(AO13,AP13), '保山分输压气站', 2 - SUM(AO13,AP13), '大铲岛分输站', 4 - SUM(AO13,AP13), '梧州分输清管站', 2 - SUM(AO13,AP13), '河池分输压气站', 2 - SUM(AO13,AP13), '广州分输压气站', 2 - SUM(AO13,AP13), '吉安联络站', 2 - SUM(AO13,AP13), )</t>
  </si>
  <si>
    <t>=SWITCH(AR3, '贵港分输压气站', 2 - SUM(AR13,AS13), '贵阳输气站', 3 - SUM(AR13,AS13), '保山分输压气站', 2 - SUM(AR13,AS13), '大铲岛分输站', 4 - SUM(AR13,AS13), '梧州分输清管站', 2 - SUM(AR13,AS13), '河池分输压气站', 2 - SUM(AR13,AS13), '广州分输压气站', 2 - SUM(AR13,AS13), '吉安联络站', 2 - SUM(AR13,AS13), )</t>
  </si>
  <si>
    <t>=SWITCH(AU3, '贵港分输压气站', 2 - SUM(AU13,AV13), '贵阳输气站', 3 - SUM(AU13,AV13), '保山分输压气站', 2 - SUM(AU13,AV13), '大铲岛分输站', 4 - SUM(AU13,AV13), '梧州分输清管站', 2 - SUM(AU13,AV13), '河池分输压气站', 2 - SUM(AU13,AV13), '广州分输压气站', 2 - SUM(AU13,AV13), '吉安联络站', 2 - SUM(AU13,AV13), )</t>
  </si>
  <si>
    <t>=SWITCH(B3, '贵港分输压气站', 2 - SUM(B14,C14), '贵阳输气站', 3 - SUM(B14,C14), '保山分输压气站', 2 - SUM(B14,C14), '大铲岛分输站', 4 - SUM(B14,C14), '梧州分输清管站', 2 - SUM(B14,C14), '河池分输压气站', 2 - SUM(B14,C14), '广州分输压气站', 2 - SUM(B14,C14), '吉安联络站', 2 - SUM(B14,C14), )</t>
  </si>
  <si>
    <t>=SWITCH(E3, '贵港分输压气站', 2 - SUM(E14,F14), '贵阳输气站', 3 - SUM(E14,F14), '保山分输压气站', 2 - SUM(E14,F14), '大铲岛分输站', 4 - SUM(E14,F14), '梧州分输清管站', 2 - SUM(E14,F14), '河池分输压气站', 2 - SUM(E14,F14), '广州分输压气站', 2 - SUM(E14,F14), '吉安联络站', 2 - SUM(E14,F14), )</t>
  </si>
  <si>
    <t>=SWITCH(H3, '贵港分输压气站', 2 - SUM(H14,I14), '贵阳输气站', 3 - SUM(H14,I14), '保山分输压气站', 2 - SUM(H14,I14), '大铲岛分输站', 4 - SUM(H14,I14), '梧州分输清管站', 2 - SUM(H14,I14), '河池分输压气站', 2 - SUM(H14,I14), '广州分输压气站', 2 - SUM(H14,I14), '吉安联络站', 2 - SUM(H14,I14), )</t>
  </si>
  <si>
    <t>=SWITCH(K3, '贵港分输压气站', 2 - SUM(K14,L14), '贵阳输气站', 3 - SUM(K14,L14), '保山分输压气站', 2 - SUM(K14,L14), '大铲岛分输站', 4 - SUM(K14,L14), '梧州分输清管站', 2 - SUM(K14,L14), '河池分输压气站', 2 - SUM(K14,L14), '广州分输压气站', 2 - SUM(K14,L14), '吉安联络站', 2 - SUM(K14,L14), )</t>
  </si>
  <si>
    <t>=SWITCH(N3, '贵港分输压气站', 2 - SUM(N14,O14), '贵阳输气站', 3 - SUM(N14,O14), '保山分输压气站', 2 - SUM(N14,O14), '大铲岛分输站', 4 - SUM(N14,O14), '梧州分输清管站', 2 - SUM(N14,O14), '河池分输压气站', 2 - SUM(N14,O14), '广州分输压气站', 2 - SUM(N14,O14), '吉安联络站', 2 - SUM(N14,O14), )</t>
  </si>
  <si>
    <t>=SWITCH(Q3, '贵港分输压气站', 2 - SUM(Q14,R14), '贵阳输气站', 3 - SUM(Q14,R14), '保山分输压气站', 2 - SUM(Q14,R14), '大铲岛分输站', 4 - SUM(Q14,R14), '梧州分输清管站', 2 - SUM(Q14,R14), '河池分输压气站', 2 - SUM(Q14,R14), '广州分输压气站', 2 - SUM(Q14,R14), '吉安联络站', 2 - SUM(Q14,R14), )</t>
  </si>
  <si>
    <t>=SWITCH(T3, '贵港分输压气站', 2 - SUM(T14,U14), '贵阳输气站', 3 - SUM(T14,U14), '保山分输压气站', 2 - SUM(T14,U14), '大铲岛分输站', 4 - SUM(T14,U14), '梧州分输清管站', 2 - SUM(T14,U14), '河池分输压气站', 2 - SUM(T14,U14), '广州分输压气站', 2 - SUM(T14,U14), '吉安联络站', 2 - SUM(T14,U14), )</t>
  </si>
  <si>
    <t>=SWITCH(W3, '贵港分输压气站', 2 - SUM(W14,X14), '贵阳输气站', 3 - SUM(W14,X14), '保山分输压气站', 2 - SUM(W14,X14), '大铲岛分输站', 4 - SUM(W14,X14), '梧州分输清管站', 2 - SUM(W14,X14), '河池分输压气站', 2 - SUM(W14,X14), '广州分输压气站', 2 - SUM(W14,X14), '吉安联络站', 2 - SUM(W14,X14), )</t>
  </si>
  <si>
    <t>=SWITCH(Z3, '贵港分输压气站', 2 - SUM(Z14,AA14), '贵阳输气站', 3 - SUM(Z14,AA14), '保山分输压气站', 2 - SUM(Z14,AA14), '大铲岛分输站', 4 - SUM(Z14,AA14), '梧州分输清管站', 2 - SUM(Z14,AA14), '河池分输压气站', 2 - SUM(Z14,AA14), '广州分输压气站', 2 - SUM(Z14,AA14), '吉安联络站', 2 - SUM(Z14,AA14), )</t>
  </si>
  <si>
    <t>=SWITCH(AC3, '贵港分输压气站', 2 - SUM(AC14,AD14), '贵阳输气站', 3 - SUM(AC14,AD14), '保山分输压气站', 2 - SUM(AC14,AD14), '大铲岛分输站', 4 - SUM(AC14,AD14), '梧州分输清管站', 2 - SUM(AC14,AD14), '河池分输压气站', 2 - SUM(AC14,AD14), '广州分输压气站', 2 - SUM(AC14,AD14), '吉安联络站', 2 - SUM(AC14,AD14), )</t>
  </si>
  <si>
    <t>=SWITCH(AF3, '贵港分输压气站', 2 - SUM(AF14,AG14), '贵阳输气站', 3 - SUM(AF14,AG14), '保山分输压气站', 2 - SUM(AF14,AG14), '大铲岛分输站', 4 - SUM(AF14,AG14), '梧州分输清管站', 2 - SUM(AF14,AG14), '河池分输压气站', 2 - SUM(AF14,AG14), '广州分输压气站', 2 - SUM(AF14,AG14), '吉安联络站', 2 - SUM(AF14,AG14), )</t>
  </si>
  <si>
    <t>=SWITCH(AI3, '贵港分输压气站', 2 - SUM(AI14,AJ14), '贵阳输气站', 3 - SUM(AI14,AJ14), '保山分输压气站', 2 - SUM(AI14,AJ14), '大铲岛分输站', 4 - SUM(AI14,AJ14), '梧州分输清管站', 2 - SUM(AI14,AJ14), '河池分输压气站', 2 - SUM(AI14,AJ14), '广州分输压气站', 2 - SUM(AI14,AJ14), '吉安联络站', 2 - SUM(AI14,AJ14), )</t>
  </si>
  <si>
    <t>=SWITCH(AL3, '贵港分输压气站', 2 - SUM(AL14,AM14), '贵阳输气站', 3 - SUM(AL14,AM14), '保山分输压气站', 2 - SUM(AL14,AM14), '大铲岛分输站', 4 - SUM(AL14,AM14), '梧州分输清管站', 2 - SUM(AL14,AM14), '河池分输压气站', 2 - SUM(AL14,AM14), '广州分输压气站', 2 - SUM(AL14,AM14), '吉安联络站', 2 - SUM(AL14,AM14), )</t>
  </si>
  <si>
    <t>=SWITCH(AO3, '贵港分输压气站', 2 - SUM(AO14,AP14), '贵阳输气站', 3 - SUM(AO14,AP14), '保山分输压气站', 2 - SUM(AO14,AP14), '大铲岛分输站', 4 - SUM(AO14,AP14), '梧州分输清管站', 2 - SUM(AO14,AP14), '河池分输压气站', 2 - SUM(AO14,AP14), '广州分输压气站', 2 - SUM(AO14,AP14), '吉安联络站', 2 - SUM(AO14,AP14), )</t>
  </si>
  <si>
    <t>=SWITCH(AR3, '贵港分输压气站', 2 - SUM(AR14,AS14), '贵阳输气站', 3 - SUM(AR14,AS14), '保山分输压气站', 2 - SUM(AR14,AS14), '大铲岛分输站', 4 - SUM(AR14,AS14), '梧州分输清管站', 2 - SUM(AR14,AS14), '河池分输压气站', 2 - SUM(AR14,AS14), '广州分输压气站', 2 - SUM(AR14,AS14), '吉安联络站', 2 - SUM(AR14,AS14), )</t>
  </si>
  <si>
    <t>=SWITCH(AU3, '贵港分输压气站', 2 - SUM(AU14,AV14), '贵阳输气站', 3 - SUM(AU14,AV14), '保山分输压气站', 2 - SUM(AU14,AV14), '大铲岛分输站', 4 - SUM(AU14,AV14), '梧州分输清管站', 2 - SUM(AU14,AV14), '河池分输压气站', 2 - SUM(AU14,AV14), '广州分输压气站', 2 - SUM(AU14,AV14), '吉安联络站', 2 - SUM(AU14,AV14), )</t>
  </si>
  <si>
    <t>=SWITCH(B3, '贵港分输压气站', 2 - SUM(B15,C15), '贵阳输气站', 3 - SUM(B15,C15), '保山分输压气站', 2 - SUM(B15,C15), '大铲岛分输站', 4 - SUM(B15,C15), '梧州分输清管站', 2 - SUM(B15,C15), '河池分输压气站', 2 - SUM(B15,C15), '广州分输压气站', 2 - SUM(B15,C15), '吉安联络站', 2 - SUM(B15,C15), )</t>
  </si>
  <si>
    <t>=SWITCH(E3, '贵港分输压气站', 2 - SUM(E15,F15), '贵阳输气站', 3 - SUM(E15,F15), '保山分输压气站', 2 - SUM(E15,F15), '大铲岛分输站', 4 - SUM(E15,F15), '梧州分输清管站', 2 - SUM(E15,F15), '河池分输压气站', 2 - SUM(E15,F15), '广州分输压气站', 2 - SUM(E15,F15), '吉安联络站', 2 - SUM(E15,F15), )</t>
  </si>
  <si>
    <t>=SWITCH(H3, '贵港分输压气站', 2 - SUM(H15,I15), '贵阳输气站', 3 - SUM(H15,I15), '保山分输压气站', 2 - SUM(H15,I15), '大铲岛分输站', 4 - SUM(H15,I15), '梧州分输清管站', 2 - SUM(H15,I15), '河池分输压气站', 2 - SUM(H15,I15), '广州分输压气站', 2 - SUM(H15,I15), '吉安联络站', 2 - SUM(H15,I15), )</t>
  </si>
  <si>
    <t>=SWITCH(K3, '贵港分输压气站', 2 - SUM(K15,L15), '贵阳输气站', 3 - SUM(K15,L15), '保山分输压气站', 2 - SUM(K15,L15), '大铲岛分输站', 4 - SUM(K15,L15), '梧州分输清管站', 2 - SUM(K15,L15), '河池分输压气站', 2 - SUM(K15,L15), '广州分输压气站', 2 - SUM(K15,L15), '吉安联络站', 2 - SUM(K15,L15), )</t>
  </si>
  <si>
    <t>=SWITCH(N3, '贵港分输压气站', 2 - SUM(N15,O15), '贵阳输气站', 3 - SUM(N15,O15), '保山分输压气站', 2 - SUM(N15,O15), '大铲岛分输站', 4 - SUM(N15,O15), '梧州分输清管站', 2 - SUM(N15,O15), '河池分输压气站', 2 - SUM(N15,O15), '广州分输压气站', 2 - SUM(N15,O15), '吉安联络站', 2 - SUM(N15,O15), )</t>
  </si>
  <si>
    <t>=SWITCH(Q3, '贵港分输压气站', 2 - SUM(Q15,R15), '贵阳输气站', 3 - SUM(Q15,R15), '保山分输压气站', 2 - SUM(Q15,R15), '大铲岛分输站', 4 - SUM(Q15,R15), '梧州分输清管站', 2 - SUM(Q15,R15), '河池分输压气站', 2 - SUM(Q15,R15), '广州分输压气站', 2 - SUM(Q15,R15), '吉安联络站', 2 - SUM(Q15,R15), )</t>
  </si>
  <si>
    <t>=SWITCH(T3, '贵港分输压气站', 2 - SUM(T15,U15), '贵阳输气站', 3 - SUM(T15,U15), '保山分输压气站', 2 - SUM(T15,U15), '大铲岛分输站', 4 - SUM(T15,U15), '梧州分输清管站', 2 - SUM(T15,U15), '河池分输压气站', 2 - SUM(T15,U15), '广州分输压气站', 2 - SUM(T15,U15), '吉安联络站', 2 - SUM(T15,U15), )</t>
  </si>
  <si>
    <t>=SWITCH(W3, '贵港分输压气站', 2 - SUM(W15,X15), '贵阳输气站', 3 - SUM(W15,X15), '保山分输压气站', 2 - SUM(W15,X15), '大铲岛分输站', 4 - SUM(W15,X15), '梧州分输清管站', 2 - SUM(W15,X15), '河池分输压气站', 2 - SUM(W15,X15), '广州分输压气站', 2 - SUM(W15,X15), '吉安联络站', 2 - SUM(W15,X15), )</t>
  </si>
  <si>
    <t>=SWITCH(Z3, '贵港分输压气站', 2 - SUM(Z15,AA15), '贵阳输气站', 3 - SUM(Z15,AA15), '保山分输压气站', 2 - SUM(Z15,AA15), '大铲岛分输站', 4 - SUM(Z15,AA15), '梧州分输清管站', 2 - SUM(Z15,AA15), '河池分输压气站', 2 - SUM(Z15,AA15), '广州分输压气站', 2 - SUM(Z15,AA15), '吉安联络站', 2 - SUM(Z15,AA15), )</t>
  </si>
  <si>
    <t>=SWITCH(AC3, '贵港分输压气站', 2 - SUM(AC15,AD15), '贵阳输气站', 3 - SUM(AC15,AD15), '保山分输压气站', 2 - SUM(AC15,AD15), '大铲岛分输站', 4 - SUM(AC15,AD15), '梧州分输清管站', 2 - SUM(AC15,AD15), '河池分输压气站', 2 - SUM(AC15,AD15), '广州分输压气站', 2 - SUM(AC15,AD15), '吉安联络站', 2 - SUM(AC15,AD15), )</t>
  </si>
  <si>
    <t>=SWITCH(AF3, '贵港分输压气站', 2 - SUM(AF15,AG15), '贵阳输气站', 3 - SUM(AF15,AG15), '保山分输压气站', 2 - SUM(AF15,AG15), '大铲岛分输站', 4 - SUM(AF15,AG15), '梧州分输清管站', 2 - SUM(AF15,AG15), '河池分输压气站', 2 - SUM(AF15,AG15), '广州分输压气站', 2 - SUM(AF15,AG15), '吉安联络站', 2 - SUM(AF15,AG15), )</t>
  </si>
  <si>
    <t>=SWITCH(AI3, '贵港分输压气站', 2 - SUM(AI15,AJ15), '贵阳输气站', 3 - SUM(AI15,AJ15), '保山分输压气站', 2 - SUM(AI15,AJ15), '大铲岛分输站', 4 - SUM(AI15,AJ15), '梧州分输清管站', 2 - SUM(AI15,AJ15), '河池分输压气站', 2 - SUM(AI15,AJ15), '广州分输压气站', 2 - SUM(AI15,AJ15), '吉安联络站', 2 - SUM(AI15,AJ15), )</t>
  </si>
  <si>
    <t>=SWITCH(AL3, '贵港分输压气站', 2 - SUM(AL15,AM15), '贵阳输气站', 3 - SUM(AL15,AM15), '保山分输压气站', 2 - SUM(AL15,AM15), '大铲岛分输站', 4 - SUM(AL15,AM15), '梧州分输清管站', 2 - SUM(AL15,AM15), '河池分输压气站', 2 - SUM(AL15,AM15), '广州分输压气站', 2 - SUM(AL15,AM15), '吉安联络站', 2 - SUM(AL15,AM15), )</t>
  </si>
  <si>
    <t>=SWITCH(AO3, '贵港分输压气站', 2 - SUM(AO15,AP15), '贵阳输气站', 3 - SUM(AO15,AP15), '保山分输压气站', 2 - SUM(AO15,AP15), '大铲岛分输站', 4 - SUM(AO15,AP15), '梧州分输清管站', 2 - SUM(AO15,AP15), '河池分输压气站', 2 - SUM(AO15,AP15), '广州分输压气站', 2 - SUM(AO15,AP15), '吉安联络站', 2 - SUM(AO15,AP15), )</t>
  </si>
  <si>
    <t>=SWITCH(AR3, '贵港分输压气站', 2 - SUM(AR15,AS15), '贵阳输气站', 3 - SUM(AR15,AS15), '保山分输压气站', 2 - SUM(AR15,AS15), '大铲岛分输站', 4 - SUM(AR15,AS15), '梧州分输清管站', 2 - SUM(AR15,AS15), '河池分输压气站', 2 - SUM(AR15,AS15), '广州分输压气站', 2 - SUM(AR15,AS15), '吉安联络站', 2 - SUM(AR15,AS15), )</t>
  </si>
  <si>
    <t>=SWITCH(AU3, '贵港分输压气站', 2 - SUM(AU15,AV15), '贵阳输气站', 3 - SUM(AU15,AV15), '保山分输压气站', 2 - SUM(AU15,AV15), '大铲岛分输站', 4 - SUM(AU15,AV15), '梧州分输清管站', 2 - SUM(AU15,AV15), '河池分输压气站', 2 - SUM(AU15,AV15), '广州分输压气站', 2 - SUM(AU15,AV15), '吉安联络站', 2 - SUM(AU15,AV15), )</t>
  </si>
  <si>
    <t>=SWITCH(B3, '贵港分输压气站', 2 - SUM(B16,C16), '贵阳输气站', 3 - SUM(B16,C16), '保山分输压气站', 2 - SUM(B16,C16), '大铲岛分输站', 4 - SUM(B16,C16), '梧州分输清管站', 2 - SUM(B16,C16), '河池分输压气站', 2 - SUM(B16,C16), '广州分输压气站', 2 - SUM(B16,C16), '吉安联络站', 2 - SUM(B16,C16), )</t>
  </si>
  <si>
    <t>=SWITCH(E3, '贵港分输压气站', 2 - SUM(E16,F16), '贵阳输气站', 3 - SUM(E16,F16), '保山分输压气站', 2 - SUM(E16,F16), '大铲岛分输站', 4 - SUM(E16,F16), '梧州分输清管站', 2 - SUM(E16,F16), '河池分输压气站', 2 - SUM(E16,F16), '广州分输压气站', 2 - SUM(E16,F16), '吉安联络站', 2 - SUM(E16,F16), )</t>
  </si>
  <si>
    <t>=SWITCH(H3, '贵港分输压气站', 2 - SUM(H16,I16), '贵阳输气站', 3 - SUM(H16,I16), '保山分输压气站', 2 - SUM(H16,I16), '大铲岛分输站', 4 - SUM(H16,I16), '梧州分输清管站', 2 - SUM(H16,I16), '河池分输压气站', 2 - SUM(H16,I16), '广州分输压气站', 2 - SUM(H16,I16), '吉安联络站', 2 - SUM(H16,I16), )</t>
  </si>
  <si>
    <t>=SWITCH(K3, '贵港分输压气站', 2 - SUM(K16,L16), '贵阳输气站', 3 - SUM(K16,L16), '保山分输压气站', 2 - SUM(K16,L16), '大铲岛分输站', 4 - SUM(K16,L16), '梧州分输清管站', 2 - SUM(K16,L16), '河池分输压气站', 2 - SUM(K16,L16), '广州分输压气站', 2 - SUM(K16,L16), '吉安联络站', 2 - SUM(K16,L16), )</t>
  </si>
  <si>
    <t>=SWITCH(N3, '贵港分输压气站', 2 - SUM(N16,O16), '贵阳输气站', 3 - SUM(N16,O16), '保山分输压气站', 2 - SUM(N16,O16), '大铲岛分输站', 4 - SUM(N16,O16), '梧州分输清管站', 2 - SUM(N16,O16), '河池分输压气站', 2 - SUM(N16,O16), '广州分输压气站', 2 - SUM(N16,O16), '吉安联络站', 2 - SUM(N16,O16), )</t>
  </si>
  <si>
    <t>=SWITCH(Q3, '贵港分输压气站', 2 - SUM(Q16,R16), '贵阳输气站', 3 - SUM(Q16,R16), '保山分输压气站', 2 - SUM(Q16,R16), '大铲岛分输站', 4 - SUM(Q16,R16), '梧州分输清管站', 2 - SUM(Q16,R16), '河池分输压气站', 2 - SUM(Q16,R16), '广州分输压气站', 2 - SUM(Q16,R16), '吉安联络站', 2 - SUM(Q16,R16), )</t>
  </si>
  <si>
    <t>=SWITCH(T3, '贵港分输压气站', 2 - SUM(T16,U16), '贵阳输气站', 3 - SUM(T16,U16), '保山分输压气站', 2 - SUM(T16,U16), '大铲岛分输站', 4 - SUM(T16,U16), '梧州分输清管站', 2 - SUM(T16,U16), '河池分输压气站', 2 - SUM(T16,U16), '广州分输压气站', 2 - SUM(T16,U16), '吉安联络站', 2 - SUM(T16,U16), )</t>
  </si>
  <si>
    <t>=SWITCH(W3, '贵港分输压气站', 2 - SUM(W16,X16), '贵阳输气站', 3 - SUM(W16,X16), '保山分输压气站', 2 - SUM(W16,X16), '大铲岛分输站', 4 - SUM(W16,X16), '梧州分输清管站', 2 - SUM(W16,X16), '河池分输压气站', 2 - SUM(W16,X16), '广州分输压气站', 2 - SUM(W16,X16), '吉安联络站', 2 - SUM(W16,X16), )</t>
  </si>
  <si>
    <t>=SWITCH(Z3, '贵港分输压气站', 2 - SUM(Z16,AA16), '贵阳输气站', 3 - SUM(Z16,AA16), '保山分输压气站', 2 - SUM(Z16,AA16), '大铲岛分输站', 4 - SUM(Z16,AA16), '梧州分输清管站', 2 - SUM(Z16,AA16), '河池分输压气站', 2 - SUM(Z16,AA16), '广州分输压气站', 2 - SUM(Z16,AA16), '吉安联络站', 2 - SUM(Z16,AA16), )</t>
  </si>
  <si>
    <t>=SWITCH(AC3, '贵港分输压气站', 2 - SUM(AC16,AD16), '贵阳输气站', 3 - SUM(AC16,AD16), '保山分输压气站', 2 - SUM(AC16,AD16), '大铲岛分输站', 4 - SUM(AC16,AD16), '梧州分输清管站', 2 - SUM(AC16,AD16), '河池分输压气站', 2 - SUM(AC16,AD16), '广州分输压气站', 2 - SUM(AC16,AD16), '吉安联络站', 2 - SUM(AC16,AD16), )</t>
  </si>
  <si>
    <t>=SWITCH(AF3, '贵港分输压气站', 2 - SUM(AF16,AG16), '贵阳输气站', 3 - SUM(AF16,AG16), '保山分输压气站', 2 - SUM(AF16,AG16), '大铲岛分输站', 4 - SUM(AF16,AG16), '梧州分输清管站', 2 - SUM(AF16,AG16), '河池分输压气站', 2 - SUM(AF16,AG16), '广州分输压气站', 2 - SUM(AF16,AG16), '吉安联络站', 2 - SUM(AF16,AG16), )</t>
  </si>
  <si>
    <t>=SWITCH(AI3, '贵港分输压气站', 2 - SUM(AI16,AJ16), '贵阳输气站', 3 - SUM(AI16,AJ16), '保山分输压气站', 2 - SUM(AI16,AJ16), '大铲岛分输站', 4 - SUM(AI16,AJ16), '梧州分输清管站', 2 - SUM(AI16,AJ16), '河池分输压气站', 2 - SUM(AI16,AJ16), '广州分输压气站', 2 - SUM(AI16,AJ16), '吉安联络站', 2 - SUM(AI16,AJ16), )</t>
  </si>
  <si>
    <t>=SWITCH(AL3, '贵港分输压气站', 2 - SUM(AL16,AM16), '贵阳输气站', 3 - SUM(AL16,AM16), '保山分输压气站', 2 - SUM(AL16,AM16), '大铲岛分输站', 4 - SUM(AL16,AM16), '梧州分输清管站', 2 - SUM(AL16,AM16), '河池分输压气站', 2 - SUM(AL16,AM16), '广州分输压气站', 2 - SUM(AL16,AM16), '吉安联络站', 2 - SUM(AL16,AM16), )</t>
  </si>
  <si>
    <t>=SWITCH(AO3, '贵港分输压气站', 2 - SUM(AO16,AP16), '贵阳输气站', 3 - SUM(AO16,AP16), '保山分输压气站', 2 - SUM(AO16,AP16), '大铲岛分输站', 4 - SUM(AO16,AP16), '梧州分输清管站', 2 - SUM(AO16,AP16), '河池分输压气站', 2 - SUM(AO16,AP16), '广州分输压气站', 2 - SUM(AO16,AP16), '吉安联络站', 2 - SUM(AO16,AP16), )</t>
  </si>
  <si>
    <t>=SWITCH(AR3, '贵港分输压气站', 2 - SUM(AR16,AS16), '贵阳输气站', 3 - SUM(AR16,AS16), '保山分输压气站', 2 - SUM(AR16,AS16), '大铲岛分输站', 4 - SUM(AR16,AS16), '梧州分输清管站', 2 - SUM(AR16,AS16), '河池分输压气站', 2 - SUM(AR16,AS16), '广州分输压气站', 2 - SUM(AR16,AS16), '吉安联络站', 2 - SUM(AR16,AS16), )</t>
  </si>
  <si>
    <t>=SWITCH(AU3, '贵港分输压气站', 2 - SUM(AU16,AV16), '贵阳输气站', 3 - SUM(AU16,AV16), '保山分输压气站', 2 - SUM(AU16,AV16), '大铲岛分输站', 4 - SUM(AU16,AV16), '梧州分输清管站', 2 - SUM(AU16,AV16), '河池分输压气站', 2 - SUM(AU16,AV16), '广州分输压气站', 2 - SUM(AU16,AV16), '吉安联络站', 2 - SUM(AU16,AV16), )</t>
  </si>
  <si>
    <t>=SWITCH(B3, '贵港分输压气站', 2 - SUM(B17,C17), '贵阳输气站', 3 - SUM(B17,C17), '保山分输压气站', 2 - SUM(B17,C17), '大铲岛分输站', 4 - SUM(B17,C17), '梧州分输清管站', 2 - SUM(B17,C17), '河池分输压气站', 2 - SUM(B17,C17), '广州分输压气站', 2 - SUM(B17,C17), '吉安联络站', 2 - SUM(B17,C17), )</t>
  </si>
  <si>
    <t>=SWITCH(E3, '贵港分输压气站', 2 - SUM(E17,F17), '贵阳输气站', 3 - SUM(E17,F17), '保山分输压气站', 2 - SUM(E17,F17), '大铲岛分输站', 4 - SUM(E17,F17), '梧州分输清管站', 2 - SUM(E17,F17), '河池分输压气站', 2 - SUM(E17,F17), '广州分输压气站', 2 - SUM(E17,F17), '吉安联络站', 2 - SUM(E17,F17), )</t>
  </si>
  <si>
    <t>=SWITCH(H3, '贵港分输压气站', 2 - SUM(H17,I17), '贵阳输气站', 3 - SUM(H17,I17), '保山分输压气站', 2 - SUM(H17,I17), '大铲岛分输站', 4 - SUM(H17,I17), '梧州分输清管站', 2 - SUM(H17,I17), '河池分输压气站', 2 - SUM(H17,I17), '广州分输压气站', 2 - SUM(H17,I17), '吉安联络站', 2 - SUM(H17,I17), )</t>
  </si>
  <si>
    <t>=SWITCH(K3, '贵港分输压气站', 2 - SUM(K17,L17), '贵阳输气站', 3 - SUM(K17,L17), '保山分输压气站', 2 - SUM(K17,L17), '大铲岛分输站', 4 - SUM(K17,L17), '梧州分输清管站', 2 - SUM(K17,L17), '河池分输压气站', 2 - SUM(K17,L17), '广州分输压气站', 2 - SUM(K17,L17), '吉安联络站', 2 - SUM(K17,L17), )</t>
  </si>
  <si>
    <t>=SWITCH(N3, '贵港分输压气站', 2 - SUM(N17,O17), '贵阳输气站', 3 - SUM(N17,O17), '保山分输压气站', 2 - SUM(N17,O17), '大铲岛分输站', 4 - SUM(N17,O17), '梧州分输清管站', 2 - SUM(N17,O17), '河池分输压气站', 2 - SUM(N17,O17), '广州分输压气站', 2 - SUM(N17,O17), '吉安联络站', 2 - SUM(N17,O17), )</t>
  </si>
  <si>
    <t>=SWITCH(Q3, '贵港分输压气站', 2 - SUM(Q17,R17), '贵阳输气站', 3 - SUM(Q17,R17), '保山分输压气站', 2 - SUM(Q17,R17), '大铲岛分输站', 4 - SUM(Q17,R17), '梧州分输清管站', 2 - SUM(Q17,R17), '河池分输压气站', 2 - SUM(Q17,R17), '广州分输压气站', 2 - SUM(Q17,R17), '吉安联络站', 2 - SUM(Q17,R17), )</t>
  </si>
  <si>
    <t>=SWITCH(T3, '贵港分输压气站', 2 - SUM(T17,U17), '贵阳输气站', 3 - SUM(T17,U17), '保山分输压气站', 2 - SUM(T17,U17), '大铲岛分输站', 4 - SUM(T17,U17), '梧州分输清管站', 2 - SUM(T17,U17), '河池分输压气站', 2 - SUM(T17,U17), '广州分输压气站', 2 - SUM(T17,U17), '吉安联络站', 2 - SUM(T17,U17), )</t>
  </si>
  <si>
    <t>=SWITCH(W3, '贵港分输压气站', 2 - SUM(W17,X17), '贵阳输气站', 3 - SUM(W17,X17), '保山分输压气站', 2 - SUM(W17,X17), '大铲岛分输站', 4 - SUM(W17,X17), '梧州分输清管站', 2 - SUM(W17,X17), '河池分输压气站', 2 - SUM(W17,X17), '广州分输压气站', 2 - SUM(W17,X17), '吉安联络站', 2 - SUM(W17,X17), )</t>
  </si>
  <si>
    <t>=SWITCH(Z3, '贵港分输压气站', 2 - SUM(Z17,AA17), '贵阳输气站', 3 - SUM(Z17,AA17), '保山分输压气站', 2 - SUM(Z17,AA17), '大铲岛分输站', 4 - SUM(Z17,AA17), '梧州分输清管站', 2 - SUM(Z17,AA17), '河池分输压气站', 2 - SUM(Z17,AA17), '广州分输压气站', 2 - SUM(Z17,AA17), '吉安联络站', 2 - SUM(Z17,AA17), )</t>
  </si>
  <si>
    <t>=SWITCH(AC3, '贵港分输压气站', 2 - SUM(AC17,AD17), '贵阳输气站', 3 - SUM(AC17,AD17), '保山分输压气站', 2 - SUM(AC17,AD17), '大铲岛分输站', 4 - SUM(AC17,AD17), '梧州分输清管站', 2 - SUM(AC17,AD17), '河池分输压气站', 2 - SUM(AC17,AD17), '广州分输压气站', 2 - SUM(AC17,AD17), '吉安联络站', 2 - SUM(AC17,AD17), )</t>
  </si>
  <si>
    <t>=SWITCH(AF3, '贵港分输压气站', 2 - SUM(AF17,AG17), '贵阳输气站', 3 - SUM(AF17,AG17), '保山分输压气站', 2 - SUM(AF17,AG17), '大铲岛分输站', 4 - SUM(AF17,AG17), '梧州分输清管站', 2 - SUM(AF17,AG17), '河池分输压气站', 2 - SUM(AF17,AG17), '广州分输压气站', 2 - SUM(AF17,AG17), '吉安联络站', 2 - SUM(AF17,AG17), )</t>
  </si>
  <si>
    <t>=SWITCH(AI3, '贵港分输压气站', 2 - SUM(AI17,AJ17), '贵阳输气站', 3 - SUM(AI17,AJ17), '保山分输压气站', 2 - SUM(AI17,AJ17), '大铲岛分输站', 4 - SUM(AI17,AJ17), '梧州分输清管站', 2 - SUM(AI17,AJ17), '河池分输压气站', 2 - SUM(AI17,AJ17), '广州分输压气站', 2 - SUM(AI17,AJ17), '吉安联络站', 2 - SUM(AI17,AJ17), )</t>
  </si>
  <si>
    <t>=SWITCH(AL3, '贵港分输压气站', 2 - SUM(AL17,AM17), '贵阳输气站', 3 - SUM(AL17,AM17), '保山分输压气站', 2 - SUM(AL17,AM17), '大铲岛分输站', 4 - SUM(AL17,AM17), '梧州分输清管站', 2 - SUM(AL17,AM17), '河池分输压气站', 2 - SUM(AL17,AM17), '广州分输压气站', 2 - SUM(AL17,AM17), '吉安联络站', 2 - SUM(AL17,AM17), )</t>
  </si>
  <si>
    <t>=SWITCH(AO3, '贵港分输压气站', 2 - SUM(AO17,AP17), '贵阳输气站', 3 - SUM(AO17,AP17), '保山分输压气站', 2 - SUM(AO17,AP17), '大铲岛分输站', 4 - SUM(AO17,AP17), '梧州分输清管站', 2 - SUM(AO17,AP17), '河池分输压气站', 2 - SUM(AO17,AP17), '广州分输压气站', 2 - SUM(AO17,AP17), '吉安联络站', 2 - SUM(AO17,AP17), )</t>
  </si>
  <si>
    <t>=SWITCH(AR3, '贵港分输压气站', 2 - SUM(AR17,AS17), '贵阳输气站', 3 - SUM(AR17,AS17), '保山分输压气站', 2 - SUM(AR17,AS17), '大铲岛分输站', 4 - SUM(AR17,AS17), '梧州分输清管站', 2 - SUM(AR17,AS17), '河池分输压气站', 2 - SUM(AR17,AS17), '广州分输压气站', 2 - SUM(AR17,AS17), '吉安联络站', 2 - SUM(AR17,AS17), )</t>
  </si>
  <si>
    <t>=SWITCH(AU3, '贵港分输压气站', 2 - SUM(AU17,AV17), '贵阳输气站', 3 - SUM(AU17,AV17), '保山分输压气站', 2 - SUM(AU17,AV17), '大铲岛分输站', 4 - SUM(AU17,AV17), '梧州分输清管站', 2 - SUM(AU17,AV17), '河池分输压气站', 2 - SUM(AU17,AV17), '广州分输压气站', 2 - SUM(AU17,AV17), '吉安联络站', 2 - SUM(AU17,AV17), )</t>
  </si>
  <si>
    <t>=SWITCH(B3, '贵港分输压气站', 2 - SUM(B18,C18), '贵阳输气站', 3 - SUM(B18,C18), '保山分输压气站', 2 - SUM(B18,C18), '大铲岛分输站', 4 - SUM(B18,C18), '梧州分输清管站', 2 - SUM(B18,C18), '河池分输压气站', 2 - SUM(B18,C18), '广州分输压气站', 2 - SUM(B18,C18), '吉安联络站', 2 - SUM(B18,C18), )</t>
  </si>
  <si>
    <t>=SWITCH(E3, '贵港分输压气站', 2 - SUM(E18,F18), '贵阳输气站', 3 - SUM(E18,F18), '保山分输压气站', 2 - SUM(E18,F18), '大铲岛分输站', 4 - SUM(E18,F18), '梧州分输清管站', 2 - SUM(E18,F18), '河池分输压气站', 2 - SUM(E18,F18), '广州分输压气站', 2 - SUM(E18,F18), '吉安联络站', 2 - SUM(E18,F18), )</t>
  </si>
  <si>
    <t>=SWITCH(H3, '贵港分输压气站', 2 - SUM(H18,I18), '贵阳输气站', 3 - SUM(H18,I18), '保山分输压气站', 2 - SUM(H18,I18), '大铲岛分输站', 4 - SUM(H18,I18), '梧州分输清管站', 2 - SUM(H18,I18), '河池分输压气站', 2 - SUM(H18,I18), '广州分输压气站', 2 - SUM(H18,I18), '吉安联络站', 2 - SUM(H18,I18), )</t>
  </si>
  <si>
    <t>=SWITCH(K3, '贵港分输压气站', 2 - SUM(K18,L18), '贵阳输气站', 3 - SUM(K18,L18), '保山分输压气站', 2 - SUM(K18,L18), '大铲岛分输站', 4 - SUM(K18,L18), '梧州分输清管站', 2 - SUM(K18,L18), '河池分输压气站', 2 - SUM(K18,L18), '广州分输压气站', 2 - SUM(K18,L18), '吉安联络站', 2 - SUM(K18,L18), )</t>
  </si>
  <si>
    <t>=SWITCH(N3, '贵港分输压气站', 2 - SUM(N18,O18), '贵阳输气站', 3 - SUM(N18,O18), '保山分输压气站', 2 - SUM(N18,O18), '大铲岛分输站', 4 - SUM(N18,O18), '梧州分输清管站', 2 - SUM(N18,O18), '河池分输压气站', 2 - SUM(N18,O18), '广州分输压气站', 2 - SUM(N18,O18), '吉安联络站', 2 - SUM(N18,O18), )</t>
  </si>
  <si>
    <t>=SWITCH(Q3, '贵港分输压气站', 2 - SUM(Q18,R18), '贵阳输气站', 3 - SUM(Q18,R18), '保山分输压气站', 2 - SUM(Q18,R18), '大铲岛分输站', 4 - SUM(Q18,R18), '梧州分输清管站', 2 - SUM(Q18,R18), '河池分输压气站', 2 - SUM(Q18,R18), '广州分输压气站', 2 - SUM(Q18,R18), '吉安联络站', 2 - SUM(Q18,R18), )</t>
  </si>
  <si>
    <t>=SWITCH(T3, '贵港分输压气站', 2 - SUM(T18,U18), '贵阳输气站', 3 - SUM(T18,U18), '保山分输压气站', 2 - SUM(T18,U18), '大铲岛分输站', 4 - SUM(T18,U18), '梧州分输清管站', 2 - SUM(T18,U18), '河池分输压气站', 2 - SUM(T18,U18), '广州分输压气站', 2 - SUM(T18,U18), '吉安联络站', 2 - SUM(T18,U18), )</t>
  </si>
  <si>
    <t>=SWITCH(W3, '贵港分输压气站', 2 - SUM(W18,X18), '贵阳输气站', 3 - SUM(W18,X18), '保山分输压气站', 2 - SUM(W18,X18), '大铲岛分输站', 4 - SUM(W18,X18), '梧州分输清管站', 2 - SUM(W18,X18), '河池分输压气站', 2 - SUM(W18,X18), '广州分输压气站', 2 - SUM(W18,X18), '吉安联络站', 2 - SUM(W18,X18), )</t>
  </si>
  <si>
    <t>=SWITCH(Z3, '贵港分输压气站', 2 - SUM(Z18,AA18), '贵阳输气站', 3 - SUM(Z18,AA18), '保山分输压气站', 2 - SUM(Z18,AA18), '大铲岛分输站', 4 - SUM(Z18,AA18), '梧州分输清管站', 2 - SUM(Z18,AA18), '河池分输压气站', 2 - SUM(Z18,AA18), '广州分输压气站', 2 - SUM(Z18,AA18), '吉安联络站', 2 - SUM(Z18,AA18), )</t>
  </si>
  <si>
    <t>=SWITCH(AC3, '贵港分输压气站', 2 - SUM(AC18,AD18), '贵阳输气站', 3 - SUM(AC18,AD18), '保山分输压气站', 2 - SUM(AC18,AD18), '大铲岛分输站', 4 - SUM(AC18,AD18), '梧州分输清管站', 2 - SUM(AC18,AD18), '河池分输压气站', 2 - SUM(AC18,AD18), '广州分输压气站', 2 - SUM(AC18,AD18), '吉安联络站', 2 - SUM(AC18,AD18), )</t>
  </si>
  <si>
    <t>=SWITCH(AF3, '贵港分输压气站', 2 - SUM(AF18,AG18), '贵阳输气站', 3 - SUM(AF18,AG18), '保山分输压气站', 2 - SUM(AF18,AG18), '大铲岛分输站', 4 - SUM(AF18,AG18), '梧州分输清管站', 2 - SUM(AF18,AG18), '河池分输压气站', 2 - SUM(AF18,AG18), '广州分输压气站', 2 - SUM(AF18,AG18), '吉安联络站', 2 - SUM(AF18,AG18), )</t>
  </si>
  <si>
    <t>=SWITCH(AI3, '贵港分输压气站', 2 - SUM(AI18,AJ18), '贵阳输气站', 3 - SUM(AI18,AJ18), '保山分输压气站', 2 - SUM(AI18,AJ18), '大铲岛分输站', 4 - SUM(AI18,AJ18), '梧州分输清管站', 2 - SUM(AI18,AJ18), '河池分输压气站', 2 - SUM(AI18,AJ18), '广州分输压气站', 2 - SUM(AI18,AJ18), '吉安联络站', 2 - SUM(AI18,AJ18), )</t>
  </si>
  <si>
    <t>=SWITCH(AL3, '贵港分输压气站', 2 - SUM(AL18,AM18), '贵阳输气站', 3 - SUM(AL18,AM18), '保山分输压气站', 2 - SUM(AL18,AM18), '大铲岛分输站', 4 - SUM(AL18,AM18), '梧州分输清管站', 2 - SUM(AL18,AM18), '河池分输压气站', 2 - SUM(AL18,AM18), '广州分输压气站', 2 - SUM(AL18,AM18), '吉安联络站', 2 - SUM(AL18,AM18), )</t>
  </si>
  <si>
    <t>=SWITCH(AO3, '贵港分输压气站', 2 - SUM(AO18,AP18), '贵阳输气站', 3 - SUM(AO18,AP18), '保山分输压气站', 2 - SUM(AO18,AP18), '大铲岛分输站', 4 - SUM(AO18,AP18), '梧州分输清管站', 2 - SUM(AO18,AP18), '河池分输压气站', 2 - SUM(AO18,AP18), '广州分输压气站', 2 - SUM(AO18,AP18), '吉安联络站', 2 - SUM(AO18,AP18), )</t>
  </si>
  <si>
    <t>=SWITCH(AR3, '贵港分输压气站', 2 - SUM(AR18,AS18), '贵阳输气站', 3 - SUM(AR18,AS18), '保山分输压气站', 2 - SUM(AR18,AS18), '大铲岛分输站', 4 - SUM(AR18,AS18), '梧州分输清管站', 2 - SUM(AR18,AS18), '河池分输压气站', 2 - SUM(AR18,AS18), '广州分输压气站', 2 - SUM(AR18,AS18), '吉安联络站', 2 - SUM(AR18,AS18), )</t>
  </si>
  <si>
    <t>=SWITCH(AU3, '贵港分输压气站', 2 - SUM(AU18,AV18), '贵阳输气站', 3 - SUM(AU18,AV18), '保山分输压气站', 2 - SUM(AU18,AV18), '大铲岛分输站', 4 - SUM(AU18,AV18), '梧州分输清管站', 2 - SUM(AU18,AV18), '河池分输压气站', 2 - SUM(AU18,AV18), '广州分输压气站', 2 - SUM(AU18,AV18), '吉安联络站', 2 - SUM(AU18,AV18), )</t>
  </si>
  <si>
    <t>=SWITCH(B3, '贵港分输压气站', 2 - SUM(B19,C19), '贵阳输气站', 3 - SUM(B19,C19), '保山分输压气站', 2 - SUM(B19,C19), '大铲岛分输站', 4 - SUM(B19,C19), '梧州分输清管站', 2 - SUM(B19,C19), '河池分输压气站', 2 - SUM(B19,C19), '广州分输压气站', 2 - SUM(B19,C19), '吉安联络站', 2 - SUM(B19,C19), )</t>
  </si>
  <si>
    <t>=SWITCH(E3, '贵港分输压气站', 2 - SUM(E19,F19), '贵阳输气站', 3 - SUM(E19,F19), '保山分输压气站', 2 - SUM(E19,F19), '大铲岛分输站', 4 - SUM(E19,F19), '梧州分输清管站', 2 - SUM(E19,F19), '河池分输压气站', 2 - SUM(E19,F19), '广州分输压气站', 2 - SUM(E19,F19), '吉安联络站', 2 - SUM(E19,F19), )</t>
  </si>
  <si>
    <t>=SWITCH(H3, '贵港分输压气站', 2 - SUM(H19,I19), '贵阳输气站', 3 - SUM(H19,I19), '保山分输压气站', 2 - SUM(H19,I19), '大铲岛分输站', 4 - SUM(H19,I19), '梧州分输清管站', 2 - SUM(H19,I19), '河池分输压气站', 2 - SUM(H19,I19), '广州分输压气站', 2 - SUM(H19,I19), '吉安联络站', 2 - SUM(H19,I19), )</t>
  </si>
  <si>
    <t>=SWITCH(K3, '贵港分输压气站', 2 - SUM(K19,L19), '贵阳输气站', 3 - SUM(K19,L19), '保山分输压气站', 2 - SUM(K19,L19), '大铲岛分输站', 4 - SUM(K19,L19), '梧州分输清管站', 2 - SUM(K19,L19), '河池分输压气站', 2 - SUM(K19,L19), '广州分输压气站', 2 - SUM(K19,L19), '吉安联络站', 2 - SUM(K19,L19), )</t>
  </si>
  <si>
    <t>=SWITCH(N3, '贵港分输压气站', 2 - SUM(N19,O19), '贵阳输气站', 3 - SUM(N19,O19), '保山分输压气站', 2 - SUM(N19,O19), '大铲岛分输站', 4 - SUM(N19,O19), '梧州分输清管站', 2 - SUM(N19,O19), '河池分输压气站', 2 - SUM(N19,O19), '广州分输压气站', 2 - SUM(N19,O19), '吉安联络站', 2 - SUM(N19,O19), )</t>
  </si>
  <si>
    <t>=SWITCH(Q3, '贵港分输压气站', 2 - SUM(Q19,R19), '贵阳输气站', 3 - SUM(Q19,R19), '保山分输压气站', 2 - SUM(Q19,R19), '大铲岛分输站', 4 - SUM(Q19,R19), '梧州分输清管站', 2 - SUM(Q19,R19), '河池分输压气站', 2 - SUM(Q19,R19), '广州分输压气站', 2 - SUM(Q19,R19), '吉安联络站', 2 - SUM(Q19,R19), )</t>
  </si>
  <si>
    <t>=SWITCH(T3, '贵港分输压气站', 2 - SUM(T19,U19), '贵阳输气站', 3 - SUM(T19,U19), '保山分输压气站', 2 - SUM(T19,U19), '大铲岛分输站', 4 - SUM(T19,U19), '梧州分输清管站', 2 - SUM(T19,U19), '河池分输压气站', 2 - SUM(T19,U19), '广州分输压气站', 2 - SUM(T19,U19), '吉安联络站', 2 - SUM(T19,U19), )</t>
  </si>
  <si>
    <t>=SWITCH(W3, '贵港分输压气站', 2 - SUM(W19,X19), '贵阳输气站', 3 - SUM(W19,X19), '保山分输压气站', 2 - SUM(W19,X19), '大铲岛分输站', 4 - SUM(W19,X19), '梧州分输清管站', 2 - SUM(W19,X19), '河池分输压气站', 2 - SUM(W19,X19), '广州分输压气站', 2 - SUM(W19,X19), '吉安联络站', 2 - SUM(W19,X19), )</t>
  </si>
  <si>
    <t>=SWITCH(Z3, '贵港分输压气站', 2 - SUM(Z19,AA19), '贵阳输气站', 3 - SUM(Z19,AA19), '保山分输压气站', 2 - SUM(Z19,AA19), '大铲岛分输站', 4 - SUM(Z19,AA19), '梧州分输清管站', 2 - SUM(Z19,AA19), '河池分输压气站', 2 - SUM(Z19,AA19), '广州分输压气站', 2 - SUM(Z19,AA19), '吉安联络站', 2 - SUM(Z19,AA19), )</t>
  </si>
  <si>
    <t>=SWITCH(AC3, '贵港分输压气站', 2 - SUM(AC19,AD19), '贵阳输气站', 3 - SUM(AC19,AD19), '保山分输压气站', 2 - SUM(AC19,AD19), '大铲岛分输站', 4 - SUM(AC19,AD19), '梧州分输清管站', 2 - SUM(AC19,AD19), '河池分输压气站', 2 - SUM(AC19,AD19), '广州分输压气站', 2 - SUM(AC19,AD19), '吉安联络站', 2 - SUM(AC19,AD19), )</t>
  </si>
  <si>
    <t>=SWITCH(AF3, '贵港分输压气站', 2 - SUM(AF19,AG19), '贵阳输气站', 3 - SUM(AF19,AG19), '保山分输压气站', 2 - SUM(AF19,AG19), '大铲岛分输站', 4 - SUM(AF19,AG19), '梧州分输清管站', 2 - SUM(AF19,AG19), '河池分输压气站', 2 - SUM(AF19,AG19), '广州分输压气站', 2 - SUM(AF19,AG19), '吉安联络站', 2 - SUM(AF19,AG19), )</t>
  </si>
  <si>
    <t>=SWITCH(AI3, '贵港分输压气站', 2 - SUM(AI19,AJ19), '贵阳输气站', 3 - SUM(AI19,AJ19), '保山分输压气站', 2 - SUM(AI19,AJ19), '大铲岛分输站', 4 - SUM(AI19,AJ19), '梧州分输清管站', 2 - SUM(AI19,AJ19), '河池分输压气站', 2 - SUM(AI19,AJ19), '广州分输压气站', 2 - SUM(AI19,AJ19), '吉安联络站', 2 - SUM(AI19,AJ19), )</t>
  </si>
  <si>
    <t>=SWITCH(AL3, '贵港分输压气站', 2 - SUM(AL19,AM19), '贵阳输气站', 3 - SUM(AL19,AM19), '保山分输压气站', 2 - SUM(AL19,AM19), '大铲岛分输站', 4 - SUM(AL19,AM19), '梧州分输清管站', 2 - SUM(AL19,AM19), '河池分输压气站', 2 - SUM(AL19,AM19), '广州分输压气站', 2 - SUM(AL19,AM19), '吉安联络站', 2 - SUM(AL19,AM19), )</t>
  </si>
  <si>
    <t>=SWITCH(AO3, '贵港分输压气站', 2 - SUM(AO19,AP19), '贵阳输气站', 3 - SUM(AO19,AP19), '保山分输压气站', 2 - SUM(AO19,AP19), '大铲岛分输站', 4 - SUM(AO19,AP19), '梧州分输清管站', 2 - SUM(AO19,AP19), '河池分输压气站', 2 - SUM(AO19,AP19), '广州分输压气站', 2 - SUM(AO19,AP19), '吉安联络站', 2 - SUM(AO19,AP19), )</t>
  </si>
  <si>
    <t>=SWITCH(AR3, '贵港分输压气站', 2 - SUM(AR19,AS19), '贵阳输气站', 3 - SUM(AR19,AS19), '保山分输压气站', 2 - SUM(AR19,AS19), '大铲岛分输站', 4 - SUM(AR19,AS19), '梧州分输清管站', 2 - SUM(AR19,AS19), '河池分输压气站', 2 - SUM(AR19,AS19), '广州分输压气站', 2 - SUM(AR19,AS19), '吉安联络站', 2 - SUM(AR19,AS19), )</t>
  </si>
  <si>
    <t>=SWITCH(AU3, '贵港分输压气站', 2 - SUM(AU19,AV19), '贵阳输气站', 3 - SUM(AU19,AV19), '保山分输压气站', 2 - SUM(AU19,AV19), '大铲岛分输站', 4 - SUM(AU19,AV19), '梧州分输清管站', 2 - SUM(AU19,AV19), '河池分输压气站', 2 - SUM(AU19,AV19), '广州分输压气站', 2 - SUM(AU19,AV19), '吉安联络站', 2 - SUM(AU19,AV19), )</t>
  </si>
  <si>
    <t>=SWITCH(B3, '贵港分输压气站', 2 - SUM(B20,C20), '贵阳输气站', 3 - SUM(B20,C20), '保山分输压气站', 2 - SUM(B20,C20), '大铲岛分输站', 4 - SUM(B20,C20), '梧州分输清管站', 2 - SUM(B20,C20), '河池分输压气站', 2 - SUM(B20,C20), '广州分输压气站', 2 - SUM(B20,C20), '吉安联络站', 2 - SUM(B20,C20), )</t>
  </si>
  <si>
    <t>=SWITCH(E3, '贵港分输压气站', 2 - SUM(E20,F20), '贵阳输气站', 3 - SUM(E20,F20), '保山分输压气站', 2 - SUM(E20,F20), '大铲岛分输站', 4 - SUM(E20,F20), '梧州分输清管站', 2 - SUM(E20,F20), '河池分输压气站', 2 - SUM(E20,F20), '广州分输压气站', 2 - SUM(E20,F20), '吉安联络站', 2 - SUM(E20,F20), )</t>
  </si>
  <si>
    <t>=SWITCH(H3, '贵港分输压气站', 2 - SUM(H20,I20), '贵阳输气站', 3 - SUM(H20,I20), '保山分输压气站', 2 - SUM(H20,I20), '大铲岛分输站', 4 - SUM(H20,I20), '梧州分输清管站', 2 - SUM(H20,I20), '河池分输压气站', 2 - SUM(H20,I20), '广州分输压气站', 2 - SUM(H20,I20), '吉安联络站', 2 - SUM(H20,I20), )</t>
  </si>
  <si>
    <t>=SWITCH(K3, '贵港分输压气站', 2 - SUM(K20,L20), '贵阳输气站', 3 - SUM(K20,L20), '保山分输压气站', 2 - SUM(K20,L20), '大铲岛分输站', 4 - SUM(K20,L20), '梧州分输清管站', 2 - SUM(K20,L20), '河池分输压气站', 2 - SUM(K20,L20), '广州分输压气站', 2 - SUM(K20,L20), '吉安联络站', 2 - SUM(K20,L20), )</t>
  </si>
  <si>
    <t>=SWITCH(N3, '贵港分输压气站', 2 - SUM(N20,O20), '贵阳输气站', 3 - SUM(N20,O20), '保山分输压气站', 2 - SUM(N20,O20), '大铲岛分输站', 4 - SUM(N20,O20), '梧州分输清管站', 2 - SUM(N20,O20), '河池分输压气站', 2 - SUM(N20,O20), '广州分输压气站', 2 - SUM(N20,O20), '吉安联络站', 2 - SUM(N20,O20), )</t>
  </si>
  <si>
    <t>=SWITCH(Q3, '贵港分输压气站', 2 - SUM(Q20,R20), '贵阳输气站', 3 - SUM(Q20,R20), '保山分输压气站', 2 - SUM(Q20,R20), '大铲岛分输站', 4 - SUM(Q20,R20), '梧州分输清管站', 2 - SUM(Q20,R20), '河池分输压气站', 2 - SUM(Q20,R20), '广州分输压气站', 2 - SUM(Q20,R20), '吉安联络站', 2 - SUM(Q20,R20), )</t>
  </si>
  <si>
    <t>=SWITCH(T3, '贵港分输压气站', 2 - SUM(T20,U20), '贵阳输气站', 3 - SUM(T20,U20), '保山分输压气站', 2 - SUM(T20,U20), '大铲岛分输站', 4 - SUM(T20,U20), '梧州分输清管站', 2 - SUM(T20,U20), '河池分输压气站', 2 - SUM(T20,U20), '广州分输压气站', 2 - SUM(T20,U20), '吉安联络站', 2 - SUM(T20,U20), )</t>
  </si>
  <si>
    <t>=SWITCH(W3, '贵港分输压气站', 2 - SUM(W20,X20), '贵阳输气站', 3 - SUM(W20,X20), '保山分输压气站', 2 - SUM(W20,X20), '大铲岛分输站', 4 - SUM(W20,X20), '梧州分输清管站', 2 - SUM(W20,X20), '河池分输压气站', 2 - SUM(W20,X20), '广州分输压气站', 2 - SUM(W20,X20), '吉安联络站', 2 - SUM(W20,X20), )</t>
  </si>
  <si>
    <t>=SWITCH(Z3, '贵港分输压气站', 2 - SUM(Z20,AA20), '贵阳输气站', 3 - SUM(Z20,AA20), '保山分输压气站', 2 - SUM(Z20,AA20), '大铲岛分输站', 4 - SUM(Z20,AA20), '梧州分输清管站', 2 - SUM(Z20,AA20), '河池分输压气站', 2 - SUM(Z20,AA20), '广州分输压气站', 2 - SUM(Z20,AA20), '吉安联络站', 2 - SUM(Z20,AA20), )</t>
  </si>
  <si>
    <t>=SWITCH(AC3, '贵港分输压气站', 2 - SUM(AC20,AD20), '贵阳输气站', 3 - SUM(AC20,AD20), '保山分输压气站', 2 - SUM(AC20,AD20), '大铲岛分输站', 4 - SUM(AC20,AD20), '梧州分输清管站', 2 - SUM(AC20,AD20), '河池分输压气站', 2 - SUM(AC20,AD20), '广州分输压气站', 2 - SUM(AC20,AD20), '吉安联络站', 2 - SUM(AC20,AD20), )</t>
  </si>
  <si>
    <t>=SWITCH(AF3, '贵港分输压气站', 2 - SUM(AF20,AG20), '贵阳输气站', 3 - SUM(AF20,AG20), '保山分输压气站', 2 - SUM(AF20,AG20), '大铲岛分输站', 4 - SUM(AF20,AG20), '梧州分输清管站', 2 - SUM(AF20,AG20), '河池分输压气站', 2 - SUM(AF20,AG20), '广州分输压气站', 2 - SUM(AF20,AG20), '吉安联络站', 2 - SUM(AF20,AG20), )</t>
  </si>
  <si>
    <t>=SWITCH(AI3, '贵港分输压气站', 2 - SUM(AI20,AJ20), '贵阳输气站', 3 - SUM(AI20,AJ20), '保山分输压气站', 2 - SUM(AI20,AJ20), '大铲岛分输站', 4 - SUM(AI20,AJ20), '梧州分输清管站', 2 - SUM(AI20,AJ20), '河池分输压气站', 2 - SUM(AI20,AJ20), '广州分输压气站', 2 - SUM(AI20,AJ20), '吉安联络站', 2 - SUM(AI20,AJ20), )</t>
  </si>
  <si>
    <t>=SWITCH(AL3, '贵港分输压气站', 2 - SUM(AL20,AM20), '贵阳输气站', 3 - SUM(AL20,AM20), '保山分输压气站', 2 - SUM(AL20,AM20), '大铲岛分输站', 4 - SUM(AL20,AM20), '梧州分输清管站', 2 - SUM(AL20,AM20), '河池分输压气站', 2 - SUM(AL20,AM20), '广州分输压气站', 2 - SUM(AL20,AM20), '吉安联络站', 2 - SUM(AL20,AM20), )</t>
  </si>
  <si>
    <t>=SWITCH(AO3, '贵港分输压气站', 2 - SUM(AO20,AP20), '贵阳输气站', 3 - SUM(AO20,AP20), '保山分输压气站', 2 - SUM(AO20,AP20), '大铲岛分输站', 4 - SUM(AO20,AP20), '梧州分输清管站', 2 - SUM(AO20,AP20), '河池分输压气站', 2 - SUM(AO20,AP20), '广州分输压气站', 2 - SUM(AO20,AP20), '吉安联络站', 2 - SUM(AO20,AP20), )</t>
  </si>
  <si>
    <t>=SWITCH(AR3, '贵港分输压气站', 2 - SUM(AR20,AS20), '贵阳输气站', 3 - SUM(AR20,AS20), '保山分输压气站', 2 - SUM(AR20,AS20), '大铲岛分输站', 4 - SUM(AR20,AS20), '梧州分输清管站', 2 - SUM(AR20,AS20), '河池分输压气站', 2 - SUM(AR20,AS20), '广州分输压气站', 2 - SUM(AR20,AS20), '吉安联络站', 2 - SUM(AR20,AS20), )</t>
  </si>
  <si>
    <t>=SWITCH(AU3, '贵港分输压气站', 2 - SUM(AU20,AV20), '贵阳输气站', 3 - SUM(AU20,AV20), '保山分输压气站', 2 - SUM(AU20,AV20), '大铲岛分输站', 4 - SUM(AU20,AV20), '梧州分输清管站', 2 - SUM(AU20,AV20), '河池分输压气站', 2 - SUM(AU20,AV20), '广州分输压气站', 2 - SUM(AU20,AV20), '吉安联络站', 2 - SUM(AU20,AV20), )</t>
  </si>
  <si>
    <t>=SWITCH(B3, '贵港分输压气站', 2 - SUM(B21,C21), '贵阳输气站', 3 - SUM(B21,C21), '保山分输压气站', 2 - SUM(B21,C21), '大铲岛分输站', 4 - SUM(B21,C21), '梧州分输清管站', 2 - SUM(B21,C21), '河池分输压气站', 2 - SUM(B21,C21), '广州分输压气站', 2 - SUM(B21,C21), '吉安联络站', 2 - SUM(B21,C21), )</t>
  </si>
  <si>
    <t>=SWITCH(E3, '贵港分输压气站', 2 - SUM(E21,F21), '贵阳输气站', 3 - SUM(E21,F21), '保山分输压气站', 2 - SUM(E21,F21), '大铲岛分输站', 4 - SUM(E21,F21), '梧州分输清管站', 2 - SUM(E21,F21), '河池分输压气站', 2 - SUM(E21,F21), '广州分输压气站', 2 - SUM(E21,F21), '吉安联络站', 2 - SUM(E21,F21), )</t>
  </si>
  <si>
    <t>=SWITCH(H3, '贵港分输压气站', 2 - SUM(H21,I21), '贵阳输气站', 3 - SUM(H21,I21), '保山分输压气站', 2 - SUM(H21,I21), '大铲岛分输站', 4 - SUM(H21,I21), '梧州分输清管站', 2 - SUM(H21,I21), '河池分输压气站', 2 - SUM(H21,I21), '广州分输压气站', 2 - SUM(H21,I21), '吉安联络站', 2 - SUM(H21,I21), )</t>
  </si>
  <si>
    <t>=SWITCH(K3, '贵港分输压气站', 2 - SUM(K21,L21), '贵阳输气站', 3 - SUM(K21,L21), '保山分输压气站', 2 - SUM(K21,L21), '大铲岛分输站', 4 - SUM(K21,L21), '梧州分输清管站', 2 - SUM(K21,L21), '河池分输压气站', 2 - SUM(K21,L21), '广州分输压气站', 2 - SUM(K21,L21), '吉安联络站', 2 - SUM(K21,L21), )</t>
  </si>
  <si>
    <t>=SWITCH(N3, '贵港分输压气站', 2 - SUM(N21,O21), '贵阳输气站', 3 - SUM(N21,O21), '保山分输压气站', 2 - SUM(N21,O21), '大铲岛分输站', 4 - SUM(N21,O21), '梧州分输清管站', 2 - SUM(N21,O21), '河池分输压气站', 2 - SUM(N21,O21), '广州分输压气站', 2 - SUM(N21,O21), '吉安联络站', 2 - SUM(N21,O21), )</t>
  </si>
  <si>
    <t>=SWITCH(Q3, '贵港分输压气站', 2 - SUM(Q21,R21), '贵阳输气站', 3 - SUM(Q21,R21), '保山分输压气站', 2 - SUM(Q21,R21), '大铲岛分输站', 4 - SUM(Q21,R21), '梧州分输清管站', 2 - SUM(Q21,R21), '河池分输压气站', 2 - SUM(Q21,R21), '广州分输压气站', 2 - SUM(Q21,R21), '吉安联络站', 2 - SUM(Q21,R21), )</t>
  </si>
  <si>
    <t>=SWITCH(T3, '贵港分输压气站', 2 - SUM(T21,U21), '贵阳输气站', 3 - SUM(T21,U21), '保山分输压气站', 2 - SUM(T21,U21), '大铲岛分输站', 4 - SUM(T21,U21), '梧州分输清管站', 2 - SUM(T21,U21), '河池分输压气站', 2 - SUM(T21,U21), '广州分输压气站', 2 - SUM(T21,U21), '吉安联络站', 2 - SUM(T21,U21), )</t>
  </si>
  <si>
    <t>=SWITCH(W3, '贵港分输压气站', 2 - SUM(W21,X21), '贵阳输气站', 3 - SUM(W21,X21), '保山分输压气站', 2 - SUM(W21,X21), '大铲岛分输站', 4 - SUM(W21,X21), '梧州分输清管站', 2 - SUM(W21,X21), '河池分输压气站', 2 - SUM(W21,X21), '广州分输压气站', 2 - SUM(W21,X21), '吉安联络站', 2 - SUM(W21,X21), )</t>
  </si>
  <si>
    <t>=SWITCH(Z3, '贵港分输压气站', 2 - SUM(Z21,AA21), '贵阳输气站', 3 - SUM(Z21,AA21), '保山分输压气站', 2 - SUM(Z21,AA21), '大铲岛分输站', 4 - SUM(Z21,AA21), '梧州分输清管站', 2 - SUM(Z21,AA21), '河池分输压气站', 2 - SUM(Z21,AA21), '广州分输压气站', 2 - SUM(Z21,AA21), '吉安联络站', 2 - SUM(Z21,AA21), )</t>
  </si>
  <si>
    <t>=SWITCH(AC3, '贵港分输压气站', 2 - SUM(AC21,AD21), '贵阳输气站', 3 - SUM(AC21,AD21), '保山分输压气站', 2 - SUM(AC21,AD21), '大铲岛分输站', 4 - SUM(AC21,AD21), '梧州分输清管站', 2 - SUM(AC21,AD21), '河池分输压气站', 2 - SUM(AC21,AD21), '广州分输压气站', 2 - SUM(AC21,AD21), '吉安联络站', 2 - SUM(AC21,AD21), )</t>
  </si>
  <si>
    <t>=SWITCH(AF3, '贵港分输压气站', 2 - SUM(AF21,AG21), '贵阳输气站', 3 - SUM(AF21,AG21), '保山分输压气站', 2 - SUM(AF21,AG21), '大铲岛分输站', 4 - SUM(AF21,AG21), '梧州分输清管站', 2 - SUM(AF21,AG21), '河池分输压气站', 2 - SUM(AF21,AG21), '广州分输压气站', 2 - SUM(AF21,AG21), '吉安联络站', 2 - SUM(AF21,AG21), )</t>
  </si>
  <si>
    <t>=SWITCH(AI3, '贵港分输压气站', 2 - SUM(AI21,AJ21), '贵阳输气站', 3 - SUM(AI21,AJ21), '保山分输压气站', 2 - SUM(AI21,AJ21), '大铲岛分输站', 4 - SUM(AI21,AJ21), '梧州分输清管站', 2 - SUM(AI21,AJ21), '河池分输压气站', 2 - SUM(AI21,AJ21), '广州分输压气站', 2 - SUM(AI21,AJ21), '吉安联络站', 2 - SUM(AI21,AJ21), )</t>
  </si>
  <si>
    <t>=SWITCH(AL3, '贵港分输压气站', 2 - SUM(AL21,AM21), '贵阳输气站', 3 - SUM(AL21,AM21), '保山分输压气站', 2 - SUM(AL21,AM21), '大铲岛分输站', 4 - SUM(AL21,AM21), '梧州分输清管站', 2 - SUM(AL21,AM21), '河池分输压气站', 2 - SUM(AL21,AM21), '广州分输压气站', 2 - SUM(AL21,AM21), '吉安联络站', 2 - SUM(AL21,AM21), )</t>
  </si>
  <si>
    <t>=SWITCH(AO3, '贵港分输压气站', 2 - SUM(AO21,AP21), '贵阳输气站', 3 - SUM(AO21,AP21), '保山分输压气站', 2 - SUM(AO21,AP21), '大铲岛分输站', 4 - SUM(AO21,AP21), '梧州分输清管站', 2 - SUM(AO21,AP21), '河池分输压气站', 2 - SUM(AO21,AP21), '广州分输压气站', 2 - SUM(AO21,AP21), '吉安联络站', 2 - SUM(AO21,AP21), )</t>
  </si>
  <si>
    <t>=SWITCH(AR3, '贵港分输压气站', 2 - SUM(AR21,AS21), '贵阳输气站', 3 - SUM(AR21,AS21), '保山分输压气站', 2 - SUM(AR21,AS21), '大铲岛分输站', 4 - SUM(AR21,AS21), '梧州分输清管站', 2 - SUM(AR21,AS21), '河池分输压气站', 2 - SUM(AR21,AS21), '广州分输压气站', 2 - SUM(AR21,AS21), '吉安联络站', 2 - SUM(AR21,AS21), )</t>
  </si>
  <si>
    <t>=SWITCH(AU3, '贵港分输压气站', 2 - SUM(AU21,AV21), '贵阳输气站', 3 - SUM(AU21,AV21), '保山分输压气站', 2 - SUM(AU21,AV21), '大铲岛分输站', 4 - SUM(AU21,AV21), '梧州分输清管站', 2 - SUM(AU21,AV21), '河池分输压气站', 2 - SUM(AU21,AV21), '广州分输压气站', 2 - SUM(AU21,AV21), '吉安联络站', 2 - SUM(AU21,AV21), )</t>
  </si>
  <si>
    <t>=SWITCH(B3, '贵港分输压气站', 2 - SUM(B22,C22), '贵阳输气站', 3 - SUM(B22,C22), '保山分输压气站', 2 - SUM(B22,C22), '大铲岛分输站', 4 - SUM(B22,C22), '梧州分输清管站', 2 - SUM(B22,C22), '河池分输压气站', 2 - SUM(B22,C22), '广州分输压气站', 2 - SUM(B22,C22), '吉安联络站', 2 - SUM(B22,C22), )</t>
  </si>
  <si>
    <t>=SWITCH(E3, '贵港分输压气站', 2 - SUM(E22,F22), '贵阳输气站', 3 - SUM(E22,F22), '保山分输压气站', 2 - SUM(E22,F22), '大铲岛分输站', 4 - SUM(E22,F22), '梧州分输清管站', 2 - SUM(E22,F22), '河池分输压气站', 2 - SUM(E22,F22), '广州分输压气站', 2 - SUM(E22,F22), '吉安联络站', 2 - SUM(E22,F22), )</t>
  </si>
  <si>
    <t>=SWITCH(H3, '贵港分输压气站', 2 - SUM(H22,I22), '贵阳输气站', 3 - SUM(H22,I22), '保山分输压气站', 2 - SUM(H22,I22), '大铲岛分输站', 4 - SUM(H22,I22), '梧州分输清管站', 2 - SUM(H22,I22), '河池分输压气站', 2 - SUM(H22,I22), '广州分输压气站', 2 - SUM(H22,I22), '吉安联络站', 2 - SUM(H22,I22), )</t>
  </si>
  <si>
    <t>=SWITCH(K3, '贵港分输压气站', 2 - SUM(K22,L22), '贵阳输气站', 3 - SUM(K22,L22), '保山分输压气站', 2 - SUM(K22,L22), '大铲岛分输站', 4 - SUM(K22,L22), '梧州分输清管站', 2 - SUM(K22,L22), '河池分输压气站', 2 - SUM(K22,L22), '广州分输压气站', 2 - SUM(K22,L22), '吉安联络站', 2 - SUM(K22,L22), )</t>
  </si>
  <si>
    <t>=SWITCH(N3, '贵港分输压气站', 2 - SUM(N22,O22), '贵阳输气站', 3 - SUM(N22,O22), '保山分输压气站', 2 - SUM(N22,O22), '大铲岛分输站', 4 - SUM(N22,O22), '梧州分输清管站', 2 - SUM(N22,O22), '河池分输压气站', 2 - SUM(N22,O22), '广州分输压气站', 2 - SUM(N22,O22), '吉安联络站', 2 - SUM(N22,O22), )</t>
  </si>
  <si>
    <t>=SWITCH(Q3, '贵港分输压气站', 2 - SUM(Q22,R22), '贵阳输气站', 3 - SUM(Q22,R22), '保山分输压气站', 2 - SUM(Q22,R22), '大铲岛分输站', 4 - SUM(Q22,R22), '梧州分输清管站', 2 - SUM(Q22,R22), '河池分输压气站', 2 - SUM(Q22,R22), '广州分输压气站', 2 - SUM(Q22,R22), '吉安联络站', 2 - SUM(Q22,R22), )</t>
  </si>
  <si>
    <t>=SWITCH(T3, '贵港分输压气站', 2 - SUM(T22,U22), '贵阳输气站', 3 - SUM(T22,U22), '保山分输压气站', 2 - SUM(T22,U22), '大铲岛分输站', 4 - SUM(T22,U22), '梧州分输清管站', 2 - SUM(T22,U22), '河池分输压气站', 2 - SUM(T22,U22), '广州分输压气站', 2 - SUM(T22,U22), '吉安联络站', 2 - SUM(T22,U22), )</t>
  </si>
  <si>
    <t>=SWITCH(W3, '贵港分输压气站', 2 - SUM(W22,X22), '贵阳输气站', 3 - SUM(W22,X22), '保山分输压气站', 2 - SUM(W22,X22), '大铲岛分输站', 4 - SUM(W22,X22), '梧州分输清管站', 2 - SUM(W22,X22), '河池分输压气站', 2 - SUM(W22,X22), '广州分输压气站', 2 - SUM(W22,X22), '吉安联络站', 2 - SUM(W22,X22), )</t>
  </si>
  <si>
    <t>=SWITCH(Z3, '贵港分输压气站', 2 - SUM(Z22,AA22), '贵阳输气站', 3 - SUM(Z22,AA22), '保山分输压气站', 2 - SUM(Z22,AA22), '大铲岛分输站', 4 - SUM(Z22,AA22), '梧州分输清管站', 2 - SUM(Z22,AA22), '河池分输压气站', 2 - SUM(Z22,AA22), '广州分输压气站', 2 - SUM(Z22,AA22), '吉安联络站', 2 - SUM(Z22,AA22), )</t>
  </si>
  <si>
    <t>=SWITCH(AC3, '贵港分输压气站', 2 - SUM(AC22,AD22), '贵阳输气站', 3 - SUM(AC22,AD22), '保山分输压气站', 2 - SUM(AC22,AD22), '大铲岛分输站', 4 - SUM(AC22,AD22), '梧州分输清管站', 2 - SUM(AC22,AD22), '河池分输压气站', 2 - SUM(AC22,AD22), '广州分输压气站', 2 - SUM(AC22,AD22), '吉安联络站', 2 - SUM(AC22,AD22), )</t>
  </si>
  <si>
    <t>=SWITCH(AF3, '贵港分输压气站', 2 - SUM(AF22,AG22), '贵阳输气站', 3 - SUM(AF22,AG22), '保山分输压气站', 2 - SUM(AF22,AG22), '大铲岛分输站', 4 - SUM(AF22,AG22), '梧州分输清管站', 2 - SUM(AF22,AG22), '河池分输压气站', 2 - SUM(AF22,AG22), '广州分输压气站', 2 - SUM(AF22,AG22), '吉安联络站', 2 - SUM(AF22,AG22), )</t>
  </si>
  <si>
    <t>=SWITCH(AI3, '贵港分输压气站', 2 - SUM(AI22,AJ22), '贵阳输气站', 3 - SUM(AI22,AJ22), '保山分输压气站', 2 - SUM(AI22,AJ22), '大铲岛分输站', 4 - SUM(AI22,AJ22), '梧州分输清管站', 2 - SUM(AI22,AJ22), '河池分输压气站', 2 - SUM(AI22,AJ22), '广州分输压气站', 2 - SUM(AI22,AJ22), '吉安联络站', 2 - SUM(AI22,AJ22), )</t>
  </si>
  <si>
    <t>=SWITCH(AL3, '贵港分输压气站', 2 - SUM(AL22,AM22), '贵阳输气站', 3 - SUM(AL22,AM22), '保山分输压气站', 2 - SUM(AL22,AM22), '大铲岛分输站', 4 - SUM(AL22,AM22), '梧州分输清管站', 2 - SUM(AL22,AM22), '河池分输压气站', 2 - SUM(AL22,AM22), '广州分输压气站', 2 - SUM(AL22,AM22), '吉安联络站', 2 - SUM(AL22,AM22), )</t>
  </si>
  <si>
    <t>=SWITCH(AO3, '贵港分输压气站', 2 - SUM(AO22,AP22), '贵阳输气站', 3 - SUM(AO22,AP22), '保山分输压气站', 2 - SUM(AO22,AP22), '大铲岛分输站', 4 - SUM(AO22,AP22), '梧州分输清管站', 2 - SUM(AO22,AP22), '河池分输压气站', 2 - SUM(AO22,AP22), '广州分输压气站', 2 - SUM(AO22,AP22), '吉安联络站', 2 - SUM(AO22,AP22), )</t>
  </si>
  <si>
    <t>=SWITCH(AR3, '贵港分输压气站', 2 - SUM(AR22,AS22), '贵阳输气站', 3 - SUM(AR22,AS22), '保山分输压气站', 2 - SUM(AR22,AS22), '大铲岛分输站', 4 - SUM(AR22,AS22), '梧州分输清管站', 2 - SUM(AR22,AS22), '河池分输压气站', 2 - SUM(AR22,AS22), '广州分输压气站', 2 - SUM(AR22,AS22), '吉安联络站', 2 - SUM(AR22,AS22), )</t>
  </si>
  <si>
    <t>=SWITCH(AU3, '贵港分输压气站', 2 - SUM(AU22,AV22), '贵阳输气站', 3 - SUM(AU22,AV22), '保山分输压气站', 2 - SUM(AU22,AV22), '大铲岛分输站', 4 - SUM(AU22,AV22), '梧州分输清管站', 2 - SUM(AU22,AV22), '河池分输压气站', 2 - SUM(AU22,AV22), '广州分输压气站', 2 - SUM(AU22,AV22), '吉安联络站', 2 - SUM(AU22,AV22), )</t>
  </si>
  <si>
    <t>=SWITCH(B3, '贵港分输压气站', 2 - SUM(B23,C23), '贵阳输气站', 3 - SUM(B23,C23), '保山分输压气站', 2 - SUM(B23,C23), '大铲岛分输站', 4 - SUM(B23,C23), '梧州分输清管站', 2 - SUM(B23,C23), '河池分输压气站', 2 - SUM(B23,C23), '广州分输压气站', 2 - SUM(B23,C23), '吉安联络站', 2 - SUM(B23,C23), )</t>
  </si>
  <si>
    <t>=SWITCH(E3, '贵港分输压气站', 2 - SUM(E23,F23), '贵阳输气站', 3 - SUM(E23,F23), '保山分输压气站', 2 - SUM(E23,F23), '大铲岛分输站', 4 - SUM(E23,F23), '梧州分输清管站', 2 - SUM(E23,F23), '河池分输压气站', 2 - SUM(E23,F23), '广州分输压气站', 2 - SUM(E23,F23), '吉安联络站', 2 - SUM(E23,F23), )</t>
  </si>
  <si>
    <t>=SWITCH(H3, '贵港分输压气站', 2 - SUM(H23,I23), '贵阳输气站', 3 - SUM(H23,I23), '保山分输压气站', 2 - SUM(H23,I23), '大铲岛分输站', 4 - SUM(H23,I23), '梧州分输清管站', 2 - SUM(H23,I23), '河池分输压气站', 2 - SUM(H23,I23), '广州分输压气站', 2 - SUM(H23,I23), '吉安联络站', 2 - SUM(H23,I23), )</t>
  </si>
  <si>
    <t>=SWITCH(K3, '贵港分输压气站', 2 - SUM(K23,L23), '贵阳输气站', 3 - SUM(K23,L23), '保山分输压气站', 2 - SUM(K23,L23), '大铲岛分输站', 4 - SUM(K23,L23), '梧州分输清管站', 2 - SUM(K23,L23), '河池分输压气站', 2 - SUM(K23,L23), '广州分输压气站', 2 - SUM(K23,L23), '吉安联络站', 2 - SUM(K23,L23), )</t>
  </si>
  <si>
    <t>=SWITCH(N3, '贵港分输压气站', 2 - SUM(N23,O23), '贵阳输气站', 3 - SUM(N23,O23), '保山分输压气站', 2 - SUM(N23,O23), '大铲岛分输站', 4 - SUM(N23,O23), '梧州分输清管站', 2 - SUM(N23,O23), '河池分输压气站', 2 - SUM(N23,O23), '广州分输压气站', 2 - SUM(N23,O23), '吉安联络站', 2 - SUM(N23,O23), )</t>
  </si>
  <si>
    <t>=SWITCH(Q3, '贵港分输压气站', 2 - SUM(Q23,R23), '贵阳输气站', 3 - SUM(Q23,R23), '保山分输压气站', 2 - SUM(Q23,R23), '大铲岛分输站', 4 - SUM(Q23,R23), '梧州分输清管站', 2 - SUM(Q23,R23), '河池分输压气站', 2 - SUM(Q23,R23), '广州分输压气站', 2 - SUM(Q23,R23), '吉安联络站', 2 - SUM(Q23,R23), )</t>
  </si>
  <si>
    <t>=SWITCH(T3, '贵港分输压气站', 2 - SUM(T23,U23), '贵阳输气站', 3 - SUM(T23,U23), '保山分输压气站', 2 - SUM(T23,U23), '大铲岛分输站', 4 - SUM(T23,U23), '梧州分输清管站', 2 - SUM(T23,U23), '河池分输压气站', 2 - SUM(T23,U23), '广州分输压气站', 2 - SUM(T23,U23), '吉安联络站', 2 - SUM(T23,U23), )</t>
  </si>
  <si>
    <t>=SWITCH(W3, '贵港分输压气站', 2 - SUM(W23,X23), '贵阳输气站', 3 - SUM(W23,X23), '保山分输压气站', 2 - SUM(W23,X23), '大铲岛分输站', 4 - SUM(W23,X23), '梧州分输清管站', 2 - SUM(W23,X23), '河池分输压气站', 2 - SUM(W23,X23), '广州分输压气站', 2 - SUM(W23,X23), '吉安联络站', 2 - SUM(W23,X23), )</t>
  </si>
  <si>
    <t>=SWITCH(Z3, '贵港分输压气站', 2 - SUM(Z23,AA23), '贵阳输气站', 3 - SUM(Z23,AA23), '保山分输压气站', 2 - SUM(Z23,AA23), '大铲岛分输站', 4 - SUM(Z23,AA23), '梧州分输清管站', 2 - SUM(Z23,AA23), '河池分输压气站', 2 - SUM(Z23,AA23), '广州分输压气站', 2 - SUM(Z23,AA23), '吉安联络站', 2 - SUM(Z23,AA23), )</t>
  </si>
  <si>
    <t>=SWITCH(AC3, '贵港分输压气站', 2 - SUM(AC23,AD23), '贵阳输气站', 3 - SUM(AC23,AD23), '保山分输压气站', 2 - SUM(AC23,AD23), '大铲岛分输站', 4 - SUM(AC23,AD23), '梧州分输清管站', 2 - SUM(AC23,AD23), '河池分输压气站', 2 - SUM(AC23,AD23), '广州分输压气站', 2 - SUM(AC23,AD23), '吉安联络站', 2 - SUM(AC23,AD23), )</t>
  </si>
  <si>
    <t>=SWITCH(AF3, '贵港分输压气站', 2 - SUM(AF23,AG23), '贵阳输气站', 3 - SUM(AF23,AG23), '保山分输压气站', 2 - SUM(AF23,AG23), '大铲岛分输站', 4 - SUM(AF23,AG23), '梧州分输清管站', 2 - SUM(AF23,AG23), '河池分输压气站', 2 - SUM(AF23,AG23), '广州分输压气站', 2 - SUM(AF23,AG23), '吉安联络站', 2 - SUM(AF23,AG23), )</t>
  </si>
  <si>
    <t>=SWITCH(AI3, '贵港分输压气站', 2 - SUM(AI23,AJ23), '贵阳输气站', 3 - SUM(AI23,AJ23), '保山分输压气站', 2 - SUM(AI23,AJ23), '大铲岛分输站', 4 - SUM(AI23,AJ23), '梧州分输清管站', 2 - SUM(AI23,AJ23), '河池分输压气站', 2 - SUM(AI23,AJ23), '广州分输压气站', 2 - SUM(AI23,AJ23), '吉安联络站', 2 - SUM(AI23,AJ23), )</t>
  </si>
  <si>
    <t>=SWITCH(AL3, '贵港分输压气站', 2 - SUM(AL23,AM23), '贵阳输气站', 3 - SUM(AL23,AM23), '保山分输压气站', 2 - SUM(AL23,AM23), '大铲岛分输站', 4 - SUM(AL23,AM23), '梧州分输清管站', 2 - SUM(AL23,AM23), '河池分输压气站', 2 - SUM(AL23,AM23), '广州分输压气站', 2 - SUM(AL23,AM23), '吉安联络站', 2 - SUM(AL23,AM23), )</t>
  </si>
  <si>
    <t>=SWITCH(AO3, '贵港分输压气站', 2 - SUM(AO23,AP23), '贵阳输气站', 3 - SUM(AO23,AP23), '保山分输压气站', 2 - SUM(AO23,AP23), '大铲岛分输站', 4 - SUM(AO23,AP23), '梧州分输清管站', 2 - SUM(AO23,AP23), '河池分输压气站', 2 - SUM(AO23,AP23), '广州分输压气站', 2 - SUM(AO23,AP23), '吉安联络站', 2 - SUM(AO23,AP23), )</t>
  </si>
  <si>
    <t>=SWITCH(AR3, '贵港分输压气站', 2 - SUM(AR23,AS23), '贵阳输气站', 3 - SUM(AR23,AS23), '保山分输压气站', 2 - SUM(AR23,AS23), '大铲岛分输站', 4 - SUM(AR23,AS23), '梧州分输清管站', 2 - SUM(AR23,AS23), '河池分输压气站', 2 - SUM(AR23,AS23), '广州分输压气站', 2 - SUM(AR23,AS23), '吉安联络站', 2 - SUM(AR23,AS23), )</t>
  </si>
  <si>
    <t>=SWITCH(AU3, '贵港分输压气站', 2 - SUM(AU23,AV23), '贵阳输气站', 3 - SUM(AU23,AV23), '保山分输压气站', 2 - SUM(AU23,AV23), '大铲岛分输站', 4 - SUM(AU23,AV23), '梧州分输清管站', 2 - SUM(AU23,AV23), '河池分输压气站', 2 - SUM(AU23,AV23), '广州分输压气站', 2 - SUM(AU23,AV23), '吉安联络站', 2 - SUM(AU23,AV23), )</t>
  </si>
  <si>
    <t>=SWITCH(B3, '贵港分输压气站', 2 - SUM(B24,C24), '贵阳输气站', 3 - SUM(B24,C24), '保山分输压气站', 2 - SUM(B24,C24), '大铲岛分输站', 4 - SUM(B24,C24), '梧州分输清管站', 2 - SUM(B24,C24), '河池分输压气站', 2 - SUM(B24,C24), '广州分输压气站', 2 - SUM(B24,C24), '吉安联络站', 2 - SUM(B24,C24), )</t>
  </si>
  <si>
    <t>=SWITCH(E3, '贵港分输压气站', 2 - SUM(E24,F24), '贵阳输气站', 3 - SUM(E24,F24), '保山分输压气站', 2 - SUM(E24,F24), '大铲岛分输站', 4 - SUM(E24,F24), '梧州分输清管站', 2 - SUM(E24,F24), '河池分输压气站', 2 - SUM(E24,F24), '广州分输压气站', 2 - SUM(E24,F24), '吉安联络站', 2 - SUM(E24,F24), )</t>
  </si>
  <si>
    <t>=SWITCH(H3, '贵港分输压气站', 2 - SUM(H24,I24), '贵阳输气站', 3 - SUM(H24,I24), '保山分输压气站', 2 - SUM(H24,I24), '大铲岛分输站', 4 - SUM(H24,I24), '梧州分输清管站', 2 - SUM(H24,I24), '河池分输压气站', 2 - SUM(H24,I24), '广州分输压气站', 2 - SUM(H24,I24), '吉安联络站', 2 - SUM(H24,I24), )</t>
  </si>
  <si>
    <t>=SWITCH(K3, '贵港分输压气站', 2 - SUM(K24,L24), '贵阳输气站', 3 - SUM(K24,L24), '保山分输压气站', 2 - SUM(K24,L24), '大铲岛分输站', 4 - SUM(K24,L24), '梧州分输清管站', 2 - SUM(K24,L24), '河池分输压气站', 2 - SUM(K24,L24), '广州分输压气站', 2 - SUM(K24,L24), '吉安联络站', 2 - SUM(K24,L24), )</t>
  </si>
  <si>
    <t>=SWITCH(N3, '贵港分输压气站', 2 - SUM(N24,O24), '贵阳输气站', 3 - SUM(N24,O24), '保山分输压气站', 2 - SUM(N24,O24), '大铲岛分输站', 4 - SUM(N24,O24), '梧州分输清管站', 2 - SUM(N24,O24), '河池分输压气站', 2 - SUM(N24,O24), '广州分输压气站', 2 - SUM(N24,O24), '吉安联络站', 2 - SUM(N24,O24), )</t>
  </si>
  <si>
    <t>=SWITCH(Q3, '贵港分输压气站', 2 - SUM(Q24,R24), '贵阳输气站', 3 - SUM(Q24,R24), '保山分输压气站', 2 - SUM(Q24,R24), '大铲岛分输站', 4 - SUM(Q24,R24), '梧州分输清管站', 2 - SUM(Q24,R24), '河池分输压气站', 2 - SUM(Q24,R24), '广州分输压气站', 2 - SUM(Q24,R24), '吉安联络站', 2 - SUM(Q24,R24), )</t>
  </si>
  <si>
    <t>=SWITCH(T3, '贵港分输压气站', 2 - SUM(T24,U24), '贵阳输气站', 3 - SUM(T24,U24), '保山分输压气站', 2 - SUM(T24,U24), '大铲岛分输站', 4 - SUM(T24,U24), '梧州分输清管站', 2 - SUM(T24,U24), '河池分输压气站', 2 - SUM(T24,U24), '广州分输压气站', 2 - SUM(T24,U24), '吉安联络站', 2 - SUM(T24,U24), )</t>
  </si>
  <si>
    <t>=SWITCH(W3, '贵港分输压气站', 2 - SUM(W24,X24), '贵阳输气站', 3 - SUM(W24,X24), '保山分输压气站', 2 - SUM(W24,X24), '大铲岛分输站', 4 - SUM(W24,X24), '梧州分输清管站', 2 - SUM(W24,X24), '河池分输压气站', 2 - SUM(W24,X24), '广州分输压气站', 2 - SUM(W24,X24), '吉安联络站', 2 - SUM(W24,X24), )</t>
  </si>
  <si>
    <t>=SWITCH(Z3, '贵港分输压气站', 2 - SUM(Z24,AA24), '贵阳输气站', 3 - SUM(Z24,AA24), '保山分输压气站', 2 - SUM(Z24,AA24), '大铲岛分输站', 4 - SUM(Z24,AA24), '梧州分输清管站', 2 - SUM(Z24,AA24), '河池分输压气站', 2 - SUM(Z24,AA24), '广州分输压气站', 2 - SUM(Z24,AA24), '吉安联络站', 2 - SUM(Z24,AA24), )</t>
  </si>
  <si>
    <t>=SWITCH(AC3, '贵港分输压气站', 2 - SUM(AC24,AD24), '贵阳输气站', 3 - SUM(AC24,AD24), '保山分输压气站', 2 - SUM(AC24,AD24), '大铲岛分输站', 4 - SUM(AC24,AD24), '梧州分输清管站', 2 - SUM(AC24,AD24), '河池分输压气站', 2 - SUM(AC24,AD24), '广州分输压气站', 2 - SUM(AC24,AD24), '吉安联络站', 2 - SUM(AC24,AD24), )</t>
  </si>
  <si>
    <t>=SWITCH(AF3, '贵港分输压气站', 2 - SUM(AF24,AG24), '贵阳输气站', 3 - SUM(AF24,AG24), '保山分输压气站', 2 - SUM(AF24,AG24), '大铲岛分输站', 4 - SUM(AF24,AG24), '梧州分输清管站', 2 - SUM(AF24,AG24), '河池分输压气站', 2 - SUM(AF24,AG24), '广州分输压气站', 2 - SUM(AF24,AG24), '吉安联络站', 2 - SUM(AF24,AG24), )</t>
  </si>
  <si>
    <t>=SWITCH(AI3, '贵港分输压气站', 2 - SUM(AI24,AJ24), '贵阳输气站', 3 - SUM(AI24,AJ24), '保山分输压气站', 2 - SUM(AI24,AJ24), '大铲岛分输站', 4 - SUM(AI24,AJ24), '梧州分输清管站', 2 - SUM(AI24,AJ24), '河池分输压气站', 2 - SUM(AI24,AJ24), '广州分输压气站', 2 - SUM(AI24,AJ24), '吉安联络站', 2 - SUM(AI24,AJ24), )</t>
  </si>
  <si>
    <t>=SWITCH(AL3, '贵港分输压气站', 2 - SUM(AL24,AM24), '贵阳输气站', 3 - SUM(AL24,AM24), '保山分输压气站', 2 - SUM(AL24,AM24), '大铲岛分输站', 4 - SUM(AL24,AM24), '梧州分输清管站', 2 - SUM(AL24,AM24), '河池分输压气站', 2 - SUM(AL24,AM24), '广州分输压气站', 2 - SUM(AL24,AM24), '吉安联络站', 2 - SUM(AL24,AM24), )</t>
  </si>
  <si>
    <t>=SWITCH(AO3, '贵港分输压气站', 2 - SUM(AO24,AP24), '贵阳输气站', 3 - SUM(AO24,AP24), '保山分输压气站', 2 - SUM(AO24,AP24), '大铲岛分输站', 4 - SUM(AO24,AP24), '梧州分输清管站', 2 - SUM(AO24,AP24), '河池分输压气站', 2 - SUM(AO24,AP24), '广州分输压气站', 2 - SUM(AO24,AP24), '吉安联络站', 2 - SUM(AO24,AP24), )</t>
  </si>
  <si>
    <t>=SWITCH(AR3, '贵港分输压气站', 2 - SUM(AR24,AS24), '贵阳输气站', 3 - SUM(AR24,AS24), '保山分输压气站', 2 - SUM(AR24,AS24), '大铲岛分输站', 4 - SUM(AR24,AS24), '梧州分输清管站', 2 - SUM(AR24,AS24), '河池分输压气站', 2 - SUM(AR24,AS24), '广州分输压气站', 2 - SUM(AR24,AS24), '吉安联络站', 2 - SUM(AR24,AS24), )</t>
  </si>
  <si>
    <t>=SWITCH(AU3, '贵港分输压气站', 2 - SUM(AU24,AV24), '贵阳输气站', 3 - SUM(AU24,AV24), '保山分输压气站', 2 - SUM(AU24,AV24), '大铲岛分输站', 4 - SUM(AU24,AV24), '梧州分输清管站', 2 - SUM(AU24,AV24), '河池分输压气站', 2 - SUM(AU24,AV24), '广州分输压气站', 2 - SUM(AU24,AV24), '吉安联络站', 2 - SUM(AU24,AV24), )</t>
  </si>
  <si>
    <t>=SWITCH(B3, '贵港分输压气站', 2 - SUM(B25,C25), '贵阳输气站', 3 - SUM(B25,C25), '保山分输压气站', 2 - SUM(B25,C25), '大铲岛分输站', 4 - SUM(B25,C25), '梧州分输清管站', 2 - SUM(B25,C25), '河池分输压气站', 2 - SUM(B25,C25), '广州分输压气站', 2 - SUM(B25,C25), '吉安联络站', 2 - SUM(B25,C25), )</t>
  </si>
  <si>
    <t>=SWITCH(E3, '贵港分输压气站', 2 - SUM(E25,F25), '贵阳输气站', 3 - SUM(E25,F25), '保山分输压气站', 2 - SUM(E25,F25), '大铲岛分输站', 4 - SUM(E25,F25), '梧州分输清管站', 2 - SUM(E25,F25), '河池分输压气站', 2 - SUM(E25,F25), '广州分输压气站', 2 - SUM(E25,F25), '吉安联络站', 2 - SUM(E25,F25), )</t>
  </si>
  <si>
    <t>=SWITCH(H3, '贵港分输压气站', 2 - SUM(H25,I25), '贵阳输气站', 3 - SUM(H25,I25), '保山分输压气站', 2 - SUM(H25,I25), '大铲岛分输站', 4 - SUM(H25,I25), '梧州分输清管站', 2 - SUM(H25,I25), '河池分输压气站', 2 - SUM(H25,I25), '广州分输压气站', 2 - SUM(H25,I25), '吉安联络站', 2 - SUM(H25,I25), )</t>
  </si>
  <si>
    <t>=SWITCH(K3, '贵港分输压气站', 2 - SUM(K25,L25), '贵阳输气站', 3 - SUM(K25,L25), '保山分输压气站', 2 - SUM(K25,L25), '大铲岛分输站', 4 - SUM(K25,L25), '梧州分输清管站', 2 - SUM(K25,L25), '河池分输压气站', 2 - SUM(K25,L25), '广州分输压气站', 2 - SUM(K25,L25), '吉安联络站', 2 - SUM(K25,L25), )</t>
  </si>
  <si>
    <t>=SWITCH(N3, '贵港分输压气站', 2 - SUM(N25,O25), '贵阳输气站', 3 - SUM(N25,O25), '保山分输压气站', 2 - SUM(N25,O25), '大铲岛分输站', 4 - SUM(N25,O25), '梧州分输清管站', 2 - SUM(N25,O25), '河池分输压气站', 2 - SUM(N25,O25), '广州分输压气站', 2 - SUM(N25,O25), '吉安联络站', 2 - SUM(N25,O25), )</t>
  </si>
  <si>
    <t>=SWITCH(Q3, '贵港分输压气站', 2 - SUM(Q25,R25), '贵阳输气站', 3 - SUM(Q25,R25), '保山分输压气站', 2 - SUM(Q25,R25), '大铲岛分输站', 4 - SUM(Q25,R25), '梧州分输清管站', 2 - SUM(Q25,R25), '河池分输压气站', 2 - SUM(Q25,R25), '广州分输压气站', 2 - SUM(Q25,R25), '吉安联络站', 2 - SUM(Q25,R25), )</t>
  </si>
  <si>
    <t>=SWITCH(T3, '贵港分输压气站', 2 - SUM(T25,U25), '贵阳输气站', 3 - SUM(T25,U25), '保山分输压气站', 2 - SUM(T25,U25), '大铲岛分输站', 4 - SUM(T25,U25), '梧州分输清管站', 2 - SUM(T25,U25), '河池分输压气站', 2 - SUM(T25,U25), '广州分输压气站', 2 - SUM(T25,U25), '吉安联络站', 2 - SUM(T25,U25), )</t>
  </si>
  <si>
    <t>=SWITCH(W3, '贵港分输压气站', 2 - SUM(W25,X25), '贵阳输气站', 3 - SUM(W25,X25), '保山分输压气站', 2 - SUM(W25,X25), '大铲岛分输站', 4 - SUM(W25,X25), '梧州分输清管站', 2 - SUM(W25,X25), '河池分输压气站', 2 - SUM(W25,X25), '广州分输压气站', 2 - SUM(W25,X25), '吉安联络站', 2 - SUM(W25,X25), )</t>
  </si>
  <si>
    <t>=SWITCH(Z3, '贵港分输压气站', 2 - SUM(Z25,AA25), '贵阳输气站', 3 - SUM(Z25,AA25), '保山分输压气站', 2 - SUM(Z25,AA25), '大铲岛分输站', 4 - SUM(Z25,AA25), '梧州分输清管站', 2 - SUM(Z25,AA25), '河池分输压气站', 2 - SUM(Z25,AA25), '广州分输压气站', 2 - SUM(Z25,AA25), '吉安联络站', 2 - SUM(Z25,AA25), )</t>
  </si>
  <si>
    <t>=SWITCH(AC3, '贵港分输压气站', 2 - SUM(AC25,AD25), '贵阳输气站', 3 - SUM(AC25,AD25), '保山分输压气站', 2 - SUM(AC25,AD25), '大铲岛分输站', 4 - SUM(AC25,AD25), '梧州分输清管站', 2 - SUM(AC25,AD25), '河池分输压气站', 2 - SUM(AC25,AD25), '广州分输压气站', 2 - SUM(AC25,AD25), '吉安联络站', 2 - SUM(AC25,AD25), )</t>
  </si>
  <si>
    <t>=SWITCH(AF3, '贵港分输压气站', 2 - SUM(AF25,AG25), '贵阳输气站', 3 - SUM(AF25,AG25), '保山分输压气站', 2 - SUM(AF25,AG25), '大铲岛分输站', 4 - SUM(AF25,AG25), '梧州分输清管站', 2 - SUM(AF25,AG25), '河池分输压气站', 2 - SUM(AF25,AG25), '广州分输压气站', 2 - SUM(AF25,AG25), '吉安联络站', 2 - SUM(AF25,AG25), )</t>
  </si>
  <si>
    <t>=SWITCH(AI3, '贵港分输压气站', 2 - SUM(AI25,AJ25), '贵阳输气站', 3 - SUM(AI25,AJ25), '保山分输压气站', 2 - SUM(AI25,AJ25), '大铲岛分输站', 4 - SUM(AI25,AJ25), '梧州分输清管站', 2 - SUM(AI25,AJ25), '河池分输压气站', 2 - SUM(AI25,AJ25), '广州分输压气站', 2 - SUM(AI25,AJ25), '吉安联络站', 2 - SUM(AI25,AJ25), )</t>
  </si>
  <si>
    <t>=SWITCH(AL3, '贵港分输压气站', 2 - SUM(AL25,AM25), '贵阳输气站', 3 - SUM(AL25,AM25), '保山分输压气站', 2 - SUM(AL25,AM25), '大铲岛分输站', 4 - SUM(AL25,AM25), '梧州分输清管站', 2 - SUM(AL25,AM25), '河池分输压气站', 2 - SUM(AL25,AM25), '广州分输压气站', 2 - SUM(AL25,AM25), '吉安联络站', 2 - SUM(AL25,AM25), )</t>
  </si>
  <si>
    <t>=SWITCH(AO3, '贵港分输压气站', 2 - SUM(AO25,AP25), '贵阳输气站', 3 - SUM(AO25,AP25), '保山分输压气站', 2 - SUM(AO25,AP25), '大铲岛分输站', 4 - SUM(AO25,AP25), '梧州分输清管站', 2 - SUM(AO25,AP25), '河池分输压气站', 2 - SUM(AO25,AP25), '广州分输压气站', 2 - SUM(AO25,AP25), '吉安联络站', 2 - SUM(AO25,AP25), )</t>
  </si>
  <si>
    <t>=SWITCH(AR3, '贵港分输压气站', 2 - SUM(AR25,AS25), '贵阳输气站', 3 - SUM(AR25,AS25), '保山分输压气站', 2 - SUM(AR25,AS25), '大铲岛分输站', 4 - SUM(AR25,AS25), '梧州分输清管站', 2 - SUM(AR25,AS25), '河池分输压气站', 2 - SUM(AR25,AS25), '广州分输压气站', 2 - SUM(AR25,AS25), '吉安联络站', 2 - SUM(AR25,AS25), )</t>
  </si>
  <si>
    <t>=SWITCH(AU3, '贵港分输压气站', 2 - SUM(AU25,AV25), '贵阳输气站', 3 - SUM(AU25,AV25), '保山分输压气站', 2 - SUM(AU25,AV25), '大铲岛分输站', 4 - SUM(AU25,AV25), '梧州分输清管站', 2 - SUM(AU25,AV25), '河池分输压气站', 2 - SUM(AU25,AV25), '广州分输压气站', 2 - SUM(AU25,AV25), '吉安联络站', 2 - SUM(AU25,AV25), )</t>
  </si>
  <si>
    <t>=SWITCH(B3, '贵港分输压气站', 2 - SUM(B26,C26), '贵阳输气站', 3 - SUM(B26,C26), '保山分输压气站', 2 - SUM(B26,C26), '大铲岛分输站', 4 - SUM(B26,C26), '梧州分输清管站', 2 - SUM(B26,C26), '河池分输压气站', 2 - SUM(B26,C26), '广州分输压气站', 2 - SUM(B26,C26), '吉安联络站', 2 - SUM(B26,C26), )</t>
  </si>
  <si>
    <t>=SWITCH(E3, '贵港分输压气站', 2 - SUM(E26,F26), '贵阳输气站', 3 - SUM(E26,F26), '保山分输压气站', 2 - SUM(E26,F26), '大铲岛分输站', 4 - SUM(E26,F26), '梧州分输清管站', 2 - SUM(E26,F26), '河池分输压气站', 2 - SUM(E26,F26), '广州分输压气站', 2 - SUM(E26,F26), '吉安联络站', 2 - SUM(E26,F26), )</t>
  </si>
  <si>
    <t>=SWITCH(H3, '贵港分输压气站', 2 - SUM(H26,I26), '贵阳输气站', 3 - SUM(H26,I26), '保山分输压气站', 2 - SUM(H26,I26), '大铲岛分输站', 4 - SUM(H26,I26), '梧州分输清管站', 2 - SUM(H26,I26), '河池分输压气站', 2 - SUM(H26,I26), '广州分输压气站', 2 - SUM(H26,I26), '吉安联络站', 2 - SUM(H26,I26), )</t>
  </si>
  <si>
    <t>=SWITCH(K3, '贵港分输压气站', 2 - SUM(K26,L26), '贵阳输气站', 3 - SUM(K26,L26), '保山分输压气站', 2 - SUM(K26,L26), '大铲岛分输站', 4 - SUM(K26,L26), '梧州分输清管站', 2 - SUM(K26,L26), '河池分输压气站', 2 - SUM(K26,L26), '广州分输压气站', 2 - SUM(K26,L26), '吉安联络站', 2 - SUM(K26,L26), )</t>
  </si>
  <si>
    <t>=SWITCH(N3, '贵港分输压气站', 2 - SUM(N26,O26), '贵阳输气站', 3 - SUM(N26,O26), '保山分输压气站', 2 - SUM(N26,O26), '大铲岛分输站', 4 - SUM(N26,O26), '梧州分输清管站', 2 - SUM(N26,O26), '河池分输压气站', 2 - SUM(N26,O26), '广州分输压气站', 2 - SUM(N26,O26), '吉安联络站', 2 - SUM(N26,O26), )</t>
  </si>
  <si>
    <t>=SWITCH(Q3, '贵港分输压气站', 2 - SUM(Q26,R26), '贵阳输气站', 3 - SUM(Q26,R26), '保山分输压气站', 2 - SUM(Q26,R26), '大铲岛分输站', 4 - SUM(Q26,R26), '梧州分输清管站', 2 - SUM(Q26,R26), '河池分输压气站', 2 - SUM(Q26,R26), '广州分输压气站', 2 - SUM(Q26,R26), '吉安联络站', 2 - SUM(Q26,R26), )</t>
  </si>
  <si>
    <t>=SWITCH(T3, '贵港分输压气站', 2 - SUM(T26,U26), '贵阳输气站', 3 - SUM(T26,U26), '保山分输压气站', 2 - SUM(T26,U26), '大铲岛分输站', 4 - SUM(T26,U26), '梧州分输清管站', 2 - SUM(T26,U26), '河池分输压气站', 2 - SUM(T26,U26), '广州分输压气站', 2 - SUM(T26,U26), '吉安联络站', 2 - SUM(T26,U26), )</t>
  </si>
  <si>
    <t>=SWITCH(W3, '贵港分输压气站', 2 - SUM(W26,X26), '贵阳输气站', 3 - SUM(W26,X26), '保山分输压气站', 2 - SUM(W26,X26), '大铲岛分输站', 4 - SUM(W26,X26), '梧州分输清管站', 2 - SUM(W26,X26), '河池分输压气站', 2 - SUM(W26,X26), '广州分输压气站', 2 - SUM(W26,X26), '吉安联络站', 2 - SUM(W26,X26), )</t>
  </si>
  <si>
    <t>=SWITCH(Z3, '贵港分输压气站', 2 - SUM(Z26,AA26), '贵阳输气站', 3 - SUM(Z26,AA26), '保山分输压气站', 2 - SUM(Z26,AA26), '大铲岛分输站', 4 - SUM(Z26,AA26), '梧州分输清管站', 2 - SUM(Z26,AA26), '河池分输压气站', 2 - SUM(Z26,AA26), '广州分输压气站', 2 - SUM(Z26,AA26), '吉安联络站', 2 - SUM(Z26,AA26), )</t>
  </si>
  <si>
    <t>=SWITCH(AC3, '贵港分输压气站', 2 - SUM(AC26,AD26), '贵阳输气站', 3 - SUM(AC26,AD26), '保山分输压气站', 2 - SUM(AC26,AD26), '大铲岛分输站', 4 - SUM(AC26,AD26), '梧州分输清管站', 2 - SUM(AC26,AD26), '河池分输压气站', 2 - SUM(AC26,AD26), '广州分输压气站', 2 - SUM(AC26,AD26), '吉安联络站', 2 - SUM(AC26,AD26), )</t>
  </si>
  <si>
    <t>=SWITCH(AF3, '贵港分输压气站', 2 - SUM(AF26,AG26), '贵阳输气站', 3 - SUM(AF26,AG26), '保山分输压气站', 2 - SUM(AF26,AG26), '大铲岛分输站', 4 - SUM(AF26,AG26), '梧州分输清管站', 2 - SUM(AF26,AG26), '河池分输压气站', 2 - SUM(AF26,AG26), '广州分输压气站', 2 - SUM(AF26,AG26), '吉安联络站', 2 - SUM(AF26,AG26), )</t>
  </si>
  <si>
    <t>=SWITCH(AI3, '贵港分输压气站', 2 - SUM(AI26,AJ26), '贵阳输气站', 3 - SUM(AI26,AJ26), '保山分输压气站', 2 - SUM(AI26,AJ26), '大铲岛分输站', 4 - SUM(AI26,AJ26), '梧州分输清管站', 2 - SUM(AI26,AJ26), '河池分输压气站', 2 - SUM(AI26,AJ26), '广州分输压气站', 2 - SUM(AI26,AJ26), '吉安联络站', 2 - SUM(AI26,AJ26), )</t>
  </si>
  <si>
    <t>=SWITCH(AL3, '贵港分输压气站', 2 - SUM(AL26,AM26), '贵阳输气站', 3 - SUM(AL26,AM26), '保山分输压气站', 2 - SUM(AL26,AM26), '大铲岛分输站', 4 - SUM(AL26,AM26), '梧州分输清管站', 2 - SUM(AL26,AM26), '河池分输压气站', 2 - SUM(AL26,AM26), '广州分输压气站', 2 - SUM(AL26,AM26), '吉安联络站', 2 - SUM(AL26,AM26), )</t>
  </si>
  <si>
    <t>=SWITCH(AO3, '贵港分输压气站', 2 - SUM(AO26,AP26), '贵阳输气站', 3 - SUM(AO26,AP26), '保山分输压气站', 2 - SUM(AO26,AP26), '大铲岛分输站', 4 - SUM(AO26,AP26), '梧州分输清管站', 2 - SUM(AO26,AP26), '河池分输压气站', 2 - SUM(AO26,AP26), '广州分输压气站', 2 - SUM(AO26,AP26), '吉安联络站', 2 - SUM(AO26,AP26), )</t>
  </si>
  <si>
    <t>=SWITCH(AR3, '贵港分输压气站', 2 - SUM(AR26,AS26), '贵阳输气站', 3 - SUM(AR26,AS26), '保山分输压气站', 2 - SUM(AR26,AS26), '大铲岛分输站', 4 - SUM(AR26,AS26), '梧州分输清管站', 2 - SUM(AR26,AS26), '河池分输压气站', 2 - SUM(AR26,AS26), '广州分输压气站', 2 - SUM(AR26,AS26), '吉安联络站', 2 - SUM(AR26,AS26), )</t>
  </si>
  <si>
    <t>=SWITCH(AU3, '贵港分输压气站', 2 - SUM(AU26,AV26), '贵阳输气站', 3 - SUM(AU26,AV26), '保山分输压气站', 2 - SUM(AU26,AV26), '大铲岛分输站', 4 - SUM(AU26,AV26), '梧州分输清管站', 2 - SUM(AU26,AV26), '河池分输压气站', 2 - SUM(AU26,AV26), '广州分输压气站', 2 - SUM(AU26,AV26), '吉安联络站', 2 - SUM(AU26,AV26), )</t>
  </si>
  <si>
    <t>=SWITCH(B3, '贵港分输压气站', 2 - SUM(B27,C27), '贵阳输气站', 3 - SUM(B27,C27), '保山分输压气站', 2 - SUM(B27,C27), '大铲岛分输站', 4 - SUM(B27,C27), '梧州分输清管站', 2 - SUM(B27,C27), '河池分输压气站', 2 - SUM(B27,C27), '广州分输压气站', 2 - SUM(B27,C27), '吉安联络站', 2 - SUM(B27,C27), )</t>
  </si>
  <si>
    <t>=SWITCH(E3, '贵港分输压气站', 2 - SUM(E27,F27), '贵阳输气站', 3 - SUM(E27,F27), '保山分输压气站', 2 - SUM(E27,F27), '大铲岛分输站', 4 - SUM(E27,F27), '梧州分输清管站', 2 - SUM(E27,F27), '河池分输压气站', 2 - SUM(E27,F27), '广州分输压气站', 2 - SUM(E27,F27), '吉安联络站', 2 - SUM(E27,F27), )</t>
  </si>
  <si>
    <t>=SWITCH(H3, '贵港分输压气站', 2 - SUM(H27,I27), '贵阳输气站', 3 - SUM(H27,I27), '保山分输压气站', 2 - SUM(H27,I27), '大铲岛分输站', 4 - SUM(H27,I27), '梧州分输清管站', 2 - SUM(H27,I27), '河池分输压气站', 2 - SUM(H27,I27), '广州分输压气站', 2 - SUM(H27,I27), '吉安联络站', 2 - SUM(H27,I27), )</t>
  </si>
  <si>
    <t>=SWITCH(K3, '贵港分输压气站', 2 - SUM(K27,L27), '贵阳输气站', 3 - SUM(K27,L27), '保山分输压气站', 2 - SUM(K27,L27), '大铲岛分输站', 4 - SUM(K27,L27), '梧州分输清管站', 2 - SUM(K27,L27), '河池分输压气站', 2 - SUM(K27,L27), '广州分输压气站', 2 - SUM(K27,L27), '吉安联络站', 2 - SUM(K27,L27), )</t>
  </si>
  <si>
    <t>=SWITCH(N3, '贵港分输压气站', 2 - SUM(N27,O27), '贵阳输气站', 3 - SUM(N27,O27), '保山分输压气站', 2 - SUM(N27,O27), '大铲岛分输站', 4 - SUM(N27,O27), '梧州分输清管站', 2 - SUM(N27,O27), '河池分输压气站', 2 - SUM(N27,O27), '广州分输压气站', 2 - SUM(N27,O27), '吉安联络站', 2 - SUM(N27,O27), )</t>
  </si>
  <si>
    <t>=SWITCH(Q3, '贵港分输压气站', 2 - SUM(Q27,R27), '贵阳输气站', 3 - SUM(Q27,R27), '保山分输压气站', 2 - SUM(Q27,R27), '大铲岛分输站', 4 - SUM(Q27,R27), '梧州分输清管站', 2 - SUM(Q27,R27), '河池分输压气站', 2 - SUM(Q27,R27), '广州分输压气站', 2 - SUM(Q27,R27), '吉安联络站', 2 - SUM(Q27,R27), )</t>
  </si>
  <si>
    <t>=SWITCH(T3, '贵港分输压气站', 2 - SUM(T27,U27), '贵阳输气站', 3 - SUM(T27,U27), '保山分输压气站', 2 - SUM(T27,U27), '大铲岛分输站', 4 - SUM(T27,U27), '梧州分输清管站', 2 - SUM(T27,U27), '河池分输压气站', 2 - SUM(T27,U27), '广州分输压气站', 2 - SUM(T27,U27), '吉安联络站', 2 - SUM(T27,U27), )</t>
  </si>
  <si>
    <t>=SWITCH(W3, '贵港分输压气站', 2 - SUM(W27,X27), '贵阳输气站', 3 - SUM(W27,X27), '保山分输压气站', 2 - SUM(W27,X27), '大铲岛分输站', 4 - SUM(W27,X27), '梧州分输清管站', 2 - SUM(W27,X27), '河池分输压气站', 2 - SUM(W27,X27), '广州分输压气站', 2 - SUM(W27,X27), '吉安联络站', 2 - SUM(W27,X27), )</t>
  </si>
  <si>
    <t>=SWITCH(Z3, '贵港分输压气站', 2 - SUM(Z27,AA27), '贵阳输气站', 3 - SUM(Z27,AA27), '保山分输压气站', 2 - SUM(Z27,AA27), '大铲岛分输站', 4 - SUM(Z27,AA27), '梧州分输清管站', 2 - SUM(Z27,AA27), '河池分输压气站', 2 - SUM(Z27,AA27), '广州分输压气站', 2 - SUM(Z27,AA27), '吉安联络站', 2 - SUM(Z27,AA27), )</t>
  </si>
  <si>
    <t>=SWITCH(AC3, '贵港分输压气站', 2 - SUM(AC27,AD27), '贵阳输气站', 3 - SUM(AC27,AD27), '保山分输压气站', 2 - SUM(AC27,AD27), '大铲岛分输站', 4 - SUM(AC27,AD27), '梧州分输清管站', 2 - SUM(AC27,AD27), '河池分输压气站', 2 - SUM(AC27,AD27), '广州分输压气站', 2 - SUM(AC27,AD27), '吉安联络站', 2 - SUM(AC27,AD27), )</t>
  </si>
  <si>
    <t>=SWITCH(AF3, '贵港分输压气站', 2 - SUM(AF27,AG27), '贵阳输气站', 3 - SUM(AF27,AG27), '保山分输压气站', 2 - SUM(AF27,AG27), '大铲岛分输站', 4 - SUM(AF27,AG27), '梧州分输清管站', 2 - SUM(AF27,AG27), '河池分输压气站', 2 - SUM(AF27,AG27), '广州分输压气站', 2 - SUM(AF27,AG27), '吉安联络站', 2 - SUM(AF27,AG27), )</t>
  </si>
  <si>
    <t>=SWITCH(AI3, '贵港分输压气站', 2 - SUM(AI27,AJ27), '贵阳输气站', 3 - SUM(AI27,AJ27), '保山分输压气站', 2 - SUM(AI27,AJ27), '大铲岛分输站', 4 - SUM(AI27,AJ27), '梧州分输清管站', 2 - SUM(AI27,AJ27), '河池分输压气站', 2 - SUM(AI27,AJ27), '广州分输压气站', 2 - SUM(AI27,AJ27), '吉安联络站', 2 - SUM(AI27,AJ27), )</t>
  </si>
  <si>
    <t>=SWITCH(AL3, '贵港分输压气站', 2 - SUM(AL27,AM27), '贵阳输气站', 3 - SUM(AL27,AM27), '保山分输压气站', 2 - SUM(AL27,AM27), '大铲岛分输站', 4 - SUM(AL27,AM27), '梧州分输清管站', 2 - SUM(AL27,AM27), '河池分输压气站', 2 - SUM(AL27,AM27), '广州分输压气站', 2 - SUM(AL27,AM27), '吉安联络站', 2 - SUM(AL27,AM27), )</t>
  </si>
  <si>
    <t>=SWITCH(AO3, '贵港分输压气站', 2 - SUM(AO27,AP27), '贵阳输气站', 3 - SUM(AO27,AP27), '保山分输压气站', 2 - SUM(AO27,AP27), '大铲岛分输站', 4 - SUM(AO27,AP27), '梧州分输清管站', 2 - SUM(AO27,AP27), '河池分输压气站', 2 - SUM(AO27,AP27), '广州分输压气站', 2 - SUM(AO27,AP27), '吉安联络站', 2 - SUM(AO27,AP27), )</t>
  </si>
  <si>
    <t>=SWITCH(AR3, '贵港分输压气站', 2 - SUM(AR27,AS27), '贵阳输气站', 3 - SUM(AR27,AS27), '保山分输压气站', 2 - SUM(AR27,AS27), '大铲岛分输站', 4 - SUM(AR27,AS27), '梧州分输清管站', 2 - SUM(AR27,AS27), '河池分输压气站', 2 - SUM(AR27,AS27), '广州分输压气站', 2 - SUM(AR27,AS27), '吉安联络站', 2 - SUM(AR27,AS27), )</t>
  </si>
  <si>
    <t>=SWITCH(AU3, '贵港分输压气站', 2 - SUM(AU27,AV27), '贵阳输气站', 3 - SUM(AU27,AV27), '保山分输压气站', 2 - SUM(AU27,AV27), '大铲岛分输站', 4 - SUM(AU27,AV27), '梧州分输清管站', 2 - SUM(AU27,AV27), '河池分输压气站', 2 - SUM(AU27,AV27), '广州分输压气站', 2 - SUM(AU27,AV27), '吉安联络站', 2 - SUM(AU27,AV27), )</t>
  </si>
  <si>
    <t>=SWITCH(B3, '贵港分输压气站', 2 - SUM(B28,C28), '贵阳输气站', 3 - SUM(B28,C28), '保山分输压气站', 2 - SUM(B28,C28), '大铲岛分输站', 4 - SUM(B28,C28), '梧州分输清管站', 2 - SUM(B28,C28), '河池分输压气站', 2 - SUM(B28,C28), '广州分输压气站', 2 - SUM(B28,C28), '吉安联络站', 2 - SUM(B28,C28), )</t>
  </si>
  <si>
    <t>=SWITCH(E3, '贵港分输压气站', 2 - SUM(E28,F28), '贵阳输气站', 3 - SUM(E28,F28), '保山分输压气站', 2 - SUM(E28,F28), '大铲岛分输站', 4 - SUM(E28,F28), '梧州分输清管站', 2 - SUM(E28,F28), '河池分输压气站', 2 - SUM(E28,F28), '广州分输压气站', 2 - SUM(E28,F28), '吉安联络站', 2 - SUM(E28,F28), )</t>
  </si>
  <si>
    <t>=SWITCH(H3, '贵港分输压气站', 2 - SUM(H28,I28), '贵阳输气站', 3 - SUM(H28,I28), '保山分输压气站', 2 - SUM(H28,I28), '大铲岛分输站', 4 - SUM(H28,I28), '梧州分输清管站', 2 - SUM(H28,I28), '河池分输压气站', 2 - SUM(H28,I28), '广州分输压气站', 2 - SUM(H28,I28), '吉安联络站', 2 - SUM(H28,I28), )</t>
  </si>
  <si>
    <t>=SWITCH(K3, '贵港分输压气站', 2 - SUM(K28,L28), '贵阳输气站', 3 - SUM(K28,L28), '保山分输压气站', 2 - SUM(K28,L28), '大铲岛分输站', 4 - SUM(K28,L28), '梧州分输清管站', 2 - SUM(K28,L28), '河池分输压气站', 2 - SUM(K28,L28), '广州分输压气站', 2 - SUM(K28,L28), '吉安联络站', 2 - SUM(K28,L28), )</t>
  </si>
  <si>
    <t>=SWITCH(N3, '贵港分输压气站', 2 - SUM(N28,O28), '贵阳输气站', 3 - SUM(N28,O28), '保山分输压气站', 2 - SUM(N28,O28), '大铲岛分输站', 4 - SUM(N28,O28), '梧州分输清管站', 2 - SUM(N28,O28), '河池分输压气站', 2 - SUM(N28,O28), '广州分输压气站', 2 - SUM(N28,O28), '吉安联络站', 2 - SUM(N28,O28), )</t>
  </si>
  <si>
    <t>=SWITCH(Q3, '贵港分输压气站', 2 - SUM(Q28,R28), '贵阳输气站', 3 - SUM(Q28,R28), '保山分输压气站', 2 - SUM(Q28,R28), '大铲岛分输站', 4 - SUM(Q28,R28), '梧州分输清管站', 2 - SUM(Q28,R28), '河池分输压气站', 2 - SUM(Q28,R28), '广州分输压气站', 2 - SUM(Q28,R28), '吉安联络站', 2 - SUM(Q28,R28), )</t>
  </si>
  <si>
    <t>=SWITCH(T3, '贵港分输压气站', 2 - SUM(T28,U28), '贵阳输气站', 3 - SUM(T28,U28), '保山分输压气站', 2 - SUM(T28,U28), '大铲岛分输站', 4 - SUM(T28,U28), '梧州分输清管站', 2 - SUM(T28,U28), '河池分输压气站', 2 - SUM(T28,U28), '广州分输压气站', 2 - SUM(T28,U28), '吉安联络站', 2 - SUM(T28,U28), )</t>
  </si>
  <si>
    <t>=SWITCH(W3, '贵港分输压气站', 2 - SUM(W28,X28), '贵阳输气站', 3 - SUM(W28,X28), '保山分输压气站', 2 - SUM(W28,X28), '大铲岛分输站', 4 - SUM(W28,X28), '梧州分输清管站', 2 - SUM(W28,X28), '河池分输压气站', 2 - SUM(W28,X28), '广州分输压气站', 2 - SUM(W28,X28), '吉安联络站', 2 - SUM(W28,X28), )</t>
  </si>
  <si>
    <t>=SWITCH(Z3, '贵港分输压气站', 2 - SUM(Z28,AA28), '贵阳输气站', 3 - SUM(Z28,AA28), '保山分输压气站', 2 - SUM(Z28,AA28), '大铲岛分输站', 4 - SUM(Z28,AA28), '梧州分输清管站', 2 - SUM(Z28,AA28), '河池分输压气站', 2 - SUM(Z28,AA28), '广州分输压气站', 2 - SUM(Z28,AA28), '吉安联络站', 2 - SUM(Z28,AA28), )</t>
  </si>
  <si>
    <t>=SWITCH(AC3, '贵港分输压气站', 2 - SUM(AC28,AD28), '贵阳输气站', 3 - SUM(AC28,AD28), '保山分输压气站', 2 - SUM(AC28,AD28), '大铲岛分输站', 4 - SUM(AC28,AD28), '梧州分输清管站', 2 - SUM(AC28,AD28), '河池分输压气站', 2 - SUM(AC28,AD28), '广州分输压气站', 2 - SUM(AC28,AD28), '吉安联络站', 2 - SUM(AC28,AD28), )</t>
  </si>
  <si>
    <t>=SWITCH(AF3, '贵港分输压气站', 2 - SUM(AF28,AG28), '贵阳输气站', 3 - SUM(AF28,AG28), '保山分输压气站', 2 - SUM(AF28,AG28), '大铲岛分输站', 4 - SUM(AF28,AG28), '梧州分输清管站', 2 - SUM(AF28,AG28), '河池分输压气站', 2 - SUM(AF28,AG28), '广州分输压气站', 2 - SUM(AF28,AG28), '吉安联络站', 2 - SUM(AF28,AG28), )</t>
  </si>
  <si>
    <t>=SWITCH(AI3, '贵港分输压气站', 2 - SUM(AI28,AJ28), '贵阳输气站', 3 - SUM(AI28,AJ28), '保山分输压气站', 2 - SUM(AI28,AJ28), '大铲岛分输站', 4 - SUM(AI28,AJ28), '梧州分输清管站', 2 - SUM(AI28,AJ28), '河池分输压气站', 2 - SUM(AI28,AJ28), '广州分输压气站', 2 - SUM(AI28,AJ28), '吉安联络站', 2 - SUM(AI28,AJ28), )</t>
  </si>
  <si>
    <t>=SWITCH(AL3, '贵港分输压气站', 2 - SUM(AL28,AM28), '贵阳输气站', 3 - SUM(AL28,AM28), '保山分输压气站', 2 - SUM(AL28,AM28), '大铲岛分输站', 4 - SUM(AL28,AM28), '梧州分输清管站', 2 - SUM(AL28,AM28), '河池分输压气站', 2 - SUM(AL28,AM28), '广州分输压气站', 2 - SUM(AL28,AM28), '吉安联络站', 2 - SUM(AL28,AM28), )</t>
  </si>
  <si>
    <t>=SWITCH(AO3, '贵港分输压气站', 2 - SUM(AO28,AP28), '贵阳输气站', 3 - SUM(AO28,AP28), '保山分输压气站', 2 - SUM(AO28,AP28), '大铲岛分输站', 4 - SUM(AO28,AP28), '梧州分输清管站', 2 - SUM(AO28,AP28), '河池分输压气站', 2 - SUM(AO28,AP28), '广州分输压气站', 2 - SUM(AO28,AP28), '吉安联络站', 2 - SUM(AO28,AP28), )</t>
  </si>
  <si>
    <t>=SWITCH(AR3, '贵港分输压气站', 2 - SUM(AR28,AS28), '贵阳输气站', 3 - SUM(AR28,AS28), '保山分输压气站', 2 - SUM(AR28,AS28), '大铲岛分输站', 4 - SUM(AR28,AS28), '梧州分输清管站', 2 - SUM(AR28,AS28), '河池分输压气站', 2 - SUM(AR28,AS28), '广州分输压气站', 2 - SUM(AR28,AS28), '吉安联络站', 2 - SUM(AR28,AS28), )</t>
  </si>
  <si>
    <t>=SWITCH(AU3, '贵港分输压气站', 2 - SUM(AU28,AV28), '贵阳输气站', 3 - SUM(AU28,AV28), '保山分输压气站', 2 - SUM(AU28,AV28), '大铲岛分输站', 4 - SUM(AU28,AV28), '梧州分输清管站', 2 - SUM(AU28,AV28), '河池分输压气站', 2 - SUM(AU28,AV28), '广州分输压气站', 2 - SUM(AU28,AV28), '吉安联络站', 2 - SUM(AU28,AV28), )</t>
  </si>
  <si>
    <t>=SWITCH(B3, '贵港分输压气站', 2 - SUM(B29,C29), '贵阳输气站', 3 - SUM(B29,C29), '保山分输压气站', 2 - SUM(B29,C29), '大铲岛分输站', 4 - SUM(B29,C29), '梧州分输清管站', 2 - SUM(B29,C29), '河池分输压气站', 2 - SUM(B29,C29), '广州分输压气站', 2 - SUM(B29,C29), '吉安联络站', 2 - SUM(B29,C29), )</t>
  </si>
  <si>
    <t>=SWITCH(E3, '贵港分输压气站', 2 - SUM(E29,F29), '贵阳输气站', 3 - SUM(E29,F29), '保山分输压气站', 2 - SUM(E29,F29), '大铲岛分输站', 4 - SUM(E29,F29), '梧州分输清管站', 2 - SUM(E29,F29), '河池分输压气站', 2 - SUM(E29,F29), '广州分输压气站', 2 - SUM(E29,F29), '吉安联络站', 2 - SUM(E29,F29), )</t>
  </si>
  <si>
    <t>=SWITCH(H3, '贵港分输压气站', 2 - SUM(H29,I29), '贵阳输气站', 3 - SUM(H29,I29), '保山分输压气站', 2 - SUM(H29,I29), '大铲岛分输站', 4 - SUM(H29,I29), '梧州分输清管站', 2 - SUM(H29,I29), '河池分输压气站', 2 - SUM(H29,I29), '广州分输压气站', 2 - SUM(H29,I29), '吉安联络站', 2 - SUM(H29,I29), )</t>
  </si>
  <si>
    <t>=SWITCH(K3, '贵港分输压气站', 2 - SUM(K29,L29), '贵阳输气站', 3 - SUM(K29,L29), '保山分输压气站', 2 - SUM(K29,L29), '大铲岛分输站', 4 - SUM(K29,L29), '梧州分输清管站', 2 - SUM(K29,L29), '河池分输压气站', 2 - SUM(K29,L29), '广州分输压气站', 2 - SUM(K29,L29), '吉安联络站', 2 - SUM(K29,L29), )</t>
  </si>
  <si>
    <t>=SWITCH(N3, '贵港分输压气站', 2 - SUM(N29,O29), '贵阳输气站', 3 - SUM(N29,O29), '保山分输压气站', 2 - SUM(N29,O29), '大铲岛分输站', 4 - SUM(N29,O29), '梧州分输清管站', 2 - SUM(N29,O29), '河池分输压气站', 2 - SUM(N29,O29), '广州分输压气站', 2 - SUM(N29,O29), '吉安联络站', 2 - SUM(N29,O29), )</t>
  </si>
  <si>
    <t>=SWITCH(Q3, '贵港分输压气站', 2 - SUM(Q29,R29), '贵阳输气站', 3 - SUM(Q29,R29), '保山分输压气站', 2 - SUM(Q29,R29), '大铲岛分输站', 4 - SUM(Q29,R29), '梧州分输清管站', 2 - SUM(Q29,R29), '河池分输压气站', 2 - SUM(Q29,R29), '广州分输压气站', 2 - SUM(Q29,R29), '吉安联络站', 2 - SUM(Q29,R29), )</t>
  </si>
  <si>
    <t>=SWITCH(T3, '贵港分输压气站', 2 - SUM(T29,U29), '贵阳输气站', 3 - SUM(T29,U29), '保山分输压气站', 2 - SUM(T29,U29), '大铲岛分输站', 4 - SUM(T29,U29), '梧州分输清管站', 2 - SUM(T29,U29), '河池分输压气站', 2 - SUM(T29,U29), '广州分输压气站', 2 - SUM(T29,U29), '吉安联络站', 2 - SUM(T29,U29), )</t>
  </si>
  <si>
    <t>=SWITCH(W3, '贵港分输压气站', 2 - SUM(W29,X29), '贵阳输气站', 3 - SUM(W29,X29), '保山分输压气站', 2 - SUM(W29,X29), '大铲岛分输站', 4 - SUM(W29,X29), '梧州分输清管站', 2 - SUM(W29,X29), '河池分输压气站', 2 - SUM(W29,X29), '广州分输压气站', 2 - SUM(W29,X29), '吉安联络站', 2 - SUM(W29,X29), )</t>
  </si>
  <si>
    <t>=SWITCH(Z3, '贵港分输压气站', 2 - SUM(Z29,AA29), '贵阳输气站', 3 - SUM(Z29,AA29), '保山分输压气站', 2 - SUM(Z29,AA29), '大铲岛分输站', 4 - SUM(Z29,AA29), '梧州分输清管站', 2 - SUM(Z29,AA29), '河池分输压气站', 2 - SUM(Z29,AA29), '广州分输压气站', 2 - SUM(Z29,AA29), '吉安联络站', 2 - SUM(Z29,AA29), )</t>
  </si>
  <si>
    <t>=SWITCH(AC3, '贵港分输压气站', 2 - SUM(AC29,AD29), '贵阳输气站', 3 - SUM(AC29,AD29), '保山分输压气站', 2 - SUM(AC29,AD29), '大铲岛分输站', 4 - SUM(AC29,AD29), '梧州分输清管站', 2 - SUM(AC29,AD29), '河池分输压气站', 2 - SUM(AC29,AD29), '广州分输压气站', 2 - SUM(AC29,AD29), '吉安联络站', 2 - SUM(AC29,AD29), )</t>
  </si>
  <si>
    <t>=SWITCH(AF3, '贵港分输压气站', 2 - SUM(AF29,AG29), '贵阳输气站', 3 - SUM(AF29,AG29), '保山分输压气站', 2 - SUM(AF29,AG29), '大铲岛分输站', 4 - SUM(AF29,AG29), '梧州分输清管站', 2 - SUM(AF29,AG29), '河池分输压气站', 2 - SUM(AF29,AG29), '广州分输压气站', 2 - SUM(AF29,AG29), '吉安联络站', 2 - SUM(AF29,AG29), )</t>
  </si>
  <si>
    <t>=SWITCH(AI3, '贵港分输压气站', 2 - SUM(AI29,AJ29), '贵阳输气站', 3 - SUM(AI29,AJ29), '保山分输压气站', 2 - SUM(AI29,AJ29), '大铲岛分输站', 4 - SUM(AI29,AJ29), '梧州分输清管站', 2 - SUM(AI29,AJ29), '河池分输压气站', 2 - SUM(AI29,AJ29), '广州分输压气站', 2 - SUM(AI29,AJ29), '吉安联络站', 2 - SUM(AI29,AJ29), )</t>
  </si>
  <si>
    <t>=SWITCH(AL3, '贵港分输压气站', 2 - SUM(AL29,AM29), '贵阳输气站', 3 - SUM(AL29,AM29), '保山分输压气站', 2 - SUM(AL29,AM29), '大铲岛分输站', 4 - SUM(AL29,AM29), '梧州分输清管站', 2 - SUM(AL29,AM29), '河池分输压气站', 2 - SUM(AL29,AM29), '广州分输压气站', 2 - SUM(AL29,AM29), '吉安联络站', 2 - SUM(AL29,AM29), )</t>
  </si>
  <si>
    <t>=SWITCH(AO3, '贵港分输压气站', 2 - SUM(AO29,AP29), '贵阳输气站', 3 - SUM(AO29,AP29), '保山分输压气站', 2 - SUM(AO29,AP29), '大铲岛分输站', 4 - SUM(AO29,AP29), '梧州分输清管站', 2 - SUM(AO29,AP29), '河池分输压气站', 2 - SUM(AO29,AP29), '广州分输压气站', 2 - SUM(AO29,AP29), '吉安联络站', 2 - SUM(AO29,AP29), )</t>
  </si>
  <si>
    <t>=SWITCH(AR3, '贵港分输压气站', 2 - SUM(AR29,AS29), '贵阳输气站', 3 - SUM(AR29,AS29), '保山分输压气站', 2 - SUM(AR29,AS29), '大铲岛分输站', 4 - SUM(AR29,AS29), '梧州分输清管站', 2 - SUM(AR29,AS29), '河池分输压气站', 2 - SUM(AR29,AS29), '广州分输压气站', 2 - SUM(AR29,AS29), '吉安联络站', 2 - SUM(AR29,AS29), )</t>
  </si>
  <si>
    <t>=SWITCH(AU3, '贵港分输压气站', 2 - SUM(AU29,AV29), '贵阳输气站', 3 - SUM(AU29,AV29), '保山分输压气站', 2 - SUM(AU29,AV29), '大铲岛分输站', 4 - SUM(AU29,AV29), '梧州分输清管站', 2 - SUM(AU29,AV29), '河池分输压气站', 2 - SUM(AU29,AV29), '广州分输压气站', 2 - SUM(AU29,AV29), '吉安联络站', 2 - SUM(AU29,AV29), )</t>
  </si>
  <si>
    <t>=SWITCH(B3, '贵港分输压气站', 2 - SUM(B30,C30), '贵阳输气站', 3 - SUM(B30,C30), '保山分输压气站', 2 - SUM(B30,C30), '大铲岛分输站', 4 - SUM(B30,C30), '梧州分输清管站', 2 - SUM(B30,C30), '河池分输压气站', 2 - SUM(B30,C30), '广州分输压气站', 2 - SUM(B30,C30), '吉安联络站', 2 - SUM(B30,C30), )</t>
  </si>
  <si>
    <t>=SWITCH(E3, '贵港分输压气站', 2 - SUM(E30,F30), '贵阳输气站', 3 - SUM(E30,F30), '保山分输压气站', 2 - SUM(E30,F30), '大铲岛分输站', 4 - SUM(E30,F30), '梧州分输清管站', 2 - SUM(E30,F30), '河池分输压气站', 2 - SUM(E30,F30), '广州分输压气站', 2 - SUM(E30,F30), '吉安联络站', 2 - SUM(E30,F30), )</t>
  </si>
  <si>
    <t>=SWITCH(H3, '贵港分输压气站', 2 - SUM(H30,I30), '贵阳输气站', 3 - SUM(H30,I30), '保山分输压气站', 2 - SUM(H30,I30), '大铲岛分输站', 4 - SUM(H30,I30), '梧州分输清管站', 2 - SUM(H30,I30), '河池分输压气站', 2 - SUM(H30,I30), '广州分输压气站', 2 - SUM(H30,I30), '吉安联络站', 2 - SUM(H30,I30), )</t>
  </si>
  <si>
    <t>=SWITCH(K3, '贵港分输压气站', 2 - SUM(K30,L30), '贵阳输气站', 3 - SUM(K30,L30), '保山分输压气站', 2 - SUM(K30,L30), '大铲岛分输站', 4 - SUM(K30,L30), '梧州分输清管站', 2 - SUM(K30,L30), '河池分输压气站', 2 - SUM(K30,L30), '广州分输压气站', 2 - SUM(K30,L30), '吉安联络站', 2 - SUM(K30,L30), )</t>
  </si>
  <si>
    <t>=SWITCH(N3, '贵港分输压气站', 2 - SUM(N30,O30), '贵阳输气站', 3 - SUM(N30,O30), '保山分输压气站', 2 - SUM(N30,O30), '大铲岛分输站', 4 - SUM(N30,O30), '梧州分输清管站', 2 - SUM(N30,O30), '河池分输压气站', 2 - SUM(N30,O30), '广州分输压气站', 2 - SUM(N30,O30), '吉安联络站', 2 - SUM(N30,O30), )</t>
  </si>
  <si>
    <t>=SWITCH(Q3, '贵港分输压气站', 2 - SUM(Q30,R30), '贵阳输气站', 3 - SUM(Q30,R30), '保山分输压气站', 2 - SUM(Q30,R30), '大铲岛分输站', 4 - SUM(Q30,R30), '梧州分输清管站', 2 - SUM(Q30,R30), '河池分输压气站', 2 - SUM(Q30,R30), '广州分输压气站', 2 - SUM(Q30,R30), '吉安联络站', 2 - SUM(Q30,R30), )</t>
  </si>
  <si>
    <t>=SWITCH(T3, '贵港分输压气站', 2 - SUM(T30,U30), '贵阳输气站', 3 - SUM(T30,U30), '保山分输压气站', 2 - SUM(T30,U30), '大铲岛分输站', 4 - SUM(T30,U30), '梧州分输清管站', 2 - SUM(T30,U30), '河池分输压气站', 2 - SUM(T30,U30), '广州分输压气站', 2 - SUM(T30,U30), '吉安联络站', 2 - SUM(T30,U30), )</t>
  </si>
  <si>
    <t>=SWITCH(W3, '贵港分输压气站', 2 - SUM(W30,X30), '贵阳输气站', 3 - SUM(W30,X30), '保山分输压气站', 2 - SUM(W30,X30), '大铲岛分输站', 4 - SUM(W30,X30), '梧州分输清管站', 2 - SUM(W30,X30), '河池分输压气站', 2 - SUM(W30,X30), '广州分输压气站', 2 - SUM(W30,X30), '吉安联络站', 2 - SUM(W30,X30), )</t>
  </si>
  <si>
    <t>=SWITCH(Z3, '贵港分输压气站', 2 - SUM(Z30,AA30), '贵阳输气站', 3 - SUM(Z30,AA30), '保山分输压气站', 2 - SUM(Z30,AA30), '大铲岛分输站', 4 - SUM(Z30,AA30), '梧州分输清管站', 2 - SUM(Z30,AA30), '河池分输压气站', 2 - SUM(Z30,AA30), '广州分输压气站', 2 - SUM(Z30,AA30), '吉安联络站', 2 - SUM(Z30,AA30), )</t>
  </si>
  <si>
    <t>=SWITCH(AC3, '贵港分输压气站', 2 - SUM(AC30,AD30), '贵阳输气站', 3 - SUM(AC30,AD30), '保山分输压气站', 2 - SUM(AC30,AD30), '大铲岛分输站', 4 - SUM(AC30,AD30), '梧州分输清管站', 2 - SUM(AC30,AD30), '河池分输压气站', 2 - SUM(AC30,AD30), '广州分输压气站', 2 - SUM(AC30,AD30), '吉安联络站', 2 - SUM(AC30,AD30), )</t>
  </si>
  <si>
    <t>=SWITCH(AF3, '贵港分输压气站', 2 - SUM(AF30,AG30), '贵阳输气站', 3 - SUM(AF30,AG30), '保山分输压气站', 2 - SUM(AF30,AG30), '大铲岛分输站', 4 - SUM(AF30,AG30), '梧州分输清管站', 2 - SUM(AF30,AG30), '河池分输压气站', 2 - SUM(AF30,AG30), '广州分输压气站', 2 - SUM(AF30,AG30), '吉安联络站', 2 - SUM(AF30,AG30), )</t>
  </si>
  <si>
    <t>=SWITCH(AI3, '贵港分输压气站', 2 - SUM(AI30,AJ30), '贵阳输气站', 3 - SUM(AI30,AJ30), '保山分输压气站', 2 - SUM(AI30,AJ30), '大铲岛分输站', 4 - SUM(AI30,AJ30), '梧州分输清管站', 2 - SUM(AI30,AJ30), '河池分输压气站', 2 - SUM(AI30,AJ30), '广州分输压气站', 2 - SUM(AI30,AJ30), '吉安联络站', 2 - SUM(AI30,AJ30), )</t>
  </si>
  <si>
    <t>=SWITCH(AL3, '贵港分输压气站', 2 - SUM(AL30,AM30), '贵阳输气站', 3 - SUM(AL30,AM30), '保山分输压气站', 2 - SUM(AL30,AM30), '大铲岛分输站', 4 - SUM(AL30,AM30), '梧州分输清管站', 2 - SUM(AL30,AM30), '河池分输压气站', 2 - SUM(AL30,AM30), '广州分输压气站', 2 - SUM(AL30,AM30), '吉安联络站', 2 - SUM(AL30,AM30), )</t>
  </si>
  <si>
    <t>=SWITCH(AO3, '贵港分输压气站', 2 - SUM(AO30,AP30), '贵阳输气站', 3 - SUM(AO30,AP30), '保山分输压气站', 2 - SUM(AO30,AP30), '大铲岛分输站', 4 - SUM(AO30,AP30), '梧州分输清管站', 2 - SUM(AO30,AP30), '河池分输压气站', 2 - SUM(AO30,AP30), '广州分输压气站', 2 - SUM(AO30,AP30), '吉安联络站', 2 - SUM(AO30,AP30), )</t>
  </si>
  <si>
    <t>=SWITCH(AR3, '贵港分输压气站', 2 - SUM(AR30,AS30), '贵阳输气站', 3 - SUM(AR30,AS30), '保山分输压气站', 2 - SUM(AR30,AS30), '大铲岛分输站', 4 - SUM(AR30,AS30), '梧州分输清管站', 2 - SUM(AR30,AS30), '河池分输压气站', 2 - SUM(AR30,AS30), '广州分输压气站', 2 - SUM(AR30,AS30), '吉安联络站', 2 - SUM(AR30,AS30), )</t>
  </si>
  <si>
    <t>=SWITCH(AU3, '贵港分输压气站', 2 - SUM(AU30,AV30), '贵阳输气站', 3 - SUM(AU30,AV30), '保山分输压气站', 2 - SUM(AU30,AV30), '大铲岛分输站', 4 - SUM(AU30,AV30), '梧州分输清管站', 2 - SUM(AU30,AV30), '河池分输压气站', 2 - SUM(AU30,AV30), '广州分输压气站', 2 - SUM(AU30,AV30), '吉安联络站', 2 - SUM(AU30,AV30), )</t>
  </si>
  <si>
    <t>=SWITCH(B3, '贵港分输压气站', 2 - SUM(B31,C31), '贵阳输气站', 3 - SUM(B31,C31), '保山分输压气站', 2 - SUM(B31,C31), '大铲岛分输站', 4 - SUM(B31,C31), '梧州分输清管站', 2 - SUM(B31,C31), '河池分输压气站', 2 - SUM(B31,C31), '广州分输压气站', 2 - SUM(B31,C31), '吉安联络站', 2 - SUM(B31,C31), )</t>
  </si>
  <si>
    <t>=SWITCH(E3, '贵港分输压气站', 2 - SUM(E31,F31), '贵阳输气站', 3 - SUM(E31,F31), '保山分输压气站', 2 - SUM(E31,F31), '大铲岛分输站', 4 - SUM(E31,F31), '梧州分输清管站', 2 - SUM(E31,F31), '河池分输压气站', 2 - SUM(E31,F31), '广州分输压气站', 2 - SUM(E31,F31), '吉安联络站', 2 - SUM(E31,F31), )</t>
  </si>
  <si>
    <t>=SWITCH(H3, '贵港分输压气站', 2 - SUM(H31,I31), '贵阳输气站', 3 - SUM(H31,I31), '保山分输压气站', 2 - SUM(H31,I31), '大铲岛分输站', 4 - SUM(H31,I31), '梧州分输清管站', 2 - SUM(H31,I31), '河池分输压气站', 2 - SUM(H31,I31), '广州分输压气站', 2 - SUM(H31,I31), '吉安联络站', 2 - SUM(H31,I31), )</t>
  </si>
  <si>
    <t>=SWITCH(K3, '贵港分输压气站', 2 - SUM(K31,L31), '贵阳输气站', 3 - SUM(K31,L31), '保山分输压气站', 2 - SUM(K31,L31), '大铲岛分输站', 4 - SUM(K31,L31), '梧州分输清管站', 2 - SUM(K31,L31), '河池分输压气站', 2 - SUM(K31,L31), '广州分输压气站', 2 - SUM(K31,L31), '吉安联络站', 2 - SUM(K31,L31), )</t>
  </si>
  <si>
    <t>=SWITCH(N3, '贵港分输压气站', 2 - SUM(N31,O31), '贵阳输气站', 3 - SUM(N31,O31), '保山分输压气站', 2 - SUM(N31,O31), '大铲岛分输站', 4 - SUM(N31,O31), '梧州分输清管站', 2 - SUM(N31,O31), '河池分输压气站', 2 - SUM(N31,O31), '广州分输压气站', 2 - SUM(N31,O31), '吉安联络站', 2 - SUM(N31,O31), )</t>
  </si>
  <si>
    <t>=SWITCH(Q3, '贵港分输压气站', 2 - SUM(Q31,R31), '贵阳输气站', 3 - SUM(Q31,R31), '保山分输压气站', 2 - SUM(Q31,R31), '大铲岛分输站', 4 - SUM(Q31,R31), '梧州分输清管站', 2 - SUM(Q31,R31), '河池分输压气站', 2 - SUM(Q31,R31), '广州分输压气站', 2 - SUM(Q31,R31), '吉安联络站', 2 - SUM(Q31,R31), )</t>
  </si>
  <si>
    <t>=SWITCH(T3, '贵港分输压气站', 2 - SUM(T31,U31), '贵阳输气站', 3 - SUM(T31,U31), '保山分输压气站', 2 - SUM(T31,U31), '大铲岛分输站', 4 - SUM(T31,U31), '梧州分输清管站', 2 - SUM(T31,U31), '河池分输压气站', 2 - SUM(T31,U31), '广州分输压气站', 2 - SUM(T31,U31), '吉安联络站', 2 - SUM(T31,U31), )</t>
  </si>
  <si>
    <t>=SWITCH(W3, '贵港分输压气站', 2 - SUM(W31,X31), '贵阳输气站', 3 - SUM(W31,X31), '保山分输压气站', 2 - SUM(W31,X31), '大铲岛分输站', 4 - SUM(W31,X31), '梧州分输清管站', 2 - SUM(W31,X31), '河池分输压气站', 2 - SUM(W31,X31), '广州分输压气站', 2 - SUM(W31,X31), '吉安联络站', 2 - SUM(W31,X31), )</t>
  </si>
  <si>
    <t>=SWITCH(Z3, '贵港分输压气站', 2 - SUM(Z31,AA31), '贵阳输气站', 3 - SUM(Z31,AA31), '保山分输压气站', 2 - SUM(Z31,AA31), '大铲岛分输站', 4 - SUM(Z31,AA31), '梧州分输清管站', 2 - SUM(Z31,AA31), '河池分输压气站', 2 - SUM(Z31,AA31), '广州分输压气站', 2 - SUM(Z31,AA31), '吉安联络站', 2 - SUM(Z31,AA31), )</t>
  </si>
  <si>
    <t>=SWITCH(AC3, '贵港分输压气站', 2 - SUM(AC31,AD31), '贵阳输气站', 3 - SUM(AC31,AD31), '保山分输压气站', 2 - SUM(AC31,AD31), '大铲岛分输站', 4 - SUM(AC31,AD31), '梧州分输清管站', 2 - SUM(AC31,AD31), '河池分输压气站', 2 - SUM(AC31,AD31), '广州分输压气站', 2 - SUM(AC31,AD31), '吉安联络站', 2 - SUM(AC31,AD31), )</t>
  </si>
  <si>
    <t>=SWITCH(AF3, '贵港分输压气站', 2 - SUM(AF31,AG31), '贵阳输气站', 3 - SUM(AF31,AG31), '保山分输压气站', 2 - SUM(AF31,AG31), '大铲岛分输站', 4 - SUM(AF31,AG31), '梧州分输清管站', 2 - SUM(AF31,AG31), '河池分输压气站', 2 - SUM(AF31,AG31), '广州分输压气站', 2 - SUM(AF31,AG31), '吉安联络站', 2 - SUM(AF31,AG31), )</t>
  </si>
  <si>
    <t>=SWITCH(AI3, '贵港分输压气站', 2 - SUM(AI31,AJ31), '贵阳输气站', 3 - SUM(AI31,AJ31), '保山分输压气站', 2 - SUM(AI31,AJ31), '大铲岛分输站', 4 - SUM(AI31,AJ31), '梧州分输清管站', 2 - SUM(AI31,AJ31), '河池分输压气站', 2 - SUM(AI31,AJ31), '广州分输压气站', 2 - SUM(AI31,AJ31), '吉安联络站', 2 - SUM(AI31,AJ31), )</t>
  </si>
  <si>
    <t>=SWITCH(AL3, '贵港分输压气站', 2 - SUM(AL31,AM31), '贵阳输气站', 3 - SUM(AL31,AM31), '保山分输压气站', 2 - SUM(AL31,AM31), '大铲岛分输站', 4 - SUM(AL31,AM31), '梧州分输清管站', 2 - SUM(AL31,AM31), '河池分输压气站', 2 - SUM(AL31,AM31), '广州分输压气站', 2 - SUM(AL31,AM31), '吉安联络站', 2 - SUM(AL31,AM31), )</t>
  </si>
  <si>
    <t>=SWITCH(AO3, '贵港分输压气站', 2 - SUM(AO31,AP31), '贵阳输气站', 3 - SUM(AO31,AP31), '保山分输压气站', 2 - SUM(AO31,AP31), '大铲岛分输站', 4 - SUM(AO31,AP31), '梧州分输清管站', 2 - SUM(AO31,AP31), '河池分输压气站', 2 - SUM(AO31,AP31), '广州分输压气站', 2 - SUM(AO31,AP31), '吉安联络站', 2 - SUM(AO31,AP31), )</t>
  </si>
  <si>
    <t>=SWITCH(AR3, '贵港分输压气站', 2 - SUM(AR31,AS31), '贵阳输气站', 3 - SUM(AR31,AS31), '保山分输压气站', 2 - SUM(AR31,AS31), '大铲岛分输站', 4 - SUM(AR31,AS31), '梧州分输清管站', 2 - SUM(AR31,AS31), '河池分输压气站', 2 - SUM(AR31,AS31), '广州分输压气站', 2 - SUM(AR31,AS31), '吉安联络站', 2 - SUM(AR31,AS31), )</t>
  </si>
  <si>
    <t>=SWITCH(AU3, '贵港分输压气站', 2 - SUM(AU31,AV31), '贵阳输气站', 3 - SUM(AU31,AV31), '保山分输压气站', 2 - SUM(AU31,AV31), '大铲岛分输站', 4 - SUM(AU31,AV31), '梧州分输清管站', 2 - SUM(AU31,AV31), '河池分输压气站', 2 - SUM(AU31,AV31), '广州分输压气站', 2 - SUM(AU31,AV31), '吉安联络站', 2 - SUM(AU31,AV31), )</t>
  </si>
  <si>
    <t>=SWITCH(B3, '贵港分输压气站', 2 - SUM(B32,C32), '贵阳输气站', 3 - SUM(B32,C32), '保山分输压气站', 2 - SUM(B32,C32), '大铲岛分输站', 4 - SUM(B32,C32), '梧州分输清管站', 2 - SUM(B32,C32), '河池分输压气站', 2 - SUM(B32,C32), '广州分输压气站', 2 - SUM(B32,C32), '吉安联络站', 2 - SUM(B32,C32), )</t>
  </si>
  <si>
    <t>=SWITCH(E3, '贵港分输压气站', 2 - SUM(E32,F32), '贵阳输气站', 3 - SUM(E32,F32), '保山分输压气站', 2 - SUM(E32,F32), '大铲岛分输站', 4 - SUM(E32,F32), '梧州分输清管站', 2 - SUM(E32,F32), '河池分输压气站', 2 - SUM(E32,F32), '广州分输压气站', 2 - SUM(E32,F32), '吉安联络站', 2 - SUM(E32,F32), )</t>
  </si>
  <si>
    <t>=SWITCH(H3, '贵港分输压气站', 2 - SUM(H32,I32), '贵阳输气站', 3 - SUM(H32,I32), '保山分输压气站', 2 - SUM(H32,I32), '大铲岛分输站', 4 - SUM(H32,I32), '梧州分输清管站', 2 - SUM(H32,I32), '河池分输压气站', 2 - SUM(H32,I32), '广州分输压气站', 2 - SUM(H32,I32), '吉安联络站', 2 - SUM(H32,I32), )</t>
  </si>
  <si>
    <t>=SWITCH(K3, '贵港分输压气站', 2 - SUM(K32,L32), '贵阳输气站', 3 - SUM(K32,L32), '保山分输压气站', 2 - SUM(K32,L32), '大铲岛分输站', 4 - SUM(K32,L32), '梧州分输清管站', 2 - SUM(K32,L32), '河池分输压气站', 2 - SUM(K32,L32), '广州分输压气站', 2 - SUM(K32,L32), '吉安联络站', 2 - SUM(K32,L32), )</t>
  </si>
  <si>
    <t>=SWITCH(N3, '贵港分输压气站', 2 - SUM(N32,O32), '贵阳输气站', 3 - SUM(N32,O32), '保山分输压气站', 2 - SUM(N32,O32), '大铲岛分输站', 4 - SUM(N32,O32), '梧州分输清管站', 2 - SUM(N32,O32), '河池分输压气站', 2 - SUM(N32,O32), '广州分输压气站', 2 - SUM(N32,O32), '吉安联络站', 2 - SUM(N32,O32), )</t>
  </si>
  <si>
    <t>=SWITCH(Q3, '贵港分输压气站', 2 - SUM(Q32,R32), '贵阳输气站', 3 - SUM(Q32,R32), '保山分输压气站', 2 - SUM(Q32,R32), '大铲岛分输站', 4 - SUM(Q32,R32), '梧州分输清管站', 2 - SUM(Q32,R32), '河池分输压气站', 2 - SUM(Q32,R32), '广州分输压气站', 2 - SUM(Q32,R32), '吉安联络站', 2 - SUM(Q32,R32), )</t>
  </si>
  <si>
    <t>=SWITCH(T3, '贵港分输压气站', 2 - SUM(T32,U32), '贵阳输气站', 3 - SUM(T32,U32), '保山分输压气站', 2 - SUM(T32,U32), '大铲岛分输站', 4 - SUM(T32,U32), '梧州分输清管站', 2 - SUM(T32,U32), '河池分输压气站', 2 - SUM(T32,U32), '广州分输压气站', 2 - SUM(T32,U32), '吉安联络站', 2 - SUM(T32,U32), )</t>
  </si>
  <si>
    <t>=SWITCH(W3, '贵港分输压气站', 2 - SUM(W32,X32), '贵阳输气站', 3 - SUM(W32,X32), '保山分输压气站', 2 - SUM(W32,X32), '大铲岛分输站', 4 - SUM(W32,X32), '梧州分输清管站', 2 - SUM(W32,X32), '河池分输压气站', 2 - SUM(W32,X32), '广州分输压气站', 2 - SUM(W32,X32), '吉安联络站', 2 - SUM(W32,X32), )</t>
  </si>
  <si>
    <t>=SWITCH(Z3, '贵港分输压气站', 2 - SUM(Z32,AA32), '贵阳输气站', 3 - SUM(Z32,AA32), '保山分输压气站', 2 - SUM(Z32,AA32), '大铲岛分输站', 4 - SUM(Z32,AA32), '梧州分输清管站', 2 - SUM(Z32,AA32), '河池分输压气站', 2 - SUM(Z32,AA32), '广州分输压气站', 2 - SUM(Z32,AA32), '吉安联络站', 2 - SUM(Z32,AA32), )</t>
  </si>
  <si>
    <t>=SWITCH(AC3, '贵港分输压气站', 2 - SUM(AC32,AD32), '贵阳输气站', 3 - SUM(AC32,AD32), '保山分输压气站', 2 - SUM(AC32,AD32), '大铲岛分输站', 4 - SUM(AC32,AD32), '梧州分输清管站', 2 - SUM(AC32,AD32), '河池分输压气站', 2 - SUM(AC32,AD32), '广州分输压气站', 2 - SUM(AC32,AD32), '吉安联络站', 2 - SUM(AC32,AD32), )</t>
  </si>
  <si>
    <t>=SWITCH(AF3, '贵港分输压气站', 2 - SUM(AF32,AG32), '贵阳输气站', 3 - SUM(AF32,AG32), '保山分输压气站', 2 - SUM(AF32,AG32), '大铲岛分输站', 4 - SUM(AF32,AG32), '梧州分输清管站', 2 - SUM(AF32,AG32), '河池分输压气站', 2 - SUM(AF32,AG32), '广州分输压气站', 2 - SUM(AF32,AG32), '吉安联络站', 2 - SUM(AF32,AG32), )</t>
  </si>
  <si>
    <t>=SWITCH(AI3, '贵港分输压气站', 2 - SUM(AI32,AJ32), '贵阳输气站', 3 - SUM(AI32,AJ32), '保山分输压气站', 2 - SUM(AI32,AJ32), '大铲岛分输站', 4 - SUM(AI32,AJ32), '梧州分输清管站', 2 - SUM(AI32,AJ32), '河池分输压气站', 2 - SUM(AI32,AJ32), '广州分输压气站', 2 - SUM(AI32,AJ32), '吉安联络站', 2 - SUM(AI32,AJ32), )</t>
  </si>
  <si>
    <t>=SWITCH(AL3, '贵港分输压气站', 2 - SUM(AL32,AM32), '贵阳输气站', 3 - SUM(AL32,AM32), '保山分输压气站', 2 - SUM(AL32,AM32), '大铲岛分输站', 4 - SUM(AL32,AM32), '梧州分输清管站', 2 - SUM(AL32,AM32), '河池分输压气站', 2 - SUM(AL32,AM32), '广州分输压气站', 2 - SUM(AL32,AM32), '吉安联络站', 2 - SUM(AL32,AM32), )</t>
  </si>
  <si>
    <t>=SWITCH(AO3, '贵港分输压气站', 2 - SUM(AO32,AP32), '贵阳输气站', 3 - SUM(AO32,AP32), '保山分输压气站', 2 - SUM(AO32,AP32), '大铲岛分输站', 4 - SUM(AO32,AP32), '梧州分输清管站', 2 - SUM(AO32,AP32), '河池分输压气站', 2 - SUM(AO32,AP32), '广州分输压气站', 2 - SUM(AO32,AP32), '吉安联络站', 2 - SUM(AO32,AP32), )</t>
  </si>
  <si>
    <t>=SWITCH(AR3, '贵港分输压气站', 2 - SUM(AR32,AS32), '贵阳输气站', 3 - SUM(AR32,AS32), '保山分输压气站', 2 - SUM(AR32,AS32), '大铲岛分输站', 4 - SUM(AR32,AS32), '梧州分输清管站', 2 - SUM(AR32,AS32), '河池分输压气站', 2 - SUM(AR32,AS32), '广州分输压气站', 2 - SUM(AR32,AS32), '吉安联络站', 2 - SUM(AR32,AS32), )</t>
  </si>
  <si>
    <t>=SWITCH(AU3, '贵港分输压气站', 2 - SUM(AU32,AV32), '贵阳输气站', 3 - SUM(AU32,AV32), '保山分输压气站', 2 - SUM(AU32,AV32), '大铲岛分输站', 4 - SUM(AU32,AV32), '梧州分输清管站', 2 - SUM(AU32,AV32), '河池分输压气站', 2 - SUM(AU32,AV32), '广州分输压气站', 2 - SUM(AU32,AV32), '吉安联络站', 2 - SUM(AU32,AV32), )</t>
  </si>
  <si>
    <t>=SWITCH(B3, '贵港分输压气站', 2 - SUM(B33,C33), '贵阳输气站', 3 - SUM(B33,C33), '保山分输压气站', 2 - SUM(B33,C33), '大铲岛分输站', 4 - SUM(B33,C33), '梧州分输清管站', 2 - SUM(B33,C33), '河池分输压气站', 2 - SUM(B33,C33), '广州分输压气站', 2 - SUM(B33,C33), '吉安联络站', 2 - SUM(B33,C33), )</t>
  </si>
  <si>
    <t>=SWITCH(E3, '贵港分输压气站', 2 - SUM(E33,F33), '贵阳输气站', 3 - SUM(E33,F33), '保山分输压气站', 2 - SUM(E33,F33), '大铲岛分输站', 4 - SUM(E33,F33), '梧州分输清管站', 2 - SUM(E33,F33), '河池分输压气站', 2 - SUM(E33,F33), '广州分输压气站', 2 - SUM(E33,F33), '吉安联络站', 2 - SUM(E33,F33), )</t>
  </si>
  <si>
    <t>=SWITCH(H3, '贵港分输压气站', 2 - SUM(H33,I33), '贵阳输气站', 3 - SUM(H33,I33), '保山分输压气站', 2 - SUM(H33,I33), '大铲岛分输站', 4 - SUM(H33,I33), '梧州分输清管站', 2 - SUM(H33,I33), '河池分输压气站', 2 - SUM(H33,I33), '广州分输压气站', 2 - SUM(H33,I33), '吉安联络站', 2 - SUM(H33,I33), )</t>
  </si>
  <si>
    <t>=SWITCH(K3, '贵港分输压气站', 2 - SUM(K33,L33), '贵阳输气站', 3 - SUM(K33,L33), '保山分输压气站', 2 - SUM(K33,L33), '大铲岛分输站', 4 - SUM(K33,L33), '梧州分输清管站', 2 - SUM(K33,L33), '河池分输压气站', 2 - SUM(K33,L33), '广州分输压气站', 2 - SUM(K33,L33), '吉安联络站', 2 - SUM(K33,L33), )</t>
  </si>
  <si>
    <t>=SWITCH(N3, '贵港分输压气站', 2 - SUM(N33,O33), '贵阳输气站', 3 - SUM(N33,O33), '保山分输压气站', 2 - SUM(N33,O33), '大铲岛分输站', 4 - SUM(N33,O33), '梧州分输清管站', 2 - SUM(N33,O33), '河池分输压气站', 2 - SUM(N33,O33), '广州分输压气站', 2 - SUM(N33,O33), '吉安联络站', 2 - SUM(N33,O33), )</t>
  </si>
  <si>
    <t>=SWITCH(Q3, '贵港分输压气站', 2 - SUM(Q33,R33), '贵阳输气站', 3 - SUM(Q33,R33), '保山分输压气站', 2 - SUM(Q33,R33), '大铲岛分输站', 4 - SUM(Q33,R33), '梧州分输清管站', 2 - SUM(Q33,R33), '河池分输压气站', 2 - SUM(Q33,R33), '广州分输压气站', 2 - SUM(Q33,R33), '吉安联络站', 2 - SUM(Q33,R33), )</t>
  </si>
  <si>
    <t>=SWITCH(T3, '贵港分输压气站', 2 - SUM(T33,U33), '贵阳输气站', 3 - SUM(T33,U33), '保山分输压气站', 2 - SUM(T33,U33), '大铲岛分输站', 4 - SUM(T33,U33), '梧州分输清管站', 2 - SUM(T33,U33), '河池分输压气站', 2 - SUM(T33,U33), '广州分输压气站', 2 - SUM(T33,U33), '吉安联络站', 2 - SUM(T33,U33), )</t>
  </si>
  <si>
    <t>=SWITCH(W3, '贵港分输压气站', 2 - SUM(W33,X33), '贵阳输气站', 3 - SUM(W33,X33), '保山分输压气站', 2 - SUM(W33,X33), '大铲岛分输站', 4 - SUM(W33,X33), '梧州分输清管站', 2 - SUM(W33,X33), '河池分输压气站', 2 - SUM(W33,X33), '广州分输压气站', 2 - SUM(W33,X33), '吉安联络站', 2 - SUM(W33,X33), )</t>
  </si>
  <si>
    <t>=SWITCH(Z3, '贵港分输压气站', 2 - SUM(Z33,AA33), '贵阳输气站', 3 - SUM(Z33,AA33), '保山分输压气站', 2 - SUM(Z33,AA33), '大铲岛分输站', 4 - SUM(Z33,AA33), '梧州分输清管站', 2 - SUM(Z33,AA33), '河池分输压气站', 2 - SUM(Z33,AA33), '广州分输压气站', 2 - SUM(Z33,AA33), '吉安联络站', 2 - SUM(Z33,AA33), )</t>
  </si>
  <si>
    <t>=SWITCH(AC3, '贵港分输压气站', 2 - SUM(AC33,AD33), '贵阳输气站', 3 - SUM(AC33,AD33), '保山分输压气站', 2 - SUM(AC33,AD33), '大铲岛分输站', 4 - SUM(AC33,AD33), '梧州分输清管站', 2 - SUM(AC33,AD33), '河池分输压气站', 2 - SUM(AC33,AD33), '广州分输压气站', 2 - SUM(AC33,AD33), '吉安联络站', 2 - SUM(AC33,AD33), )</t>
  </si>
  <si>
    <t>=SWITCH(AF3, '贵港分输压气站', 2 - SUM(AF33,AG33), '贵阳输气站', 3 - SUM(AF33,AG33), '保山分输压气站', 2 - SUM(AF33,AG33), '大铲岛分输站', 4 - SUM(AF33,AG33), '梧州分输清管站', 2 - SUM(AF33,AG33), '河池分输压气站', 2 - SUM(AF33,AG33), '广州分输压气站', 2 - SUM(AF33,AG33), '吉安联络站', 2 - SUM(AF33,AG33), )</t>
  </si>
  <si>
    <t>=SWITCH(AI3, '贵港分输压气站', 2 - SUM(AI33,AJ33), '贵阳输气站', 3 - SUM(AI33,AJ33), '保山分输压气站', 2 - SUM(AI33,AJ33), '大铲岛分输站', 4 - SUM(AI33,AJ33), '梧州分输清管站', 2 - SUM(AI33,AJ33), '河池分输压气站', 2 - SUM(AI33,AJ33), '广州分输压气站', 2 - SUM(AI33,AJ33), '吉安联络站', 2 - SUM(AI33,AJ33), )</t>
  </si>
  <si>
    <t>=SWITCH(AL3, '贵港分输压气站', 2 - SUM(AL33,AM33), '贵阳输气站', 3 - SUM(AL33,AM33), '保山分输压气站', 2 - SUM(AL33,AM33), '大铲岛分输站', 4 - SUM(AL33,AM33), '梧州分输清管站', 2 - SUM(AL33,AM33), '河池分输压气站', 2 - SUM(AL33,AM33), '广州分输压气站', 2 - SUM(AL33,AM33), '吉安联络站', 2 - SUM(AL33,AM33), )</t>
  </si>
  <si>
    <t>=SWITCH(AO3, '贵港分输压气站', 2 - SUM(AO33,AP33), '贵阳输气站', 3 - SUM(AO33,AP33), '保山分输压气站', 2 - SUM(AO33,AP33), '大铲岛分输站', 4 - SUM(AO33,AP33), '梧州分输清管站', 2 - SUM(AO33,AP33), '河池分输压气站', 2 - SUM(AO33,AP33), '广州分输压气站', 2 - SUM(AO33,AP33), '吉安联络站', 2 - SUM(AO33,AP33), )</t>
  </si>
  <si>
    <t>=SWITCH(AR3, '贵港分输压气站', 2 - SUM(AR33,AS33), '贵阳输气站', 3 - SUM(AR33,AS33), '保山分输压气站', 2 - SUM(AR33,AS33), '大铲岛分输站', 4 - SUM(AR33,AS33), '梧州分输清管站', 2 - SUM(AR33,AS33), '河池分输压气站', 2 - SUM(AR33,AS33), '广州分输压气站', 2 - SUM(AR33,AS33), '吉安联络站', 2 - SUM(AR33,AS33), )</t>
  </si>
  <si>
    <t>=SWITCH(AU3, '贵港分输压气站', 2 - SUM(AU33,AV33), '贵阳输气站', 3 - SUM(AU33,AV33), '保山分输压气站', 2 - SUM(AU33,AV33), '大铲岛分输站', 4 - SUM(AU33,AV33), '梧州分输清管站', 2 - SUM(AU33,AV33), '河池分输压气站', 2 - SUM(AU33,AV33), '广州分输压气站', 2 - SUM(AU33,AV33), '吉安联络站', 2 - SUM(AU33,AV33), )</t>
  </si>
  <si>
    <t>=SWITCH(B3, '贵港分输压气站', 2 - SUM(B34,C34), '贵阳输气站', 3 - SUM(B34,C34), '保山分输压气站', 2 - SUM(B34,C34), '大铲岛分输站', 4 - SUM(B34,C34), '梧州分输清管站', 2 - SUM(B34,C34), '河池分输压气站', 2 - SUM(B34,C34), '广州分输压气站', 2 - SUM(B34,C34), '吉安联络站', 2 - SUM(B34,C34), )</t>
  </si>
  <si>
    <t>=SWITCH(E3, '贵港分输压气站', 2 - SUM(E34,F34), '贵阳输气站', 3 - SUM(E34,F34), '保山分输压气站', 2 - SUM(E34,F34), '大铲岛分输站', 4 - SUM(E34,F34), '梧州分输清管站', 2 - SUM(E34,F34), '河池分输压气站', 2 - SUM(E34,F34), '广州分输压气站', 2 - SUM(E34,F34), '吉安联络站', 2 - SUM(E34,F34), )</t>
  </si>
  <si>
    <t>=SWITCH(H3, '贵港分输压气站', 2 - SUM(H34,I34), '贵阳输气站', 3 - SUM(H34,I34), '保山分输压气站', 2 - SUM(H34,I34), '大铲岛分输站', 4 - SUM(H34,I34), '梧州分输清管站', 2 - SUM(H34,I34), '河池分输压气站', 2 - SUM(H34,I34), '广州分输压气站', 2 - SUM(H34,I34), '吉安联络站', 2 - SUM(H34,I34), )</t>
  </si>
  <si>
    <t>=SWITCH(K3, '贵港分输压气站', 2 - SUM(K34,L34), '贵阳输气站', 3 - SUM(K34,L34), '保山分输压气站', 2 - SUM(K34,L34), '大铲岛分输站', 4 - SUM(K34,L34), '梧州分输清管站', 2 - SUM(K34,L34), '河池分输压气站', 2 - SUM(K34,L34), '广州分输压气站', 2 - SUM(K34,L34), '吉安联络站', 2 - SUM(K34,L34), )</t>
  </si>
  <si>
    <t>=SWITCH(N3, '贵港分输压气站', 2 - SUM(N34,O34), '贵阳输气站', 3 - SUM(N34,O34), '保山分输压气站', 2 - SUM(N34,O34), '大铲岛分输站', 4 - SUM(N34,O34), '梧州分输清管站', 2 - SUM(N34,O34), '河池分输压气站', 2 - SUM(N34,O34), '广州分输压气站', 2 - SUM(N34,O34), '吉安联络站', 2 - SUM(N34,O34), )</t>
  </si>
  <si>
    <t>=SWITCH(Q3, '贵港分输压气站', 2 - SUM(Q34,R34), '贵阳输气站', 3 - SUM(Q34,R34), '保山分输压气站', 2 - SUM(Q34,R34), '大铲岛分输站', 4 - SUM(Q34,R34), '梧州分输清管站', 2 - SUM(Q34,R34), '河池分输压气站', 2 - SUM(Q34,R34), '广州分输压气站', 2 - SUM(Q34,R34), '吉安联络站', 2 - SUM(Q34,R34), )</t>
  </si>
  <si>
    <t>=SWITCH(T3, '贵港分输压气站', 2 - SUM(T34,U34), '贵阳输气站', 3 - SUM(T34,U34), '保山分输压气站', 2 - SUM(T34,U34), '大铲岛分输站', 4 - SUM(T34,U34), '梧州分输清管站', 2 - SUM(T34,U34), '河池分输压气站', 2 - SUM(T34,U34), '广州分输压气站', 2 - SUM(T34,U34), '吉安联络站', 2 - SUM(T34,U34), )</t>
  </si>
  <si>
    <t>=SWITCH(W3, '贵港分输压气站', 2 - SUM(W34,X34), '贵阳输气站', 3 - SUM(W34,X34), '保山分输压气站', 2 - SUM(W34,X34), '大铲岛分输站', 4 - SUM(W34,X34), '梧州分输清管站', 2 - SUM(W34,X34), '河池分输压气站', 2 - SUM(W34,X34), '广州分输压气站', 2 - SUM(W34,X34), '吉安联络站', 2 - SUM(W34,X34), )</t>
  </si>
  <si>
    <t>=SWITCH(Z3, '贵港分输压气站', 2 - SUM(Z34,AA34), '贵阳输气站', 3 - SUM(Z34,AA34), '保山分输压气站', 2 - SUM(Z34,AA34), '大铲岛分输站', 4 - SUM(Z34,AA34), '梧州分输清管站', 2 - SUM(Z34,AA34), '河池分输压气站', 2 - SUM(Z34,AA34), '广州分输压气站', 2 - SUM(Z34,AA34), '吉安联络站', 2 - SUM(Z34,AA34), )</t>
  </si>
  <si>
    <t>=SWITCH(AC3, '贵港分输压气站', 2 - SUM(AC34,AD34), '贵阳输气站', 3 - SUM(AC34,AD34), '保山分输压气站', 2 - SUM(AC34,AD34), '大铲岛分输站', 4 - SUM(AC34,AD34), '梧州分输清管站', 2 - SUM(AC34,AD34), '河池分输压气站', 2 - SUM(AC34,AD34), '广州分输压气站', 2 - SUM(AC34,AD34), '吉安联络站', 2 - SUM(AC34,AD34), )</t>
  </si>
  <si>
    <t>=SWITCH(AF3, '贵港分输压气站', 2 - SUM(AF34,AG34), '贵阳输气站', 3 - SUM(AF34,AG34), '保山分输压气站', 2 - SUM(AF34,AG34), '大铲岛分输站', 4 - SUM(AF34,AG34), '梧州分输清管站', 2 - SUM(AF34,AG34), '河池分输压气站', 2 - SUM(AF34,AG34), '广州分输压气站', 2 - SUM(AF34,AG34), '吉安联络站', 2 - SUM(AF34,AG34), )</t>
  </si>
  <si>
    <t>=SWITCH(AI3, '贵港分输压气站', 2 - SUM(AI34,AJ34), '贵阳输气站', 3 - SUM(AI34,AJ34), '保山分输压气站', 2 - SUM(AI34,AJ34), '大铲岛分输站', 4 - SUM(AI34,AJ34), '梧州分输清管站', 2 - SUM(AI34,AJ34), '河池分输压气站', 2 - SUM(AI34,AJ34), '广州分输压气站', 2 - SUM(AI34,AJ34), '吉安联络站', 2 - SUM(AI34,AJ34), )</t>
  </si>
  <si>
    <t>=SWITCH(AL3, '贵港分输压气站', 2 - SUM(AL34,AM34), '贵阳输气站', 3 - SUM(AL34,AM34), '保山分输压气站', 2 - SUM(AL34,AM34), '大铲岛分输站', 4 - SUM(AL34,AM34), '梧州分输清管站', 2 - SUM(AL34,AM34), '河池分输压气站', 2 - SUM(AL34,AM34), '广州分输压气站', 2 - SUM(AL34,AM34), '吉安联络站', 2 - SUM(AL34,AM34), )</t>
  </si>
  <si>
    <t>=SWITCH(AO3, '贵港分输压气站', 2 - SUM(AO34,AP34), '贵阳输气站', 3 - SUM(AO34,AP34), '保山分输压气站', 2 - SUM(AO34,AP34), '大铲岛分输站', 4 - SUM(AO34,AP34), '梧州分输清管站', 2 - SUM(AO34,AP34), '河池分输压气站', 2 - SUM(AO34,AP34), '广州分输压气站', 2 - SUM(AO34,AP34), '吉安联络站', 2 - SUM(AO34,AP34), )</t>
  </si>
  <si>
    <t>=SWITCH(AR3, '贵港分输压气站', 2 - SUM(AR34,AS34), '贵阳输气站', 3 - SUM(AR34,AS34), '保山分输压气站', 2 - SUM(AR34,AS34), '大铲岛分输站', 4 - SUM(AR34,AS34), '梧州分输清管站', 2 - SUM(AR34,AS34), '河池分输压气站', 2 - SUM(AR34,AS34), '广州分输压气站', 2 - SUM(AR34,AS34), '吉安联络站', 2 - SUM(AR34,AS34), )</t>
  </si>
  <si>
    <t>=SWITCH(AU3, '贵港分输压气站', 2 - SUM(AU34,AV34), '贵阳输气站', 3 - SUM(AU34,AV34), '保山分输压气站', 2 - SUM(AU34,AV34), '大铲岛分输站', 4 - SUM(AU34,AV34), '梧州分输清管站', 2 - SUM(AU34,AV34), '河池分输压气站', 2 - SUM(AU34,AV34), '广州分输压气站', 2 - SUM(AU34,AV34), '吉安联络站', 2 - SUM(AU34,AV34), )</t>
  </si>
  <si>
    <t>=SWITCH(B3, '贵港分输压气站', 2 - SUM(B35,C35), '贵阳输气站', 3 - SUM(B35,C35), '保山分输压气站', 2 - SUM(B35,C35), '大铲岛分输站', 4 - SUM(B35,C35), '梧州分输清管站', 2 - SUM(B35,C35), '河池分输压气站', 2 - SUM(B35,C35), '广州分输压气站', 2 - SUM(B35,C35), '吉安联络站', 2 - SUM(B35,C35), )</t>
  </si>
  <si>
    <t>=SWITCH(E3, '贵港分输压气站', 2 - SUM(E35,F35), '贵阳输气站', 3 - SUM(E35,F35), '保山分输压气站', 2 - SUM(E35,F35), '大铲岛分输站', 4 - SUM(E35,F35), '梧州分输清管站', 2 - SUM(E35,F35), '河池分输压气站', 2 - SUM(E35,F35), '广州分输压气站', 2 - SUM(E35,F35), '吉安联络站', 2 - SUM(E35,F35), )</t>
  </si>
  <si>
    <t>=SWITCH(H3, '贵港分输压气站', 2 - SUM(H35,I35), '贵阳输气站', 3 - SUM(H35,I35), '保山分输压气站', 2 - SUM(H35,I35), '大铲岛分输站', 4 - SUM(H35,I35), '梧州分输清管站', 2 - SUM(H35,I35), '河池分输压气站', 2 - SUM(H35,I35), '广州分输压气站', 2 - SUM(H35,I35), '吉安联络站', 2 - SUM(H35,I35), )</t>
  </si>
  <si>
    <t>=SWITCH(K3, '贵港分输压气站', 2 - SUM(K35,L35), '贵阳输气站', 3 - SUM(K35,L35), '保山分输压气站', 2 - SUM(K35,L35), '大铲岛分输站', 4 - SUM(K35,L35), '梧州分输清管站', 2 - SUM(K35,L35), '河池分输压气站', 2 - SUM(K35,L35), '广州分输压气站', 2 - SUM(K35,L35), '吉安联络站', 2 - SUM(K35,L35), )</t>
  </si>
  <si>
    <t>=SWITCH(N3, '贵港分输压气站', 2 - SUM(N35,O35), '贵阳输气站', 3 - SUM(N35,O35), '保山分输压气站', 2 - SUM(N35,O35), '大铲岛分输站', 4 - SUM(N35,O35), '梧州分输清管站', 2 - SUM(N35,O35), '河池分输压气站', 2 - SUM(N35,O35), '广州分输压气站', 2 - SUM(N35,O35), '吉安联络站', 2 - SUM(N35,O35), )</t>
  </si>
  <si>
    <t>=SWITCH(Q3, '贵港分输压气站', 2 - SUM(Q35,R35), '贵阳输气站', 3 - SUM(Q35,R35), '保山分输压气站', 2 - SUM(Q35,R35), '大铲岛分输站', 4 - SUM(Q35,R35), '梧州分输清管站', 2 - SUM(Q35,R35), '河池分输压气站', 2 - SUM(Q35,R35), '广州分输压气站', 2 - SUM(Q35,R35), '吉安联络站', 2 - SUM(Q35,R35), )</t>
  </si>
  <si>
    <t>=SWITCH(T3, '贵港分输压气站', 2 - SUM(T35,U35), '贵阳输气站', 3 - SUM(T35,U35), '保山分输压气站', 2 - SUM(T35,U35), '大铲岛分输站', 4 - SUM(T35,U35), '梧州分输清管站', 2 - SUM(T35,U35), '河池分输压气站', 2 - SUM(T35,U35), '广州分输压气站', 2 - SUM(T35,U35), '吉安联络站', 2 - SUM(T35,U35), )</t>
  </si>
  <si>
    <t>=SWITCH(W3, '贵港分输压气站', 2 - SUM(W35,X35), '贵阳输气站', 3 - SUM(W35,X35), '保山分输压气站', 2 - SUM(W35,X35), '大铲岛分输站', 4 - SUM(W35,X35), '梧州分输清管站', 2 - SUM(W35,X35), '河池分输压气站', 2 - SUM(W35,X35), '广州分输压气站', 2 - SUM(W35,X35), '吉安联络站', 2 - SUM(W35,X35), )</t>
  </si>
  <si>
    <t>=SWITCH(Z3, '贵港分输压气站', 2 - SUM(Z35,AA35), '贵阳输气站', 3 - SUM(Z35,AA35), '保山分输压气站', 2 - SUM(Z35,AA35), '大铲岛分输站', 4 - SUM(Z35,AA35), '梧州分输清管站', 2 - SUM(Z35,AA35), '河池分输压气站', 2 - SUM(Z35,AA35), '广州分输压气站', 2 - SUM(Z35,AA35), '吉安联络站', 2 - SUM(Z35,AA35), )</t>
  </si>
  <si>
    <t>=SWITCH(AC3, '贵港分输压气站', 2 - SUM(AC35,AD35), '贵阳输气站', 3 - SUM(AC35,AD35), '保山分输压气站', 2 - SUM(AC35,AD35), '大铲岛分输站', 4 - SUM(AC35,AD35), '梧州分输清管站', 2 - SUM(AC35,AD35), '河池分输压气站', 2 - SUM(AC35,AD35), '广州分输压气站', 2 - SUM(AC35,AD35), '吉安联络站', 2 - SUM(AC35,AD35), )</t>
  </si>
  <si>
    <t>=SWITCH(AF3, '贵港分输压气站', 2 - SUM(AF35,AG35), '贵阳输气站', 3 - SUM(AF35,AG35), '保山分输压气站', 2 - SUM(AF35,AG35), '大铲岛分输站', 4 - SUM(AF35,AG35), '梧州分输清管站', 2 - SUM(AF35,AG35), '河池分输压气站', 2 - SUM(AF35,AG35), '广州分输压气站', 2 - SUM(AF35,AG35), '吉安联络站', 2 - SUM(AF35,AG35), )</t>
  </si>
  <si>
    <t>=SWITCH(AI3, '贵港分输压气站', 2 - SUM(AI35,AJ35), '贵阳输气站', 3 - SUM(AI35,AJ35), '保山分输压气站', 2 - SUM(AI35,AJ35), '大铲岛分输站', 4 - SUM(AI35,AJ35), '梧州分输清管站', 2 - SUM(AI35,AJ35), '河池分输压气站', 2 - SUM(AI35,AJ35), '广州分输压气站', 2 - SUM(AI35,AJ35), '吉安联络站', 2 - SUM(AI35,AJ35), )</t>
  </si>
  <si>
    <t>=SWITCH(AL3, '贵港分输压气站', 2 - SUM(AL35,AM35), '贵阳输气站', 3 - SUM(AL35,AM35), '保山分输压气站', 2 - SUM(AL35,AM35), '大铲岛分输站', 4 - SUM(AL35,AM35), '梧州分输清管站', 2 - SUM(AL35,AM35), '河池分输压气站', 2 - SUM(AL35,AM35), '广州分输压气站', 2 - SUM(AL35,AM35), '吉安联络站', 2 - SUM(AL35,AM35), )</t>
  </si>
  <si>
    <t>=SWITCH(AO3, '贵港分输压气站', 2 - SUM(AO35,AP35), '贵阳输气站', 3 - SUM(AO35,AP35), '保山分输压气站', 2 - SUM(AO35,AP35), '大铲岛分输站', 4 - SUM(AO35,AP35), '梧州分输清管站', 2 - SUM(AO35,AP35), '河池分输压气站', 2 - SUM(AO35,AP35), '广州分输压气站', 2 - SUM(AO35,AP35), '吉安联络站', 2 - SUM(AO35,AP35), )</t>
  </si>
  <si>
    <t>=SWITCH(AR3, '贵港分输压气站', 2 - SUM(AR35,AS35), '贵阳输气站', 3 - SUM(AR35,AS35), '保山分输压气站', 2 - SUM(AR35,AS35), '大铲岛分输站', 4 - SUM(AR35,AS35), '梧州分输清管站', 2 - SUM(AR35,AS35), '河池分输压气站', 2 - SUM(AR35,AS35), '广州分输压气站', 2 - SUM(AR35,AS35), '吉安联络站', 2 - SUM(AR35,AS35), )</t>
  </si>
  <si>
    <t>=SWITCH(AU3, '贵港分输压气站', 2 - SUM(AU35,AV35), '贵阳输气站', 3 - SUM(AU35,AV35), '保山分输压气站', 2 - SUM(AU35,AV35), '大铲岛分输站', 4 - SUM(AU35,AV35), '梧州分输清管站', 2 - SUM(AU35,AV35), '河池分输压气站', 2 - SUM(AU35,AV35), '广州分输压气站', 2 - SUM(AU35,AV35), '吉安联络站', 2 - SUM(AU35,AV35), )</t>
  </si>
  <si>
    <t>=SWITCH(B3, '贵港分输压气站', 2 - SUM(B36,C36), '贵阳输气站', 3 - SUM(B36,C36), '保山分输压气站', 2 - SUM(B36,C36), '大铲岛分输站', 4 - SUM(B36,C36), '梧州分输清管站', 2 - SUM(B36,C36), '河池分输压气站', 2 - SUM(B36,C36), '广州分输压气站', 2 - SUM(B36,C36), '吉安联络站', 2 - SUM(B36,C36), )</t>
  </si>
  <si>
    <t>=SWITCH(E3, '贵港分输压气站', 2 - SUM(E36,F36), '贵阳输气站', 3 - SUM(E36,F36), '保山分输压气站', 2 - SUM(E36,F36), '大铲岛分输站', 4 - SUM(E36,F36), '梧州分输清管站', 2 - SUM(E36,F36), '河池分输压气站', 2 - SUM(E36,F36), '广州分输压气站', 2 - SUM(E36,F36), '吉安联络站', 2 - SUM(E36,F36), )</t>
  </si>
  <si>
    <t>=SWITCH(H3, '贵港分输压气站', 2 - SUM(H36,I36), '贵阳输气站', 3 - SUM(H36,I36), '保山分输压气站', 2 - SUM(H36,I36), '大铲岛分输站', 4 - SUM(H36,I36), '梧州分输清管站', 2 - SUM(H36,I36), '河池分输压气站', 2 - SUM(H36,I36), '广州分输压气站', 2 - SUM(H36,I36), '吉安联络站', 2 - SUM(H36,I36), )</t>
  </si>
  <si>
    <t>=SWITCH(K3, '贵港分输压气站', 2 - SUM(K36,L36), '贵阳输气站', 3 - SUM(K36,L36), '保山分输压气站', 2 - SUM(K36,L36), '大铲岛分输站', 4 - SUM(K36,L36), '梧州分输清管站', 2 - SUM(K36,L36), '河池分输压气站', 2 - SUM(K36,L36), '广州分输压气站', 2 - SUM(K36,L36), '吉安联络站', 2 - SUM(K36,L36), )</t>
  </si>
  <si>
    <t>=SWITCH(N3, '贵港分输压气站', 2 - SUM(N36,O36), '贵阳输气站', 3 - SUM(N36,O36), '保山分输压气站', 2 - SUM(N36,O36), '大铲岛分输站', 4 - SUM(N36,O36), '梧州分输清管站', 2 - SUM(N36,O36), '河池分输压气站', 2 - SUM(N36,O36), '广州分输压气站', 2 - SUM(N36,O36), '吉安联络站', 2 - SUM(N36,O36), )</t>
  </si>
  <si>
    <t>=SWITCH(Q3, '贵港分输压气站', 2 - SUM(Q36,R36), '贵阳输气站', 3 - SUM(Q36,R36), '保山分输压气站', 2 - SUM(Q36,R36), '大铲岛分输站', 4 - SUM(Q36,R36), '梧州分输清管站', 2 - SUM(Q36,R36), '河池分输压气站', 2 - SUM(Q36,R36), '广州分输压气站', 2 - SUM(Q36,R36), '吉安联络站', 2 - SUM(Q36,R36), )</t>
  </si>
  <si>
    <t>=SWITCH(T3, '贵港分输压气站', 2 - SUM(T36,U36), '贵阳输气站', 3 - SUM(T36,U36), '保山分输压气站', 2 - SUM(T36,U36), '大铲岛分输站', 4 - SUM(T36,U36), '梧州分输清管站', 2 - SUM(T36,U36), '河池分输压气站', 2 - SUM(T36,U36), '广州分输压气站', 2 - SUM(T36,U36), '吉安联络站', 2 - SUM(T36,U36), )</t>
  </si>
  <si>
    <t>=SWITCH(W3, '贵港分输压气站', 2 - SUM(W36,X36), '贵阳输气站', 3 - SUM(W36,X36), '保山分输压气站', 2 - SUM(W36,X36), '大铲岛分输站', 4 - SUM(W36,X36), '梧州分输清管站', 2 - SUM(W36,X36), '河池分输压气站', 2 - SUM(W36,X36), '广州分输压气站', 2 - SUM(W36,X36), '吉安联络站', 2 - SUM(W36,X36), )</t>
  </si>
  <si>
    <t>=SWITCH(Z3, '贵港分输压气站', 2 - SUM(Z36,AA36), '贵阳输气站', 3 - SUM(Z36,AA36), '保山分输压气站', 2 - SUM(Z36,AA36), '大铲岛分输站', 4 - SUM(Z36,AA36), '梧州分输清管站', 2 - SUM(Z36,AA36), '河池分输压气站', 2 - SUM(Z36,AA36), '广州分输压气站', 2 - SUM(Z36,AA36), '吉安联络站', 2 - SUM(Z36,AA36), )</t>
  </si>
  <si>
    <t>=SWITCH(AC3, '贵港分输压气站', 2 - SUM(AC36,AD36), '贵阳输气站', 3 - SUM(AC36,AD36), '保山分输压气站', 2 - SUM(AC36,AD36), '大铲岛分输站', 4 - SUM(AC36,AD36), '梧州分输清管站', 2 - SUM(AC36,AD36), '河池分输压气站', 2 - SUM(AC36,AD36), '广州分输压气站', 2 - SUM(AC36,AD36), '吉安联络站', 2 - SUM(AC36,AD36), )</t>
  </si>
  <si>
    <t>=SWITCH(AF3, '贵港分输压气站', 2 - SUM(AF36,AG36), '贵阳输气站', 3 - SUM(AF36,AG36), '保山分输压气站', 2 - SUM(AF36,AG36), '大铲岛分输站', 4 - SUM(AF36,AG36), '梧州分输清管站', 2 - SUM(AF36,AG36), '河池分输压气站', 2 - SUM(AF36,AG36), '广州分输压气站', 2 - SUM(AF36,AG36), '吉安联络站', 2 - SUM(AF36,AG36), )</t>
  </si>
  <si>
    <t>=SWITCH(AI3, '贵港分输压气站', 2 - SUM(AI36,AJ36), '贵阳输气站', 3 - SUM(AI36,AJ36), '保山分输压气站', 2 - SUM(AI36,AJ36), '大铲岛分输站', 4 - SUM(AI36,AJ36), '梧州分输清管站', 2 - SUM(AI36,AJ36), '河池分输压气站', 2 - SUM(AI36,AJ36), '广州分输压气站', 2 - SUM(AI36,AJ36), '吉安联络站', 2 - SUM(AI36,AJ36), )</t>
  </si>
  <si>
    <t>=SWITCH(AL3, '贵港分输压气站', 2 - SUM(AL36,AM36), '贵阳输气站', 3 - SUM(AL36,AM36), '保山分输压气站', 2 - SUM(AL36,AM36), '大铲岛分输站', 4 - SUM(AL36,AM36), '梧州分输清管站', 2 - SUM(AL36,AM36), '河池分输压气站', 2 - SUM(AL36,AM36), '广州分输压气站', 2 - SUM(AL36,AM36), '吉安联络站', 2 - SUM(AL36,AM36), )</t>
  </si>
  <si>
    <t>=SWITCH(AO3, '贵港分输压气站', 2 - SUM(AO36,AP36), '贵阳输气站', 3 - SUM(AO36,AP36), '保山分输压气站', 2 - SUM(AO36,AP36), '大铲岛分输站', 4 - SUM(AO36,AP36), '梧州分输清管站', 2 - SUM(AO36,AP36), '河池分输压气站', 2 - SUM(AO36,AP36), '广州分输压气站', 2 - SUM(AO36,AP36), '吉安联络站', 2 - SUM(AO36,AP36), )</t>
  </si>
  <si>
    <t>=SWITCH(AR3, '贵港分输压气站', 2 - SUM(AR36,AS36), '贵阳输气站', 3 - SUM(AR36,AS36), '保山分输压气站', 2 - SUM(AR36,AS36), '大铲岛分输站', 4 - SUM(AR36,AS36), '梧州分输清管站', 2 - SUM(AR36,AS36), '河池分输压气站', 2 - SUM(AR36,AS36), '广州分输压气站', 2 - SUM(AR36,AS36), '吉安联络站', 2 - SUM(AR36,AS36), )</t>
  </si>
  <si>
    <t>=SWITCH(AU3, '贵港分输压气站', 2 - SUM(AU36,AV36), '贵阳输气站', 3 - SUM(AU36,AV36), '保山分输压气站', 2 - SUM(AU36,AV36), '大铲岛分输站', 4 - SUM(AU36,AV36), '梧州分输清管站', 2 - SUM(AU36,AV36), '河池分输压气站', 2 - SUM(AU36,AV36), '广州分输压气站', 2 - SUM(AU36,AV36), '吉安联络站', 2 - SUM(AU36,AV36), )</t>
  </si>
  <si>
    <t>气质组分台账</t>
  </si>
  <si>
    <t>气源</t>
  </si>
  <si>
    <t>组分</t>
  </si>
  <si>
    <t>标准</t>
  </si>
  <si>
    <t>水露点 (°C)</t>
  </si>
  <si>
    <t>≤ -5°C 10MPa下</t>
  </si>
  <si>
    <t>烃露点 (°C)</t>
  </si>
  <si>
    <t>≤ -5°C 6.9MPa下</t>
  </si>
  <si>
    <t>CH4 (%)</t>
  </si>
  <si>
    <t>&gt; 97%</t>
  </si>
  <si>
    <t>C2H6 (%)</t>
  </si>
  <si>
    <t>C3H8 (%)</t>
  </si>
  <si>
    <t>i-C4H10 (%)</t>
  </si>
  <si>
    <t>n-C4H10 (%)</t>
  </si>
  <si>
    <t>i-C5H12 (%)</t>
  </si>
  <si>
    <t>n-C5H12 (%)</t>
  </si>
  <si>
    <t>C6+ (%)</t>
  </si>
  <si>
    <t>C5+ (%)</t>
  </si>
  <si>
    <t>≤ 0.08%</t>
  </si>
  <si>
    <t>H2S (mg/Sm3)</t>
  </si>
  <si>
    <t>≤ 15 mg/Sm3</t>
  </si>
  <si>
    <t>CO2 (%)</t>
  </si>
  <si>
    <t>≤ 2.5%</t>
  </si>
  <si>
    <t>总硫 (mg/Sm3)</t>
  </si>
  <si>
    <t>≤ 100 mg/Sm3</t>
  </si>
  <si>
    <t>O2 (%)</t>
  </si>
  <si>
    <t>≤ 0.5%</t>
  </si>
  <si>
    <t>Hg (μg/Sm3)</t>
  </si>
  <si>
    <t>≤ 50 μg/Sm3</t>
  </si>
  <si>
    <t>N2 (%)</t>
  </si>
  <si>
    <t>高位发热值 (MJ/Nm3)</t>
  </si>
  <si>
    <t>"≥ 35.3962 MJ/Nm3</t>
  </si>
  <si>
    <t>≥ 34.0 MJ/Nm3</t>
  </si>
  <si>
    <t>≤ 20 mg/m3</t>
  </si>
  <si>
    <t>≤ 6 mg/m3</t>
  </si>
  <si>
    <t>≤ 3.0%</t>
  </si>
  <si>
    <t>≤ 0.1%</t>
  </si>
  <si>
    <t>相对密度</t>
  </si>
  <si>
    <t>绝对密度 (kg/m3)</t>
  </si>
  <si>
    <t>粤东LNG接收站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</si>
</sst>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0"/>
    <numFmt numFmtId="178" formatCode="#0"/>
    <numFmt numFmtId="179" formatCode="#0.00"/>
    <numFmt numFmtId="180" formatCode="#0.000"/>
    <numFmt numFmtId="181" formatCode="0_ "/>
  </numFmts>
  <fonts count="39">
    <font>
      <sz val="11"/>
      <color indexed="8"/>
      <name val="宋体"/>
      <charset val="1"/>
      <scheme val="minor"/>
    </font>
    <font>
      <b/>
      <sz val="15"/>
      <color rgb="FF000000"/>
      <name val="宋体"/>
      <charset val="134"/>
    </font>
    <font>
      <sz val="9"/>
      <color rgb="FF000000"/>
      <name val="宋体"/>
      <charset val="134"/>
    </font>
    <font>
      <sz val="9"/>
      <color rgb="FF000000"/>
      <name val="simhei"/>
      <charset val="134"/>
    </font>
    <font>
      <sz val="9"/>
      <color rgb="FF000000"/>
      <name val="SimSun"/>
      <charset val="134"/>
    </font>
    <font>
      <b/>
      <sz val="12"/>
      <color rgb="FF000000"/>
      <name val="等线"/>
      <charset val="134"/>
    </font>
    <font>
      <b/>
      <sz val="10"/>
      <color rgb="FF000000"/>
      <name val="等线"/>
      <charset val="134"/>
    </font>
    <font>
      <sz val="9"/>
      <color rgb="FF000000"/>
      <name val="等线"/>
      <charset val="134"/>
    </font>
    <font>
      <b/>
      <sz val="13"/>
      <color rgb="FF000000"/>
      <name val="等线"/>
      <charset val="134"/>
    </font>
    <font>
      <sz val="10"/>
      <color rgb="FF000000"/>
      <name val="等线"/>
      <charset val="134"/>
    </font>
    <font>
      <b/>
      <sz val="9"/>
      <color rgb="FF000000"/>
      <name val="等线"/>
      <charset val="134"/>
    </font>
    <font>
      <sz val="10"/>
      <color rgb="FFEA4431"/>
      <name val="等线"/>
      <charset val="134"/>
    </font>
    <font>
      <sz val="9"/>
      <name val="SimSun"/>
      <charset val="134"/>
    </font>
    <font>
      <sz val="11"/>
      <name val="SimSun"/>
      <charset val="134"/>
    </font>
    <font>
      <sz val="10"/>
      <color rgb="FF000000"/>
      <name val="simhei"/>
      <charset val="134"/>
    </font>
    <font>
      <b/>
      <sz val="9"/>
      <color rgb="FF000000"/>
      <name val="宋体"/>
      <charset val="134"/>
    </font>
    <font>
      <sz val="9"/>
      <color rgb="FFEA443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Dialog.plain"/>
      <charset val="134"/>
    </font>
    <font>
      <b/>
      <sz val="10"/>
      <color rgb="FF000000"/>
      <name val="Dialog.bold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7F492"/>
        <bgColor rgb="FFF7F492"/>
      </patternFill>
    </fill>
    <fill>
      <patternFill patternType="solid">
        <fgColor rgb="FFDCE6F1"/>
        <bgColor rgb="FFDCE6F1"/>
      </patternFill>
    </fill>
    <fill>
      <patternFill patternType="solid">
        <fgColor rgb="FFC9CAFC"/>
        <bgColor rgb="FFC9CAFC"/>
      </patternFill>
    </fill>
    <fill>
      <patternFill patternType="solid">
        <fgColor rgb="FFF8CBAC"/>
        <bgColor rgb="FFF8CBA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BCD6EE"/>
        <bgColor rgb="FFBCD6EE"/>
      </patternFill>
    </fill>
    <fill>
      <patternFill patternType="solid">
        <fgColor rgb="FFF8CBAD"/>
        <bgColor rgb="FFF8CBAD"/>
      </patternFill>
    </fill>
    <fill>
      <patternFill patternType="solid">
        <fgColor rgb="FFB3B3B3"/>
        <bgColor rgb="FFB3B3B3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5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6" borderId="7" applyNumberFormat="0" applyAlignment="0" applyProtection="0">
      <alignment vertical="center"/>
    </xf>
    <xf numFmtId="0" fontId="27" fillId="17" borderId="8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9" fillId="18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</cellStyleXfs>
  <cellXfs count="70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right" vertical="center" wrapText="1"/>
    </xf>
    <xf numFmtId="178" fontId="7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Border="1" applyAlignment="1">
      <alignment vertical="center" wrapText="1"/>
    </xf>
    <xf numFmtId="177" fontId="7" fillId="0" borderId="1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78" fontId="10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78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9" fontId="7" fillId="5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179" fontId="7" fillId="4" borderId="1" xfId="0" applyNumberFormat="1" applyFont="1" applyFill="1" applyBorder="1" applyAlignment="1">
      <alignment horizontal="center" vertical="center" wrapText="1"/>
    </xf>
    <xf numFmtId="180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80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81" fontId="0" fillId="0" borderId="0" xfId="0" applyNumberFormat="1" applyFont="1">
      <alignment vertical="center"/>
    </xf>
    <xf numFmtId="178" fontId="6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78" fontId="9" fillId="9" borderId="1" xfId="0" applyNumberFormat="1" applyFont="1" applyFill="1" applyBorder="1" applyAlignment="1">
      <alignment horizontal="right" vertical="center" wrapText="1"/>
    </xf>
    <xf numFmtId="178" fontId="9" fillId="0" borderId="1" xfId="0" applyNumberFormat="1" applyFont="1" applyBorder="1" applyAlignment="1">
      <alignment horizontal="right" vertical="center" wrapText="1"/>
    </xf>
    <xf numFmtId="178" fontId="11" fillId="0" borderId="1" xfId="0" applyNumberFormat="1" applyFont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78" fontId="9" fillId="11" borderId="1" xfId="0" applyNumberFormat="1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176" fontId="3" fillId="0" borderId="0" xfId="0" applyNumberFormat="1" applyFont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178" fontId="9" fillId="6" borderId="1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181" fontId="0" fillId="13" borderId="2" xfId="0" applyNumberFormat="1" applyFont="1" applyFill="1" applyBorder="1" applyAlignment="1">
      <alignment horizontal="center" vertical="center"/>
    </xf>
    <xf numFmtId="181" fontId="0" fillId="0" borderId="2" xfId="0" applyNumberFormat="1" applyFont="1" applyBorder="1" applyAlignment="1">
      <alignment horizontal="center" vertical="center"/>
    </xf>
    <xf numFmtId="181" fontId="13" fillId="0" borderId="2" xfId="0" applyNumberFormat="1" applyFont="1" applyBorder="1" applyAlignment="1">
      <alignment horizontal="center" vertical="center" wrapText="1"/>
    </xf>
    <xf numFmtId="181" fontId="13" fillId="13" borderId="2" xfId="0" applyNumberFormat="1" applyFont="1" applyFill="1" applyBorder="1" applyAlignment="1">
      <alignment horizontal="center" vertical="center" wrapText="1"/>
    </xf>
    <xf numFmtId="181" fontId="13" fillId="13" borderId="3" xfId="0" applyNumberFormat="1" applyFont="1" applyFill="1" applyBorder="1" applyAlignment="1">
      <alignment horizontal="center" vertical="center" wrapText="1"/>
    </xf>
    <xf numFmtId="181" fontId="12" fillId="0" borderId="0" xfId="0" applyNumberFormat="1" applyFont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178" fontId="9" fillId="14" borderId="1" xfId="0" applyNumberFormat="1" applyFont="1" applyFill="1" applyBorder="1" applyAlignment="1">
      <alignment horizontal="right" vertical="center" wrapText="1"/>
    </xf>
    <xf numFmtId="178" fontId="9" fillId="6" borderId="0" xfId="0" applyNumberFormat="1" applyFont="1" applyFill="1" applyBorder="1" applyAlignment="1">
      <alignment horizontal="right" vertical="center" wrapText="1"/>
    </xf>
    <xf numFmtId="0" fontId="3" fillId="14" borderId="1" xfId="0" applyFont="1" applyFill="1" applyBorder="1" applyAlignment="1">
      <alignment horizontal="right" vertical="center" wrapText="1"/>
    </xf>
    <xf numFmtId="0" fontId="6" fillId="14" borderId="1" xfId="0" applyFont="1" applyFill="1" applyBorder="1" applyAlignment="1">
      <alignment horizontal="center" vertical="center" wrapText="1"/>
    </xf>
    <xf numFmtId="178" fontId="9" fillId="1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78" fontId="16" fillId="0" borderId="1" xfId="0" applyNumberFormat="1" applyFont="1" applyBorder="1" applyAlignment="1">
      <alignment horizontal="right" vertical="center" wrapText="1"/>
    </xf>
    <xf numFmtId="0" fontId="15" fillId="9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workbookViewId="0">
      <selection activeCell="A1" sqref="A1:Q1"/>
    </sheetView>
  </sheetViews>
  <sheetFormatPr defaultColWidth="10" defaultRowHeight="13.5"/>
  <cols>
    <col min="1" max="1" width="13.3333333333333" customWidth="1"/>
    <col min="2" max="17" width="11.2833333333333" customWidth="1"/>
  </cols>
  <sheetData>
    <row r="1" ht="32.4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5.6" customHeight="1" spans="1:17">
      <c r="A2" s="66" t="s">
        <v>1</v>
      </c>
      <c r="B2" s="67" t="s">
        <v>2</v>
      </c>
      <c r="C2" s="67"/>
      <c r="D2" s="67"/>
      <c r="E2" s="67"/>
      <c r="F2" s="67"/>
      <c r="G2" s="67"/>
      <c r="H2" s="67"/>
      <c r="I2" s="67"/>
      <c r="J2" s="69" t="s">
        <v>3</v>
      </c>
      <c r="K2" s="69"/>
      <c r="L2" s="69"/>
      <c r="M2" s="69"/>
      <c r="N2" s="69"/>
      <c r="O2" s="69"/>
      <c r="P2" s="69"/>
      <c r="Q2" s="69"/>
    </row>
    <row r="3" ht="25.6" customHeight="1" spans="1:17">
      <c r="A3" s="66"/>
      <c r="B3" s="67" t="s">
        <v>4</v>
      </c>
      <c r="C3" s="66" t="s">
        <v>5</v>
      </c>
      <c r="D3" s="66" t="s">
        <v>6</v>
      </c>
      <c r="E3" s="66" t="s">
        <v>7</v>
      </c>
      <c r="F3" s="66"/>
      <c r="G3" s="66"/>
      <c r="H3" s="66"/>
      <c r="I3" s="66"/>
      <c r="J3" s="69" t="s">
        <v>8</v>
      </c>
      <c r="K3" s="66" t="s">
        <v>5</v>
      </c>
      <c r="L3" s="66" t="s">
        <v>9</v>
      </c>
      <c r="M3" s="66" t="s">
        <v>7</v>
      </c>
      <c r="N3" s="66"/>
      <c r="O3" s="66"/>
      <c r="P3" s="66"/>
      <c r="Q3" s="66"/>
    </row>
    <row r="4" ht="25.6" customHeight="1" spans="1:17">
      <c r="A4" s="66"/>
      <c r="B4" s="67"/>
      <c r="C4" s="66"/>
      <c r="D4" s="66"/>
      <c r="E4" s="67" t="s">
        <v>10</v>
      </c>
      <c r="F4" s="67" t="s">
        <v>11</v>
      </c>
      <c r="G4" s="67" t="s">
        <v>12</v>
      </c>
      <c r="H4" s="67" t="s">
        <v>13</v>
      </c>
      <c r="I4" s="66" t="s">
        <v>14</v>
      </c>
      <c r="J4" s="69"/>
      <c r="K4" s="66"/>
      <c r="L4" s="66"/>
      <c r="M4" s="69" t="s">
        <v>10</v>
      </c>
      <c r="N4" s="69" t="s">
        <v>11</v>
      </c>
      <c r="O4" s="69" t="s">
        <v>12</v>
      </c>
      <c r="P4" s="69" t="s">
        <v>13</v>
      </c>
      <c r="Q4" s="66" t="s">
        <v>14</v>
      </c>
    </row>
    <row r="5" ht="17.05" customHeight="1" spans="1:17">
      <c r="A5" s="10" t="s">
        <v>15</v>
      </c>
      <c r="B5" s="68">
        <f t="shared" ref="B5:B36" si="0">SUM(E5:H5)</f>
        <v>-140.7352</v>
      </c>
      <c r="C5" s="11">
        <v>6.2713</v>
      </c>
      <c r="D5" s="68">
        <f t="shared" ref="D5:D36" si="1">SUM(B5:C5)</f>
        <v>-134.4639</v>
      </c>
      <c r="E5" s="11">
        <v>7.6697</v>
      </c>
      <c r="F5" s="68">
        <v>-298.1747</v>
      </c>
      <c r="G5" s="11">
        <v>224.1754</v>
      </c>
      <c r="H5" s="68">
        <v>-74.4056</v>
      </c>
      <c r="I5" s="11">
        <v>6.2713</v>
      </c>
      <c r="J5" s="68">
        <f t="shared" ref="J5:J36" si="2">SUM(M5:P5)</f>
        <v>-64.2794982365604</v>
      </c>
      <c r="K5" s="68">
        <v>-4.73262094864605</v>
      </c>
      <c r="L5" s="68">
        <f t="shared" ref="L5:L36" si="3">SUM(J5+K5)</f>
        <v>-69.0121191852065</v>
      </c>
      <c r="M5" s="68">
        <v>-0.299489778106738</v>
      </c>
      <c r="N5" s="68">
        <v>-170.754227499851</v>
      </c>
      <c r="O5" s="11">
        <v>108.025585209554</v>
      </c>
      <c r="P5" s="68">
        <v>-1.25136616815701</v>
      </c>
      <c r="Q5" s="68">
        <v>-4.73262094864605</v>
      </c>
    </row>
    <row r="6" ht="17.05" customHeight="1" spans="1:17">
      <c r="A6" s="10" t="s">
        <v>16</v>
      </c>
      <c r="B6" s="11">
        <f t="shared" si="0"/>
        <v>201.5862</v>
      </c>
      <c r="C6" s="68">
        <v>-41.5684</v>
      </c>
      <c r="D6" s="11">
        <f t="shared" si="1"/>
        <v>160.0178</v>
      </c>
      <c r="E6" s="68">
        <v>-48.2979</v>
      </c>
      <c r="F6" s="11">
        <v>61.037</v>
      </c>
      <c r="G6" s="11">
        <v>226.376</v>
      </c>
      <c r="H6" s="68">
        <v>-37.5289</v>
      </c>
      <c r="I6" s="68">
        <v>-41.5684</v>
      </c>
      <c r="J6" s="11">
        <f t="shared" si="2"/>
        <v>212.217613573949</v>
      </c>
      <c r="K6" s="68">
        <v>-1.23407238069592</v>
      </c>
      <c r="L6" s="11">
        <f t="shared" si="3"/>
        <v>210.983541193253</v>
      </c>
      <c r="M6" s="11">
        <v>44.539102760516</v>
      </c>
      <c r="N6" s="11">
        <v>157.605838043575</v>
      </c>
      <c r="O6" s="68">
        <v>-0.47958715450406</v>
      </c>
      <c r="P6" s="11">
        <v>10.5522599243618</v>
      </c>
      <c r="Q6" s="68">
        <v>-1.23407238069592</v>
      </c>
    </row>
    <row r="7" ht="17.05" customHeight="1" spans="1:17">
      <c r="A7" s="10" t="s">
        <v>17</v>
      </c>
      <c r="B7" s="11">
        <f t="shared" si="0"/>
        <v>412.083</v>
      </c>
      <c r="C7" s="68">
        <v>-7.1418</v>
      </c>
      <c r="D7" s="11">
        <f t="shared" si="1"/>
        <v>404.9412</v>
      </c>
      <c r="E7" s="11">
        <v>178.6257</v>
      </c>
      <c r="F7" s="68">
        <v>-26.2609</v>
      </c>
      <c r="G7" s="11">
        <v>214.2109</v>
      </c>
      <c r="H7" s="11">
        <v>45.5073</v>
      </c>
      <c r="I7" s="68">
        <v>-7.1418</v>
      </c>
      <c r="J7" s="11">
        <f t="shared" si="2"/>
        <v>176.682258390648</v>
      </c>
      <c r="K7" s="68">
        <v>-8.60724178604995</v>
      </c>
      <c r="L7" s="11">
        <f t="shared" si="3"/>
        <v>168.075016604598</v>
      </c>
      <c r="M7" s="68">
        <v>-17.3433572988366</v>
      </c>
      <c r="N7" s="11">
        <v>202.251037865202</v>
      </c>
      <c r="O7" s="11">
        <v>9.16827017859665</v>
      </c>
      <c r="P7" s="68">
        <v>-17.393692354314</v>
      </c>
      <c r="Q7" s="68">
        <v>-8.60724178604995</v>
      </c>
    </row>
    <row r="8" ht="17.05" customHeight="1" spans="1:17">
      <c r="A8" s="10" t="s">
        <v>18</v>
      </c>
      <c r="B8" s="68">
        <f t="shared" si="0"/>
        <v>-425.9444</v>
      </c>
      <c r="C8" s="68">
        <v>-31.2612</v>
      </c>
      <c r="D8" s="68">
        <f t="shared" si="1"/>
        <v>-457.2056</v>
      </c>
      <c r="E8" s="68">
        <v>-100.5236</v>
      </c>
      <c r="F8" s="68">
        <v>-451.6586</v>
      </c>
      <c r="G8" s="11">
        <v>115.4869</v>
      </c>
      <c r="H8" s="11">
        <v>10.7509</v>
      </c>
      <c r="I8" s="68">
        <v>-31.2612</v>
      </c>
      <c r="J8" s="11">
        <f t="shared" si="2"/>
        <v>93.105219628473</v>
      </c>
      <c r="K8" s="68">
        <v>-7.58018643315822</v>
      </c>
      <c r="L8" s="11">
        <f t="shared" si="3"/>
        <v>85.5250331953148</v>
      </c>
      <c r="M8" s="68">
        <v>-15.7862616475773</v>
      </c>
      <c r="N8" s="68">
        <v>-36.1764394208051</v>
      </c>
      <c r="O8" s="11">
        <v>114.421975241871</v>
      </c>
      <c r="P8" s="11">
        <v>30.645945454984</v>
      </c>
      <c r="Q8" s="68">
        <v>-7.58018643315822</v>
      </c>
    </row>
    <row r="9" ht="17.05" customHeight="1" spans="1:17">
      <c r="A9" s="10" t="s">
        <v>19</v>
      </c>
      <c r="B9" s="68">
        <f t="shared" si="0"/>
        <v>-318.4513</v>
      </c>
      <c r="C9" s="11">
        <v>9.8045</v>
      </c>
      <c r="D9" s="68">
        <f t="shared" si="1"/>
        <v>-308.6468</v>
      </c>
      <c r="E9" s="68">
        <v>-10.435</v>
      </c>
      <c r="F9" s="68">
        <v>-229.3224</v>
      </c>
      <c r="G9" s="68">
        <v>-51.4494</v>
      </c>
      <c r="H9" s="68">
        <v>-27.2445</v>
      </c>
      <c r="I9" s="11">
        <v>9.8045</v>
      </c>
      <c r="J9" s="68">
        <f t="shared" si="2"/>
        <v>-35.8798941617097</v>
      </c>
      <c r="K9" s="68">
        <v>-24.8736218583828</v>
      </c>
      <c r="L9" s="68">
        <f t="shared" si="3"/>
        <v>-60.7535160200926</v>
      </c>
      <c r="M9" s="68">
        <v>-29.0500188584597</v>
      </c>
      <c r="N9" s="68">
        <v>-3.85886726331317</v>
      </c>
      <c r="O9" s="11">
        <v>0.79422619581825</v>
      </c>
      <c r="P9" s="68">
        <v>-3.76523423575507</v>
      </c>
      <c r="Q9" s="68">
        <v>-24.8736218583828</v>
      </c>
    </row>
    <row r="10" ht="17.05" customHeight="1" spans="1:17">
      <c r="A10" s="10" t="s">
        <v>20</v>
      </c>
      <c r="B10" s="11">
        <f t="shared" si="0"/>
        <v>723.1859</v>
      </c>
      <c r="C10" s="68">
        <v>-5.7448</v>
      </c>
      <c r="D10" s="11">
        <f t="shared" si="1"/>
        <v>717.4411</v>
      </c>
      <c r="E10" s="11">
        <v>273.9733</v>
      </c>
      <c r="F10" s="11">
        <v>16.3651</v>
      </c>
      <c r="G10" s="11">
        <v>2.6418</v>
      </c>
      <c r="H10" s="11">
        <v>430.2057</v>
      </c>
      <c r="I10" s="68">
        <v>-5.7448</v>
      </c>
      <c r="J10" s="68">
        <f t="shared" si="2"/>
        <v>-74.2460617309018</v>
      </c>
      <c r="K10" s="68">
        <v>-10.5717147185251</v>
      </c>
      <c r="L10" s="68">
        <f t="shared" si="3"/>
        <v>-84.8177764494269</v>
      </c>
      <c r="M10" s="11">
        <v>29.3407023054209</v>
      </c>
      <c r="N10" s="68">
        <v>-108.735714701211</v>
      </c>
      <c r="O10" s="11">
        <v>21.8312491557759</v>
      </c>
      <c r="P10" s="68">
        <v>-16.6822984908879</v>
      </c>
      <c r="Q10" s="68">
        <v>-10.5717147185251</v>
      </c>
    </row>
    <row r="11" ht="17.05" customHeight="1" spans="1:17">
      <c r="A11" s="10" t="s">
        <v>21</v>
      </c>
      <c r="B11" s="68">
        <f t="shared" si="0"/>
        <v>-409.3161</v>
      </c>
      <c r="C11" s="11">
        <v>47.031</v>
      </c>
      <c r="D11" s="68">
        <f t="shared" si="1"/>
        <v>-362.2851</v>
      </c>
      <c r="E11" s="11">
        <v>21.8406</v>
      </c>
      <c r="F11" s="68">
        <v>-82.7405</v>
      </c>
      <c r="G11" s="68">
        <v>-299.2053</v>
      </c>
      <c r="H11" s="68">
        <v>-49.2109</v>
      </c>
      <c r="I11" s="11">
        <v>47.031</v>
      </c>
      <c r="J11" s="11">
        <f t="shared" si="2"/>
        <v>86.4231714229868</v>
      </c>
      <c r="K11" s="68">
        <v>-14.3595327402999</v>
      </c>
      <c r="L11" s="11">
        <f t="shared" si="3"/>
        <v>72.0636386826869</v>
      </c>
      <c r="M11" s="68">
        <v>-27.3475789210238</v>
      </c>
      <c r="N11" s="11">
        <v>117.547152362296</v>
      </c>
      <c r="O11" s="68">
        <v>-11.0327331297025</v>
      </c>
      <c r="P11" s="11">
        <v>7.25633111141682</v>
      </c>
      <c r="Q11" s="68">
        <v>-14.3595327402999</v>
      </c>
    </row>
    <row r="12" ht="17.05" customHeight="1" spans="1:17">
      <c r="A12" s="10" t="s">
        <v>22</v>
      </c>
      <c r="B12" s="11">
        <f t="shared" si="0"/>
        <v>287.149</v>
      </c>
      <c r="C12" s="68">
        <v>-45.37662</v>
      </c>
      <c r="D12" s="11">
        <f t="shared" si="1"/>
        <v>241.77238</v>
      </c>
      <c r="E12" s="11">
        <v>77.2202</v>
      </c>
      <c r="F12" s="68">
        <v>-176.3403</v>
      </c>
      <c r="G12" s="11">
        <v>199.4837</v>
      </c>
      <c r="H12" s="11">
        <v>186.7854</v>
      </c>
      <c r="I12" s="68">
        <v>-45.37662</v>
      </c>
      <c r="J12" s="11">
        <f t="shared" si="2"/>
        <v>20.3251352081589</v>
      </c>
      <c r="K12" s="11">
        <v>12.313506487129</v>
      </c>
      <c r="L12" s="11">
        <f t="shared" si="3"/>
        <v>32.6386416952879</v>
      </c>
      <c r="M12" s="11">
        <v>28.7474699975994</v>
      </c>
      <c r="N12" s="68">
        <v>-51.3279720015782</v>
      </c>
      <c r="O12" s="11">
        <v>76.7059562275783</v>
      </c>
      <c r="P12" s="68">
        <v>-33.8003190154406</v>
      </c>
      <c r="Q12" s="11">
        <v>12.313506487129</v>
      </c>
    </row>
    <row r="13" ht="17.05" customHeight="1" spans="1:17">
      <c r="A13" s="10" t="s">
        <v>23</v>
      </c>
      <c r="B13" s="11">
        <f t="shared" si="0"/>
        <v>184.626</v>
      </c>
      <c r="C13" s="68">
        <v>-30.66375</v>
      </c>
      <c r="D13" s="11">
        <f t="shared" si="1"/>
        <v>153.96225</v>
      </c>
      <c r="E13" s="68">
        <v>-202.2869</v>
      </c>
      <c r="F13" s="68">
        <v>-36.4704</v>
      </c>
      <c r="G13" s="11">
        <v>268.5186</v>
      </c>
      <c r="H13" s="11">
        <v>154.8647</v>
      </c>
      <c r="I13" s="68">
        <v>-30.66375</v>
      </c>
      <c r="J13" s="11">
        <f t="shared" si="2"/>
        <v>56.2406199048917</v>
      </c>
      <c r="K13" s="68">
        <v>-1.96710459558296</v>
      </c>
      <c r="L13" s="11">
        <f t="shared" si="3"/>
        <v>54.2735153093087</v>
      </c>
      <c r="M13" s="11">
        <v>16.4121576849366</v>
      </c>
      <c r="N13" s="11">
        <v>5.75836340614312</v>
      </c>
      <c r="O13" s="11">
        <v>50.058034455417</v>
      </c>
      <c r="P13" s="68">
        <v>-15.9879356416051</v>
      </c>
      <c r="Q13" s="68">
        <v>-1.96710459558296</v>
      </c>
    </row>
    <row r="14" ht="17.05" customHeight="1" spans="1:17">
      <c r="A14" s="10" t="s">
        <v>24</v>
      </c>
      <c r="B14" s="68">
        <f t="shared" si="0"/>
        <v>-824.5475</v>
      </c>
      <c r="C14" s="68">
        <v>-16.946</v>
      </c>
      <c r="D14" s="68">
        <f t="shared" si="1"/>
        <v>-841.4935</v>
      </c>
      <c r="E14" s="68">
        <v>-166.3505</v>
      </c>
      <c r="F14" s="68">
        <v>-74.6312</v>
      </c>
      <c r="G14" s="68">
        <v>-142.8697</v>
      </c>
      <c r="H14" s="68">
        <v>-440.6961</v>
      </c>
      <c r="I14" s="68">
        <v>-16.946</v>
      </c>
      <c r="J14" s="68">
        <f t="shared" si="2"/>
        <v>-73.7512990703029</v>
      </c>
      <c r="K14" s="68">
        <v>-5.41958964491104</v>
      </c>
      <c r="L14" s="68">
        <f t="shared" si="3"/>
        <v>-79.170888715214</v>
      </c>
      <c r="M14" s="68">
        <v>-18.8038486331602</v>
      </c>
      <c r="N14" s="68">
        <v>-39.3661587935259</v>
      </c>
      <c r="O14" s="68">
        <v>-0.8559151991574</v>
      </c>
      <c r="P14" s="68">
        <v>-14.7253764444594</v>
      </c>
      <c r="Q14" s="68">
        <v>-5.41958964491104</v>
      </c>
    </row>
    <row r="15" ht="17.05" customHeight="1" spans="1:17">
      <c r="A15" s="10" t="s">
        <v>25</v>
      </c>
      <c r="B15" s="68">
        <f t="shared" si="0"/>
        <v>-2388.5088</v>
      </c>
      <c r="C15" s="68">
        <v>-10.8107</v>
      </c>
      <c r="D15" s="68">
        <f t="shared" si="1"/>
        <v>-2399.3195</v>
      </c>
      <c r="E15" s="11">
        <v>104.8452</v>
      </c>
      <c r="F15" s="68">
        <v>-164.9249</v>
      </c>
      <c r="G15" s="68">
        <v>-457.2687</v>
      </c>
      <c r="H15" s="68">
        <v>-1871.1604</v>
      </c>
      <c r="I15" s="68">
        <v>-10.8107</v>
      </c>
      <c r="J15" s="68">
        <f t="shared" si="2"/>
        <v>-2191.71200252993</v>
      </c>
      <c r="K15" s="68">
        <v>-12.038676202342</v>
      </c>
      <c r="L15" s="68">
        <f t="shared" si="3"/>
        <v>-2203.75067873227</v>
      </c>
      <c r="M15" s="68">
        <v>-34.3131894629748</v>
      </c>
      <c r="N15" s="11">
        <v>20.6346848030334</v>
      </c>
      <c r="O15" s="68">
        <v>-46.8006933530354</v>
      </c>
      <c r="P15" s="68">
        <v>-2131.23280451695</v>
      </c>
      <c r="Q15" s="68">
        <v>-12.038676202342</v>
      </c>
    </row>
    <row r="16" ht="17.05" customHeight="1" spans="1:17">
      <c r="A16" s="10" t="s">
        <v>26</v>
      </c>
      <c r="B16" s="68">
        <f t="shared" si="0"/>
        <v>-2214.1655</v>
      </c>
      <c r="C16" s="11">
        <v>19.5155</v>
      </c>
      <c r="D16" s="68">
        <f t="shared" si="1"/>
        <v>-2194.65</v>
      </c>
      <c r="E16" s="11">
        <v>73.8102</v>
      </c>
      <c r="F16" s="68">
        <v>-16.931</v>
      </c>
      <c r="G16" s="11">
        <v>186.9953</v>
      </c>
      <c r="H16" s="68">
        <v>-2458.04</v>
      </c>
      <c r="I16" s="11">
        <v>19.5155</v>
      </c>
      <c r="J16" s="68">
        <f t="shared" si="2"/>
        <v>-2443.88811565093</v>
      </c>
      <c r="K16" s="68">
        <v>-7.7374377940989</v>
      </c>
      <c r="L16" s="68">
        <f t="shared" si="3"/>
        <v>-2451.62555344503</v>
      </c>
      <c r="M16" s="11">
        <v>60.3212515551369</v>
      </c>
      <c r="N16" s="11">
        <v>77.7889375159125</v>
      </c>
      <c r="O16" s="68">
        <v>-5.9609721389866</v>
      </c>
      <c r="P16" s="68">
        <v>-2576.037332583</v>
      </c>
      <c r="Q16" s="68">
        <v>-7.7374377940989</v>
      </c>
    </row>
    <row r="17" ht="17.05" customHeight="1" spans="1:17">
      <c r="A17" s="10" t="s">
        <v>27</v>
      </c>
      <c r="B17" s="68">
        <f t="shared" si="0"/>
        <v>-1657.5465</v>
      </c>
      <c r="C17" s="68">
        <v>-13.8778</v>
      </c>
      <c r="D17" s="68">
        <f t="shared" si="1"/>
        <v>-1671.4243</v>
      </c>
      <c r="E17" s="11">
        <v>26.2089</v>
      </c>
      <c r="F17" s="11">
        <v>572.2894</v>
      </c>
      <c r="G17" s="11">
        <v>346.7006</v>
      </c>
      <c r="H17" s="68">
        <v>-2602.7454</v>
      </c>
      <c r="I17" s="68">
        <v>-13.8778</v>
      </c>
      <c r="J17" s="68">
        <f t="shared" si="2"/>
        <v>-2716.52105921237</v>
      </c>
      <c r="K17" s="68">
        <v>-9.24702013760614</v>
      </c>
      <c r="L17" s="68">
        <f t="shared" si="3"/>
        <v>-2725.76807934998</v>
      </c>
      <c r="M17" s="68">
        <v>-36.4200967704033</v>
      </c>
      <c r="N17" s="68">
        <v>-3.0139244964572</v>
      </c>
      <c r="O17" s="68">
        <v>-9.28999666976336</v>
      </c>
      <c r="P17" s="68">
        <v>-2667.79704127575</v>
      </c>
      <c r="Q17" s="68">
        <v>-9.24702013760614</v>
      </c>
    </row>
    <row r="18" ht="17.05" customHeight="1" spans="1:17">
      <c r="A18" s="10" t="s">
        <v>28</v>
      </c>
      <c r="B18" s="68">
        <f t="shared" si="0"/>
        <v>-1438.2753</v>
      </c>
      <c r="C18" s="68">
        <v>-34.654</v>
      </c>
      <c r="D18" s="68">
        <f t="shared" si="1"/>
        <v>-1472.9293</v>
      </c>
      <c r="E18" s="68">
        <v>-63.3663</v>
      </c>
      <c r="F18" s="11">
        <v>712.3015</v>
      </c>
      <c r="G18" s="68">
        <v>-160.0281</v>
      </c>
      <c r="H18" s="68">
        <v>-1927.1824</v>
      </c>
      <c r="I18" s="68">
        <v>-34.654</v>
      </c>
      <c r="J18" s="68">
        <f t="shared" si="2"/>
        <v>-1232.27856015147</v>
      </c>
      <c r="K18" s="68">
        <v>-8.19665469321399</v>
      </c>
      <c r="L18" s="68">
        <f t="shared" si="3"/>
        <v>-1240.47521484469</v>
      </c>
      <c r="M18" s="11">
        <v>47.3725837178678</v>
      </c>
      <c r="N18" s="11">
        <v>218.278958188112</v>
      </c>
      <c r="O18" s="11">
        <v>10.2147423869842</v>
      </c>
      <c r="P18" s="68">
        <v>-1508.14484444444</v>
      </c>
      <c r="Q18" s="68">
        <v>-8.19665469321399</v>
      </c>
    </row>
    <row r="19" ht="17.05" customHeight="1" spans="1:17">
      <c r="A19" s="10" t="s">
        <v>29</v>
      </c>
      <c r="B19" s="68">
        <f t="shared" si="0"/>
        <v>-1606.4727</v>
      </c>
      <c r="C19" s="11">
        <v>15.8116</v>
      </c>
      <c r="D19" s="68">
        <f t="shared" si="1"/>
        <v>-1590.6611</v>
      </c>
      <c r="E19" s="11">
        <v>175.2599</v>
      </c>
      <c r="F19" s="68">
        <v>-613.2321</v>
      </c>
      <c r="G19" s="68">
        <v>-43.4858</v>
      </c>
      <c r="H19" s="68">
        <v>-1125.0147</v>
      </c>
      <c r="I19" s="11">
        <v>15.8116</v>
      </c>
      <c r="J19" s="68">
        <f t="shared" si="2"/>
        <v>-1206.53179159568</v>
      </c>
      <c r="K19" s="11">
        <v>9.5090845209661</v>
      </c>
      <c r="L19" s="68">
        <f t="shared" si="3"/>
        <v>-1197.02270707472</v>
      </c>
      <c r="M19" s="68">
        <v>-23.3718887324749</v>
      </c>
      <c r="N19" s="68">
        <v>-76.1129821286511</v>
      </c>
      <c r="O19" s="11">
        <v>4.74602102123428</v>
      </c>
      <c r="P19" s="68">
        <v>-1111.79294175579</v>
      </c>
      <c r="Q19" s="11">
        <v>9.5090845209661</v>
      </c>
    </row>
    <row r="20" ht="17.05" customHeight="1" spans="1:17">
      <c r="A20" s="10" t="s">
        <v>30</v>
      </c>
      <c r="B20" s="68">
        <f t="shared" si="0"/>
        <v>-1068.2952</v>
      </c>
      <c r="C20" s="11">
        <v>0.3299</v>
      </c>
      <c r="D20" s="68">
        <f t="shared" si="1"/>
        <v>-1067.9653</v>
      </c>
      <c r="E20" s="68">
        <v>-257.0245</v>
      </c>
      <c r="F20" s="68">
        <v>-90.7996</v>
      </c>
      <c r="G20" s="68">
        <v>-19.3715</v>
      </c>
      <c r="H20" s="68">
        <v>-701.0996</v>
      </c>
      <c r="I20" s="11">
        <v>0.3299</v>
      </c>
      <c r="J20" s="68">
        <f t="shared" si="2"/>
        <v>-664.402018347625</v>
      </c>
      <c r="K20" s="68">
        <v>-28.873743465909</v>
      </c>
      <c r="L20" s="68">
        <f t="shared" si="3"/>
        <v>-693.275761813534</v>
      </c>
      <c r="M20" s="11">
        <v>21.7490908456216</v>
      </c>
      <c r="N20" s="68">
        <v>-66.0238712731659</v>
      </c>
      <c r="O20" s="11">
        <v>0.382073273907023</v>
      </c>
      <c r="P20" s="68">
        <v>-620.509311193988</v>
      </c>
      <c r="Q20" s="68">
        <v>-28.873743465909</v>
      </c>
    </row>
    <row r="21" ht="17.05" customHeight="1" spans="1:17">
      <c r="A21" s="10" t="s">
        <v>31</v>
      </c>
      <c r="B21" s="68">
        <f t="shared" si="0"/>
        <v>-806.7979</v>
      </c>
      <c r="C21" s="11">
        <v>23.327</v>
      </c>
      <c r="D21" s="68">
        <f t="shared" si="1"/>
        <v>-783.4709</v>
      </c>
      <c r="E21" s="68">
        <v>-479.6267</v>
      </c>
      <c r="F21" s="11">
        <v>369.9036</v>
      </c>
      <c r="G21" s="68">
        <v>-54.9629</v>
      </c>
      <c r="H21" s="68">
        <v>-642.1119</v>
      </c>
      <c r="I21" s="11">
        <v>23.327</v>
      </c>
      <c r="J21" s="68">
        <f t="shared" si="2"/>
        <v>-529.527893754419</v>
      </c>
      <c r="K21" s="11">
        <v>25.0413636108949</v>
      </c>
      <c r="L21" s="68">
        <f t="shared" si="3"/>
        <v>-504.486530143524</v>
      </c>
      <c r="M21" s="68">
        <v>-6.75766552464594</v>
      </c>
      <c r="N21" s="11">
        <v>59.6008228839113</v>
      </c>
      <c r="O21" s="68">
        <v>-20.7406748065892</v>
      </c>
      <c r="P21" s="68">
        <v>-561.630376307095</v>
      </c>
      <c r="Q21" s="11">
        <v>25.0413636108949</v>
      </c>
    </row>
    <row r="22" ht="17.05" customHeight="1" spans="1:17">
      <c r="A22" s="10" t="s">
        <v>32</v>
      </c>
      <c r="B22" s="68">
        <f t="shared" si="0"/>
        <v>-878.7049</v>
      </c>
      <c r="C22" s="68">
        <v>-43.3306</v>
      </c>
      <c r="D22" s="68">
        <f t="shared" si="1"/>
        <v>-922.0355</v>
      </c>
      <c r="E22" s="11">
        <v>33.5944</v>
      </c>
      <c r="F22" s="68">
        <v>-146.3154</v>
      </c>
      <c r="G22" s="68">
        <v>-18.879</v>
      </c>
      <c r="H22" s="68">
        <v>-747.1049</v>
      </c>
      <c r="I22" s="68">
        <v>-43.3306</v>
      </c>
      <c r="J22" s="68">
        <f t="shared" si="2"/>
        <v>-407.693653184908</v>
      </c>
      <c r="K22" s="68">
        <v>-17.598077370875</v>
      </c>
      <c r="L22" s="68">
        <f t="shared" si="3"/>
        <v>-425.291730555783</v>
      </c>
      <c r="M22" s="68">
        <v>-37.5395998738677</v>
      </c>
      <c r="N22" s="11">
        <v>329.021307944349</v>
      </c>
      <c r="O22" s="68">
        <v>-18.2319067730015</v>
      </c>
      <c r="P22" s="68">
        <v>-680.943454482388</v>
      </c>
      <c r="Q22" s="68">
        <v>-17.598077370875</v>
      </c>
    </row>
    <row r="23" ht="17.05" customHeight="1" spans="1:17">
      <c r="A23" s="10" t="s">
        <v>33</v>
      </c>
      <c r="B23" s="68">
        <f t="shared" si="0"/>
        <v>-685.534</v>
      </c>
      <c r="C23" s="68">
        <v>-0.4732</v>
      </c>
      <c r="D23" s="68">
        <f t="shared" si="1"/>
        <v>-686.0072</v>
      </c>
      <c r="E23" s="11">
        <v>46.6163</v>
      </c>
      <c r="F23" s="68">
        <v>-138.4623</v>
      </c>
      <c r="G23" s="68">
        <v>-1.3958</v>
      </c>
      <c r="H23" s="68">
        <v>-592.2922</v>
      </c>
      <c r="I23" s="68">
        <v>-0.4732</v>
      </c>
      <c r="J23" s="68">
        <f t="shared" si="2"/>
        <v>-807.091909390413</v>
      </c>
      <c r="K23" s="68">
        <v>-12.5330792312469</v>
      </c>
      <c r="L23" s="68">
        <f t="shared" si="3"/>
        <v>-819.62498862166</v>
      </c>
      <c r="M23" s="68">
        <v>-4.55899315482534</v>
      </c>
      <c r="N23" s="68">
        <v>-332.576202659319</v>
      </c>
      <c r="O23" s="68">
        <v>-3.84866242430484</v>
      </c>
      <c r="P23" s="68">
        <v>-466.108051151964</v>
      </c>
      <c r="Q23" s="68">
        <v>-12.5330792312469</v>
      </c>
    </row>
    <row r="24" ht="17.05" customHeight="1" spans="1:17">
      <c r="A24" s="10" t="s">
        <v>34</v>
      </c>
      <c r="B24" s="68">
        <f t="shared" si="0"/>
        <v>-296.9721</v>
      </c>
      <c r="C24" s="68">
        <v>-33.2077</v>
      </c>
      <c r="D24" s="68">
        <f t="shared" si="1"/>
        <v>-330.1798</v>
      </c>
      <c r="E24" s="68">
        <v>-37.6341</v>
      </c>
      <c r="F24" s="11">
        <v>248.8767</v>
      </c>
      <c r="G24" s="68">
        <v>-31.0875</v>
      </c>
      <c r="H24" s="68">
        <v>-477.1272</v>
      </c>
      <c r="I24" s="68">
        <v>-33.2077</v>
      </c>
      <c r="J24" s="68">
        <f t="shared" si="2"/>
        <v>-369.890397031435</v>
      </c>
      <c r="K24" s="68">
        <v>-6.59487868598815</v>
      </c>
      <c r="L24" s="68">
        <f t="shared" si="3"/>
        <v>-376.485275717423</v>
      </c>
      <c r="M24" s="11">
        <v>30.9943289638697</v>
      </c>
      <c r="N24" s="11">
        <v>71.5468148800767</v>
      </c>
      <c r="O24" s="11">
        <v>6.42120877487978</v>
      </c>
      <c r="P24" s="68">
        <v>-478.852749650261</v>
      </c>
      <c r="Q24" s="68">
        <v>-6.59487868598815</v>
      </c>
    </row>
    <row r="25" ht="17.05" customHeight="1" spans="1:17">
      <c r="A25" s="10" t="s">
        <v>35</v>
      </c>
      <c r="B25" s="11">
        <f t="shared" si="0"/>
        <v>127.3417</v>
      </c>
      <c r="C25" s="68">
        <v>-6.618</v>
      </c>
      <c r="D25" s="11">
        <f t="shared" si="1"/>
        <v>120.7237</v>
      </c>
      <c r="E25" s="11">
        <v>316.4223</v>
      </c>
      <c r="F25" s="11">
        <v>257.8744</v>
      </c>
      <c r="G25" s="68">
        <v>-59.5788</v>
      </c>
      <c r="H25" s="68">
        <v>-387.3762</v>
      </c>
      <c r="I25" s="68">
        <v>-6.618</v>
      </c>
      <c r="J25" s="68">
        <f t="shared" si="2"/>
        <v>-388.912966545035</v>
      </c>
      <c r="K25" s="68">
        <v>-16.7741803536758</v>
      </c>
      <c r="L25" s="68">
        <f t="shared" si="3"/>
        <v>-405.687146898711</v>
      </c>
      <c r="M25" s="11">
        <v>31.6805713729098</v>
      </c>
      <c r="N25" s="11">
        <v>83.8766816873043</v>
      </c>
      <c r="O25" s="68">
        <v>-12.2612732282848</v>
      </c>
      <c r="P25" s="68">
        <v>-492.208946376964</v>
      </c>
      <c r="Q25" s="68">
        <v>-16.7741803536758</v>
      </c>
    </row>
    <row r="26" ht="17.05" customHeight="1" spans="1:17">
      <c r="A26" s="10" t="s">
        <v>36</v>
      </c>
      <c r="B26" s="68">
        <f t="shared" si="0"/>
        <v>-950.286</v>
      </c>
      <c r="C26" s="11">
        <v>8.1769</v>
      </c>
      <c r="D26" s="68">
        <f t="shared" si="1"/>
        <v>-942.1091</v>
      </c>
      <c r="E26" s="11">
        <v>247.6364</v>
      </c>
      <c r="F26" s="68">
        <v>-478.798</v>
      </c>
      <c r="G26" s="68">
        <v>-15.5766</v>
      </c>
      <c r="H26" s="68">
        <v>-703.5478</v>
      </c>
      <c r="I26" s="11">
        <v>8.1769</v>
      </c>
      <c r="J26" s="68">
        <f t="shared" si="2"/>
        <v>-945.943137917346</v>
      </c>
      <c r="K26" s="68">
        <v>-8.78168640200322</v>
      </c>
      <c r="L26" s="68">
        <f t="shared" si="3"/>
        <v>-954.724824319349</v>
      </c>
      <c r="M26" s="68">
        <v>-13.08930677562</v>
      </c>
      <c r="N26" s="68">
        <v>-126.138710843167</v>
      </c>
      <c r="O26" s="68">
        <v>-13.9734239545411</v>
      </c>
      <c r="P26" s="68">
        <v>-792.741696344017</v>
      </c>
      <c r="Q26" s="68">
        <v>-8.78168640200322</v>
      </c>
    </row>
    <row r="27" ht="17.05" customHeight="1" spans="1:17">
      <c r="A27" s="10" t="s">
        <v>37</v>
      </c>
      <c r="B27" s="68">
        <f t="shared" si="0"/>
        <v>-802.1528</v>
      </c>
      <c r="C27" s="11">
        <v>9.9499</v>
      </c>
      <c r="D27" s="68">
        <f t="shared" si="1"/>
        <v>-792.2029</v>
      </c>
      <c r="E27" s="11">
        <v>143.262</v>
      </c>
      <c r="F27" s="11">
        <v>101.6558</v>
      </c>
      <c r="G27" s="11">
        <v>147.2325</v>
      </c>
      <c r="H27" s="68">
        <v>-1194.3031</v>
      </c>
      <c r="I27" s="11">
        <v>9.9499</v>
      </c>
      <c r="J27" s="68">
        <f t="shared" si="2"/>
        <v>-1370.18417632171</v>
      </c>
      <c r="K27" s="68">
        <v>-13.4249635812099</v>
      </c>
      <c r="L27" s="68">
        <f t="shared" si="3"/>
        <v>-1383.60913990291</v>
      </c>
      <c r="M27" s="11">
        <v>39.2827603498911</v>
      </c>
      <c r="N27" s="11">
        <v>103.918580198331</v>
      </c>
      <c r="O27" s="11">
        <v>33.730107785328</v>
      </c>
      <c r="P27" s="68">
        <v>-1547.11562465526</v>
      </c>
      <c r="Q27" s="68">
        <v>-13.4249635812099</v>
      </c>
    </row>
    <row r="28" ht="17.05" customHeight="1" spans="1:17">
      <c r="A28" s="10" t="s">
        <v>38</v>
      </c>
      <c r="B28" s="68">
        <f t="shared" si="0"/>
        <v>-1330.0238</v>
      </c>
      <c r="C28" s="68">
        <v>-36.5612</v>
      </c>
      <c r="D28" s="68">
        <f t="shared" si="1"/>
        <v>-1366.585</v>
      </c>
      <c r="E28" s="68">
        <v>-142.9141</v>
      </c>
      <c r="F28" s="11">
        <v>203.8735</v>
      </c>
      <c r="G28" s="68">
        <v>-56.6769</v>
      </c>
      <c r="H28" s="68">
        <v>-1334.3063</v>
      </c>
      <c r="I28" s="68">
        <v>-36.5612</v>
      </c>
      <c r="J28" s="68">
        <f t="shared" si="2"/>
        <v>-1140.15259786521</v>
      </c>
      <c r="K28" s="68">
        <v>-4.5927501428031</v>
      </c>
      <c r="L28" s="68">
        <f t="shared" si="3"/>
        <v>-1144.74534800801</v>
      </c>
      <c r="M28" s="11">
        <v>26.3658607580855</v>
      </c>
      <c r="N28" s="11">
        <v>8.9279444730167</v>
      </c>
      <c r="O28" s="68">
        <v>-14.5572212745624</v>
      </c>
      <c r="P28" s="68">
        <v>-1160.88918182175</v>
      </c>
      <c r="Q28" s="68">
        <v>-4.5927501428031</v>
      </c>
    </row>
    <row r="29" ht="17.05" customHeight="1" spans="1:17">
      <c r="A29" s="10" t="s">
        <v>39</v>
      </c>
      <c r="B29" s="68">
        <f t="shared" si="0"/>
        <v>-1624.9546</v>
      </c>
      <c r="C29" s="11">
        <v>5.1567</v>
      </c>
      <c r="D29" s="68">
        <f t="shared" si="1"/>
        <v>-1619.7979</v>
      </c>
      <c r="E29" s="68">
        <v>-14.7499</v>
      </c>
      <c r="F29" s="11">
        <v>348.5745</v>
      </c>
      <c r="G29" s="11">
        <v>191.0176</v>
      </c>
      <c r="H29" s="68">
        <v>-2149.7968</v>
      </c>
      <c r="I29" s="11">
        <v>5.1567</v>
      </c>
      <c r="J29" s="68">
        <f t="shared" si="2"/>
        <v>-2350.66836621894</v>
      </c>
      <c r="K29" s="11">
        <v>0.267602538440996</v>
      </c>
      <c r="L29" s="68">
        <f t="shared" si="3"/>
        <v>-2350.4007636805</v>
      </c>
      <c r="M29" s="11">
        <v>1.79322481883426</v>
      </c>
      <c r="N29" s="11">
        <v>29.2372230437389</v>
      </c>
      <c r="O29" s="11">
        <v>3.0249248412109</v>
      </c>
      <c r="P29" s="68">
        <v>-2384.72373892272</v>
      </c>
      <c r="Q29" s="11">
        <v>0.267602538440996</v>
      </c>
    </row>
    <row r="30" ht="17.05" customHeight="1" spans="1:17">
      <c r="A30" s="10" t="s">
        <v>40</v>
      </c>
      <c r="B30" s="68">
        <f t="shared" si="0"/>
        <v>-1733.9104</v>
      </c>
      <c r="C30" s="68">
        <v>-4.6424</v>
      </c>
      <c r="D30" s="68">
        <f t="shared" si="1"/>
        <v>-1738.5528</v>
      </c>
      <c r="E30" s="11">
        <v>289.0112</v>
      </c>
      <c r="F30" s="68">
        <v>-377.7201</v>
      </c>
      <c r="G30" s="11">
        <v>204.2867</v>
      </c>
      <c r="H30" s="68">
        <v>-1849.4882</v>
      </c>
      <c r="I30" s="68">
        <v>-4.6424</v>
      </c>
      <c r="J30" s="68">
        <f t="shared" si="2"/>
        <v>-2024.78050284241</v>
      </c>
      <c r="K30" s="68">
        <v>-17.8032213987608</v>
      </c>
      <c r="L30" s="68">
        <f t="shared" si="3"/>
        <v>-2042.58372424117</v>
      </c>
      <c r="M30" s="11">
        <v>0.55313003944783</v>
      </c>
      <c r="N30" s="68">
        <v>-42.7469822433773</v>
      </c>
      <c r="O30" s="11">
        <v>48.4137849521634</v>
      </c>
      <c r="P30" s="68">
        <v>-2031.00043559065</v>
      </c>
      <c r="Q30" s="68">
        <v>-17.8032213987608</v>
      </c>
    </row>
    <row r="31" ht="17.05" customHeight="1" spans="1:17">
      <c r="A31" s="10" t="s">
        <v>41</v>
      </c>
      <c r="B31" s="68">
        <f t="shared" si="0"/>
        <v>-1614.0111</v>
      </c>
      <c r="C31" s="11">
        <v>16.40214</v>
      </c>
      <c r="D31" s="68">
        <f t="shared" si="1"/>
        <v>-1597.60896</v>
      </c>
      <c r="E31" s="11">
        <v>151.168</v>
      </c>
      <c r="F31" s="11">
        <v>159.1796</v>
      </c>
      <c r="G31" s="11">
        <v>83.6525</v>
      </c>
      <c r="H31" s="68">
        <v>-2008.0112</v>
      </c>
      <c r="I31" s="11">
        <v>16.40214</v>
      </c>
      <c r="J31" s="68">
        <f t="shared" si="2"/>
        <v>-2121.80428738347</v>
      </c>
      <c r="K31" s="68">
        <v>-15.8742509703901</v>
      </c>
      <c r="L31" s="68">
        <f t="shared" si="3"/>
        <v>-2137.67853835386</v>
      </c>
      <c r="M31" s="68">
        <v>-38.5304244611722</v>
      </c>
      <c r="N31" s="68">
        <v>-5.10902080844192</v>
      </c>
      <c r="O31" s="68">
        <v>-50.5975642346686</v>
      </c>
      <c r="P31" s="68">
        <v>-2027.56727787919</v>
      </c>
      <c r="Q31" s="68">
        <v>-15.8742509703901</v>
      </c>
    </row>
    <row r="32" ht="17.05" customHeight="1" spans="1:17">
      <c r="A32" s="10" t="s">
        <v>42</v>
      </c>
      <c r="B32" s="68">
        <f t="shared" si="0"/>
        <v>-1623.3622</v>
      </c>
      <c r="C32" s="68">
        <v>-9.61944</v>
      </c>
      <c r="D32" s="68">
        <f t="shared" si="1"/>
        <v>-1632.98164</v>
      </c>
      <c r="E32" s="11">
        <v>54.0687</v>
      </c>
      <c r="F32" s="68">
        <v>-191.2315</v>
      </c>
      <c r="G32" s="68">
        <v>-137.5013</v>
      </c>
      <c r="H32" s="68">
        <v>-1348.6981</v>
      </c>
      <c r="I32" s="68">
        <v>-9.61944</v>
      </c>
      <c r="J32" s="68">
        <f t="shared" si="2"/>
        <v>-1301.33700594734</v>
      </c>
      <c r="K32" s="68">
        <v>-22.4597987789619</v>
      </c>
      <c r="L32" s="68">
        <f t="shared" si="3"/>
        <v>-1323.7968047263</v>
      </c>
      <c r="M32" s="11">
        <v>35.9091238197163</v>
      </c>
      <c r="N32" s="68">
        <v>-12.7955565976828</v>
      </c>
      <c r="O32" s="68">
        <v>-31.7119292516073</v>
      </c>
      <c r="P32" s="68">
        <v>-1292.73864391777</v>
      </c>
      <c r="Q32" s="68">
        <v>-22.4597987789619</v>
      </c>
    </row>
    <row r="33" ht="17.05" customHeight="1" spans="1:17">
      <c r="A33" s="10" t="s">
        <v>43</v>
      </c>
      <c r="B33" s="68">
        <f t="shared" si="0"/>
        <v>-2693.4009</v>
      </c>
      <c r="C33" s="68">
        <v>-49.8419</v>
      </c>
      <c r="D33" s="68">
        <f t="shared" si="1"/>
        <v>-2743.2428</v>
      </c>
      <c r="E33" s="68">
        <v>-242.2718</v>
      </c>
      <c r="F33" s="68">
        <v>-1305.2061</v>
      </c>
      <c r="G33" s="11">
        <v>38.1146</v>
      </c>
      <c r="H33" s="68">
        <v>-1184.0376</v>
      </c>
      <c r="I33" s="68">
        <v>-49.8419</v>
      </c>
      <c r="J33" s="68">
        <f t="shared" si="2"/>
        <v>-1519.45698634049</v>
      </c>
      <c r="K33" s="11">
        <v>5.37145102740795</v>
      </c>
      <c r="L33" s="68">
        <f t="shared" si="3"/>
        <v>-1514.08553531308</v>
      </c>
      <c r="M33" s="68">
        <v>-13.4985926199766</v>
      </c>
      <c r="N33" s="68">
        <v>-335.810907559543</v>
      </c>
      <c r="O33" s="11">
        <v>32.996924259981</v>
      </c>
      <c r="P33" s="68">
        <v>-1203.14441042095</v>
      </c>
      <c r="Q33" s="11">
        <v>5.37145102740795</v>
      </c>
    </row>
    <row r="34" ht="17.05" customHeight="1" spans="1:17">
      <c r="A34" s="10" t="s">
        <v>44</v>
      </c>
      <c r="B34" s="68">
        <f t="shared" si="0"/>
        <v>-1857.9414</v>
      </c>
      <c r="C34" s="68">
        <v>-54.3612</v>
      </c>
      <c r="D34" s="68">
        <f t="shared" si="1"/>
        <v>-1912.3026</v>
      </c>
      <c r="E34" s="68">
        <v>-95.0956</v>
      </c>
      <c r="F34" s="11">
        <v>146.8073</v>
      </c>
      <c r="G34" s="68">
        <v>-72.6448</v>
      </c>
      <c r="H34" s="68">
        <v>-1837.0083</v>
      </c>
      <c r="I34" s="68">
        <v>-54.3612</v>
      </c>
      <c r="J34" s="68">
        <f t="shared" si="2"/>
        <v>-1614.05057819787</v>
      </c>
      <c r="K34" s="68">
        <v>-11.0178297775719</v>
      </c>
      <c r="L34" s="68">
        <f t="shared" si="3"/>
        <v>-1625.06840797544</v>
      </c>
      <c r="M34" s="11">
        <v>15.1572534856356</v>
      </c>
      <c r="N34" s="11">
        <v>200.63461128601</v>
      </c>
      <c r="O34" s="11">
        <v>13.2069315025156</v>
      </c>
      <c r="P34" s="68">
        <v>-1843.04937447203</v>
      </c>
      <c r="Q34" s="68">
        <v>-11.0178297775719</v>
      </c>
    </row>
    <row r="35" ht="17.05" customHeight="1" spans="1:17">
      <c r="A35" s="10" t="s">
        <v>45</v>
      </c>
      <c r="B35" s="68">
        <f t="shared" si="0"/>
        <v>-912.2442</v>
      </c>
      <c r="C35" s="11">
        <v>19.1817</v>
      </c>
      <c r="D35" s="68">
        <f t="shared" si="1"/>
        <v>-893.0625</v>
      </c>
      <c r="E35" s="68">
        <v>-107.473</v>
      </c>
      <c r="F35" s="11">
        <v>885.4502</v>
      </c>
      <c r="G35" s="68">
        <v>-142.7418</v>
      </c>
      <c r="H35" s="68">
        <v>-1547.4796</v>
      </c>
      <c r="I35" s="11">
        <v>19.1817</v>
      </c>
      <c r="J35" s="68">
        <f t="shared" si="2"/>
        <v>-1223.20860818292</v>
      </c>
      <c r="K35" s="68">
        <v>-4.0253703013751</v>
      </c>
      <c r="L35" s="68">
        <f t="shared" si="3"/>
        <v>-1227.2339784843</v>
      </c>
      <c r="M35" s="11">
        <v>21.0554719453339</v>
      </c>
      <c r="N35" s="11">
        <v>287.291152917888</v>
      </c>
      <c r="O35" s="11">
        <v>11.7120379570204</v>
      </c>
      <c r="P35" s="68">
        <v>-1543.26727100317</v>
      </c>
      <c r="Q35" s="68">
        <v>-4.0253703013751</v>
      </c>
    </row>
    <row r="36" ht="17.05" customHeight="1" spans="1:17">
      <c r="A36" s="10" t="s">
        <v>46</v>
      </c>
      <c r="B36" s="68">
        <f t="shared" si="0"/>
        <v>-1254.8427</v>
      </c>
      <c r="C36" s="68">
        <v>-25.289</v>
      </c>
      <c r="D36" s="68">
        <f t="shared" si="1"/>
        <v>-1280.1317</v>
      </c>
      <c r="E36" s="11">
        <v>197.3672</v>
      </c>
      <c r="F36" s="68">
        <v>-419.3067</v>
      </c>
      <c r="G36" s="68">
        <v>-145.2954</v>
      </c>
      <c r="H36" s="68">
        <v>-887.6078</v>
      </c>
      <c r="I36" s="68">
        <v>-25.289</v>
      </c>
      <c r="J36" s="68">
        <f t="shared" si="2"/>
        <v>-640.605607462512</v>
      </c>
      <c r="K36" s="68">
        <v>-1.43408473180399</v>
      </c>
      <c r="L36" s="68">
        <f t="shared" si="3"/>
        <v>-642.039692194316</v>
      </c>
      <c r="M36" s="68">
        <v>-1.27536422891958</v>
      </c>
      <c r="N36" s="68">
        <v>-29.5049807441054</v>
      </c>
      <c r="O36" s="11">
        <v>14.8930975244266</v>
      </c>
      <c r="P36" s="68">
        <v>-624.718360013913</v>
      </c>
      <c r="Q36" s="68">
        <v>-1.43408473180399</v>
      </c>
    </row>
    <row r="37" ht="14.3" customHeight="1" spans="1:2">
      <c r="A37" s="50"/>
      <c r="B37" s="50"/>
    </row>
    <row r="38" ht="14.3" customHeight="1" spans="1:3">
      <c r="A38" s="50"/>
      <c r="B38" s="50"/>
      <c r="C38" s="50"/>
    </row>
    <row r="39" ht="14.3" customHeight="1" spans="1:17">
      <c r="A39" s="50"/>
      <c r="B39" s="50"/>
      <c r="C39" s="50"/>
      <c r="D39" s="50"/>
      <c r="E39" s="50"/>
      <c r="G39" s="50"/>
      <c r="H39" s="50"/>
      <c r="I39" s="50"/>
      <c r="J39" s="50"/>
      <c r="K39" s="50"/>
      <c r="L39" s="50"/>
      <c r="M39" s="50"/>
      <c r="O39" s="50"/>
      <c r="P39" s="50"/>
      <c r="Q39" s="50"/>
    </row>
  </sheetData>
  <mergeCells count="12">
    <mergeCell ref="A1:Q1"/>
    <mergeCell ref="B2:I2"/>
    <mergeCell ref="J2:Q2"/>
    <mergeCell ref="E3:I3"/>
    <mergeCell ref="M3:Q3"/>
    <mergeCell ref="A2:A4"/>
    <mergeCell ref="B3:B4"/>
    <mergeCell ref="C3:C4"/>
    <mergeCell ref="D3:D4"/>
    <mergeCell ref="J3:J4"/>
    <mergeCell ref="K3:K4"/>
    <mergeCell ref="L3:L4"/>
  </mergeCells>
  <pageMargins left="0.75" right="0.75" top="0.270000010728836" bottom="0.270000010728836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43"/>
  <sheetViews>
    <sheetView workbookViewId="0">
      <selection activeCell="A1" sqref="A1:C1"/>
    </sheetView>
  </sheetViews>
  <sheetFormatPr defaultColWidth="10" defaultRowHeight="13.5"/>
  <cols>
    <col min="1" max="1" width="16.4083333333333" customWidth="1"/>
    <col min="2" max="63" width="11.2833333333333" customWidth="1"/>
    <col min="64" max="65" width="9" hidden="1"/>
    <col min="66" max="67" width="9.76666666666667" customWidth="1"/>
    <col min="68" max="69" width="11.2833333333333" customWidth="1"/>
    <col min="70" max="75" width="9.76666666666667" customWidth="1"/>
  </cols>
  <sheetData>
    <row r="1" ht="31.65" customHeight="1" spans="1:4">
      <c r="A1" s="7" t="s">
        <v>47</v>
      </c>
      <c r="B1" s="7"/>
      <c r="C1" s="7"/>
      <c r="D1" s="13"/>
    </row>
    <row r="2" ht="17.05" customHeight="1" spans="1:4">
      <c r="A2" s="16" t="s">
        <v>46</v>
      </c>
      <c r="B2" s="16"/>
      <c r="C2" s="16"/>
      <c r="D2" s="13"/>
    </row>
    <row r="3" ht="17.05" customHeight="1" spans="1:70">
      <c r="A3" s="32" t="s">
        <v>1</v>
      </c>
      <c r="B3" s="32" t="s">
        <v>2</v>
      </c>
      <c r="C3" s="33" t="s">
        <v>3</v>
      </c>
      <c r="D3" s="34" t="s">
        <v>48</v>
      </c>
      <c r="E3" s="34"/>
      <c r="F3" s="34"/>
      <c r="G3" s="34"/>
      <c r="H3" s="34"/>
      <c r="I3" s="34"/>
      <c r="J3" s="34"/>
      <c r="K3" s="34"/>
      <c r="L3" s="40" t="s">
        <v>49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4" t="s">
        <v>50</v>
      </c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P3" s="35" t="s">
        <v>51</v>
      </c>
      <c r="BQ3" s="35"/>
      <c r="BR3" s="50"/>
    </row>
    <row r="4" ht="17.05" customHeight="1" spans="1:70">
      <c r="A4" s="32"/>
      <c r="B4" s="32"/>
      <c r="C4" s="33"/>
      <c r="D4" s="8" t="s">
        <v>52</v>
      </c>
      <c r="E4" s="8"/>
      <c r="F4" s="8" t="s">
        <v>53</v>
      </c>
      <c r="G4" s="8"/>
      <c r="H4" s="8"/>
      <c r="I4" s="8"/>
      <c r="J4" s="8"/>
      <c r="K4" s="42" t="s">
        <v>54</v>
      </c>
      <c r="L4" s="8" t="s">
        <v>55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 t="s">
        <v>53</v>
      </c>
      <c r="AF4" s="8"/>
      <c r="AG4" s="8"/>
      <c r="AH4" s="8"/>
      <c r="AI4" s="8"/>
      <c r="AJ4" s="35" t="s">
        <v>56</v>
      </c>
      <c r="AK4" s="40" t="s">
        <v>57</v>
      </c>
      <c r="AL4" s="35" t="s">
        <v>58</v>
      </c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 t="s">
        <v>59</v>
      </c>
      <c r="BD4" s="35"/>
      <c r="BE4" s="35"/>
      <c r="BF4" s="35"/>
      <c r="BG4" s="35"/>
      <c r="BH4" s="35"/>
      <c r="BI4" s="35"/>
      <c r="BJ4" s="44" t="s">
        <v>60</v>
      </c>
      <c r="BK4" s="44" t="s">
        <v>61</v>
      </c>
      <c r="BP4" s="35" t="s">
        <v>62</v>
      </c>
      <c r="BQ4" s="35" t="s">
        <v>63</v>
      </c>
      <c r="BR4" s="50"/>
    </row>
    <row r="5" ht="57.25" customHeight="1" spans="1:75">
      <c r="A5" s="32"/>
      <c r="B5" s="32"/>
      <c r="C5" s="33"/>
      <c r="D5" s="35" t="s">
        <v>64</v>
      </c>
      <c r="E5" s="35" t="s">
        <v>65</v>
      </c>
      <c r="F5" s="35" t="s">
        <v>66</v>
      </c>
      <c r="G5" s="35" t="s">
        <v>67</v>
      </c>
      <c r="H5" s="35" t="s">
        <v>68</v>
      </c>
      <c r="I5" s="35" t="s">
        <v>69</v>
      </c>
      <c r="J5" s="35" t="s">
        <v>70</v>
      </c>
      <c r="K5" s="42"/>
      <c r="L5" s="35" t="s">
        <v>71</v>
      </c>
      <c r="M5" s="35" t="s">
        <v>72</v>
      </c>
      <c r="N5" s="35" t="s">
        <v>73</v>
      </c>
      <c r="O5" s="35" t="s">
        <v>74</v>
      </c>
      <c r="P5" s="35" t="s">
        <v>75</v>
      </c>
      <c r="Q5" s="35" t="s">
        <v>76</v>
      </c>
      <c r="R5" s="35" t="s">
        <v>77</v>
      </c>
      <c r="S5" s="35" t="s">
        <v>78</v>
      </c>
      <c r="T5" s="35" t="s">
        <v>79</v>
      </c>
      <c r="U5" s="35" t="s">
        <v>80</v>
      </c>
      <c r="V5" s="35" t="s">
        <v>81</v>
      </c>
      <c r="W5" s="35" t="s">
        <v>82</v>
      </c>
      <c r="X5" s="35" t="s">
        <v>83</v>
      </c>
      <c r="Y5" s="35" t="s">
        <v>84</v>
      </c>
      <c r="Z5" s="35" t="s">
        <v>85</v>
      </c>
      <c r="AA5" s="35" t="s">
        <v>86</v>
      </c>
      <c r="AB5" s="35" t="s">
        <v>87</v>
      </c>
      <c r="AC5" s="35" t="s">
        <v>88</v>
      </c>
      <c r="AD5" s="40" t="s">
        <v>89</v>
      </c>
      <c r="AE5" s="35" t="s">
        <v>66</v>
      </c>
      <c r="AF5" s="35" t="s">
        <v>67</v>
      </c>
      <c r="AG5" s="35" t="s">
        <v>90</v>
      </c>
      <c r="AH5" s="35" t="s">
        <v>91</v>
      </c>
      <c r="AI5" s="35" t="s">
        <v>92</v>
      </c>
      <c r="AJ5" s="35"/>
      <c r="AK5" s="40"/>
      <c r="AL5" s="35" t="s">
        <v>93</v>
      </c>
      <c r="AM5" s="35" t="s">
        <v>72</v>
      </c>
      <c r="AN5" s="35" t="s">
        <v>80</v>
      </c>
      <c r="AO5" s="35" t="s">
        <v>78</v>
      </c>
      <c r="AP5" s="35" t="s">
        <v>77</v>
      </c>
      <c r="AQ5" s="35" t="s">
        <v>79</v>
      </c>
      <c r="AR5" s="35" t="s">
        <v>74</v>
      </c>
      <c r="AS5" s="35" t="s">
        <v>94</v>
      </c>
      <c r="AT5" s="35" t="s">
        <v>95</v>
      </c>
      <c r="AU5" s="35" t="s">
        <v>73</v>
      </c>
      <c r="AV5" s="35" t="s">
        <v>71</v>
      </c>
      <c r="AW5" s="35" t="s">
        <v>96</v>
      </c>
      <c r="AX5" s="35" t="s">
        <v>81</v>
      </c>
      <c r="AY5" s="35" t="s">
        <v>97</v>
      </c>
      <c r="AZ5" s="35" t="s">
        <v>76</v>
      </c>
      <c r="BA5" s="35" t="s">
        <v>75</v>
      </c>
      <c r="BB5" s="35" t="s">
        <v>98</v>
      </c>
      <c r="BC5" s="35" t="s">
        <v>83</v>
      </c>
      <c r="BD5" s="35" t="s">
        <v>87</v>
      </c>
      <c r="BE5" s="35" t="s">
        <v>85</v>
      </c>
      <c r="BF5" s="35" t="s">
        <v>99</v>
      </c>
      <c r="BG5" s="35" t="s">
        <v>84</v>
      </c>
      <c r="BH5" s="35" t="s">
        <v>86</v>
      </c>
      <c r="BI5" s="35" t="s">
        <v>100</v>
      </c>
      <c r="BJ5" s="44"/>
      <c r="BK5" s="44"/>
      <c r="BP5" s="35" t="s">
        <v>10</v>
      </c>
      <c r="BQ5" s="35" t="s">
        <v>10</v>
      </c>
      <c r="BR5" s="50"/>
      <c r="BS5" s="50"/>
      <c r="BT5" s="50"/>
      <c r="BU5" s="50"/>
      <c r="BV5" s="50"/>
      <c r="BW5" s="50"/>
    </row>
    <row r="6" ht="19.05" customHeight="1" spans="1:69">
      <c r="A6" s="36" t="s">
        <v>101</v>
      </c>
      <c r="B6" s="61"/>
      <c r="C6" s="61"/>
      <c r="D6" s="37">
        <v>40075.8641</v>
      </c>
      <c r="E6" s="37">
        <v>0</v>
      </c>
      <c r="F6" s="37">
        <v>56823.0488</v>
      </c>
      <c r="G6" s="37">
        <v>0</v>
      </c>
      <c r="H6" s="37">
        <v>18559.6089</v>
      </c>
      <c r="I6" s="37">
        <v>942.1509</v>
      </c>
      <c r="J6" s="37">
        <v>6134.4534</v>
      </c>
      <c r="K6" s="37">
        <f t="shared" ref="K6:K39" si="0">SUM(D6:J6)</f>
        <v>122535.1261</v>
      </c>
      <c r="L6" s="37">
        <v>12888.9261</v>
      </c>
      <c r="M6" s="37">
        <v>3305.5809</v>
      </c>
      <c r="N6" s="37">
        <v>2165.3182</v>
      </c>
      <c r="O6" s="37">
        <v>337.1108</v>
      </c>
      <c r="P6" s="37">
        <v>19.8929</v>
      </c>
      <c r="Q6" s="37">
        <v>3482.6799</v>
      </c>
      <c r="R6" s="37">
        <v>14347.741</v>
      </c>
      <c r="S6" s="37">
        <v>752.0632</v>
      </c>
      <c r="T6" s="37">
        <v>888.7966</v>
      </c>
      <c r="U6" s="37">
        <v>4299.7944</v>
      </c>
      <c r="V6" s="37">
        <v>8.0726</v>
      </c>
      <c r="W6" s="37">
        <f t="shared" ref="W6:W39" si="1">SUM(L6,M6,N6,O6,P6,Q6,R6,S6,T6,U6,V6)</f>
        <v>42495.9766</v>
      </c>
      <c r="X6" s="37">
        <v>0</v>
      </c>
      <c r="Y6" s="37">
        <v>1772.9308</v>
      </c>
      <c r="Z6" s="37">
        <v>4893.6991</v>
      </c>
      <c r="AA6" s="37">
        <v>1290.5546</v>
      </c>
      <c r="AB6" s="37">
        <v>1653.4493</v>
      </c>
      <c r="AC6" s="37">
        <f t="shared" ref="AC6:AC39" si="2">SUM(X6,Y6,Z6,AA6,AB6)</f>
        <v>9610.6338</v>
      </c>
      <c r="AD6" s="37">
        <v>52106.6104</v>
      </c>
      <c r="AE6" s="37">
        <v>4323.2018</v>
      </c>
      <c r="AF6" s="37">
        <v>64239.8011</v>
      </c>
      <c r="AG6" s="37">
        <v>0</v>
      </c>
      <c r="AH6" s="37">
        <v>1125.1437</v>
      </c>
      <c r="AI6" s="37">
        <v>0</v>
      </c>
      <c r="AJ6" s="37">
        <f t="shared" ref="AJ6:AJ39" si="3">SUM(BP6:BQ6)</f>
        <v>297.4885</v>
      </c>
      <c r="AK6" s="37">
        <f t="shared" ref="AK6:AK39" si="4">SUM(AD6:AJ6)</f>
        <v>122092.2455</v>
      </c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P6" s="37">
        <v>2.6592</v>
      </c>
      <c r="BQ6" s="37">
        <v>294.8293</v>
      </c>
    </row>
    <row r="7" ht="19.05" customHeight="1" spans="1:69">
      <c r="A7" s="36" t="s">
        <v>102</v>
      </c>
      <c r="B7" s="61"/>
      <c r="C7" s="61"/>
      <c r="D7" s="37">
        <v>40075.8641</v>
      </c>
      <c r="E7" s="37">
        <v>0</v>
      </c>
      <c r="F7" s="37">
        <v>56823.0488</v>
      </c>
      <c r="G7" s="37">
        <v>0</v>
      </c>
      <c r="H7" s="37">
        <v>18559.6089</v>
      </c>
      <c r="I7" s="37">
        <v>942.1509</v>
      </c>
      <c r="J7" s="37">
        <v>6134.4534</v>
      </c>
      <c r="K7" s="37">
        <f t="shared" si="0"/>
        <v>122535.1261</v>
      </c>
      <c r="L7" s="37">
        <v>12888.9261</v>
      </c>
      <c r="M7" s="37">
        <v>3305.5809</v>
      </c>
      <c r="N7" s="37">
        <v>2165.3182</v>
      </c>
      <c r="O7" s="37">
        <v>337.1108</v>
      </c>
      <c r="P7" s="37">
        <v>19.8929</v>
      </c>
      <c r="Q7" s="37">
        <v>3482.6799</v>
      </c>
      <c r="R7" s="37">
        <v>14347.741</v>
      </c>
      <c r="S7" s="37">
        <v>752.0632</v>
      </c>
      <c r="T7" s="37">
        <v>888.7966</v>
      </c>
      <c r="U7" s="37">
        <v>4299.7944</v>
      </c>
      <c r="V7" s="37">
        <v>8.0726</v>
      </c>
      <c r="W7" s="37">
        <f t="shared" si="1"/>
        <v>42495.9766</v>
      </c>
      <c r="X7" s="37">
        <v>0</v>
      </c>
      <c r="Y7" s="37">
        <v>1772.9308</v>
      </c>
      <c r="Z7" s="37">
        <v>4893.6991</v>
      </c>
      <c r="AA7" s="37">
        <v>1290.5546</v>
      </c>
      <c r="AB7" s="37">
        <v>1653.4493</v>
      </c>
      <c r="AC7" s="37">
        <f t="shared" si="2"/>
        <v>9610.6338</v>
      </c>
      <c r="AD7" s="37">
        <v>52106.6104</v>
      </c>
      <c r="AE7" s="37">
        <v>4323.2018</v>
      </c>
      <c r="AF7" s="37">
        <v>64239.8011</v>
      </c>
      <c r="AG7" s="37">
        <v>0</v>
      </c>
      <c r="AH7" s="37">
        <v>1125.1437</v>
      </c>
      <c r="AI7" s="37">
        <v>0</v>
      </c>
      <c r="AJ7" s="37">
        <f t="shared" si="3"/>
        <v>297.4885</v>
      </c>
      <c r="AK7" s="37">
        <f t="shared" si="4"/>
        <v>122092.2455</v>
      </c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P7" s="37">
        <v>2.6592</v>
      </c>
      <c r="BQ7" s="37">
        <v>294.8293</v>
      </c>
    </row>
    <row r="8" ht="19.9" customHeight="1" spans="1:75">
      <c r="A8" s="10" t="s">
        <v>15</v>
      </c>
      <c r="B8" s="38">
        <f t="shared" ref="B8:B39" si="5">K8-AK8</f>
        <v>7.66969999999992</v>
      </c>
      <c r="C8" s="39">
        <f t="shared" ref="C8:C39" si="6">B8-BK8</f>
        <v>-0.299489778106818</v>
      </c>
      <c r="D8" s="38">
        <v>1111.8963</v>
      </c>
      <c r="E8" s="38">
        <v>0</v>
      </c>
      <c r="F8" s="38">
        <v>2656.176</v>
      </c>
      <c r="G8" s="38">
        <v>0</v>
      </c>
      <c r="H8" s="38">
        <v>0</v>
      </c>
      <c r="I8" s="38">
        <v>0</v>
      </c>
      <c r="J8" s="38">
        <v>0</v>
      </c>
      <c r="K8" s="38">
        <f t="shared" si="0"/>
        <v>3768.0723</v>
      </c>
      <c r="L8" s="38">
        <v>438.1974</v>
      </c>
      <c r="M8" s="38">
        <v>95.6853</v>
      </c>
      <c r="N8" s="38">
        <v>66.9141</v>
      </c>
      <c r="O8" s="38">
        <v>9.1343</v>
      </c>
      <c r="P8" s="38">
        <v>0.5015</v>
      </c>
      <c r="Q8" s="38">
        <v>44.0368</v>
      </c>
      <c r="R8" s="38">
        <v>469.1078</v>
      </c>
      <c r="S8" s="38">
        <v>19.7079</v>
      </c>
      <c r="T8" s="38">
        <v>26.4056</v>
      </c>
      <c r="U8" s="38">
        <v>128.3981</v>
      </c>
      <c r="V8" s="38">
        <v>0.3001</v>
      </c>
      <c r="W8" s="38">
        <f t="shared" si="1"/>
        <v>1298.3889</v>
      </c>
      <c r="X8" s="38">
        <v>0</v>
      </c>
      <c r="Y8" s="38">
        <v>89.4159</v>
      </c>
      <c r="Z8" s="38">
        <v>120.1735</v>
      </c>
      <c r="AA8" s="38">
        <v>42.4767</v>
      </c>
      <c r="AB8" s="38">
        <v>50.1009</v>
      </c>
      <c r="AC8" s="38">
        <f t="shared" si="2"/>
        <v>302.167</v>
      </c>
      <c r="AD8" s="38">
        <v>1600.5559</v>
      </c>
      <c r="AE8" s="38">
        <v>205.8458</v>
      </c>
      <c r="AF8" s="38">
        <v>1754.3119</v>
      </c>
      <c r="AG8" s="38">
        <v>0</v>
      </c>
      <c r="AH8" s="38">
        <v>191.3104</v>
      </c>
      <c r="AI8" s="38">
        <v>0</v>
      </c>
      <c r="AJ8" s="38">
        <f t="shared" si="3"/>
        <v>8.3786</v>
      </c>
      <c r="AK8" s="38">
        <f t="shared" si="4"/>
        <v>3760.4026</v>
      </c>
      <c r="AL8" s="38">
        <v>11.530450742987</v>
      </c>
      <c r="AM8" s="38">
        <v>157.084927195836</v>
      </c>
      <c r="AN8" s="38">
        <v>24.948476488199</v>
      </c>
      <c r="AO8" s="38">
        <v>29.661247072781</v>
      </c>
      <c r="AP8" s="38">
        <v>134.064768669275</v>
      </c>
      <c r="AQ8" s="38">
        <v>52.251430185758</v>
      </c>
      <c r="AR8" s="38">
        <v>2.287843952837</v>
      </c>
      <c r="AS8" s="38">
        <v>0</v>
      </c>
      <c r="AT8" s="38">
        <v>110.743776275786</v>
      </c>
      <c r="AU8" s="38">
        <v>16.836117081062</v>
      </c>
      <c r="AV8" s="38">
        <v>7782.26388727302</v>
      </c>
      <c r="AW8" s="38">
        <v>0</v>
      </c>
      <c r="AX8" s="38">
        <v>5.448354541295</v>
      </c>
      <c r="AY8" s="38">
        <v>0</v>
      </c>
      <c r="AZ8" s="38">
        <v>372.904984622027</v>
      </c>
      <c r="BA8" s="38">
        <v>2.39721481434</v>
      </c>
      <c r="BB8" s="38">
        <f t="shared" ref="BB8:BB39" si="7">SUM(AL8,AM8,AN8,AO8,AP8,AQ8,AR8,AS8,AT8,AU8,AV8,AW8,AX8,AY8,AZ8,BA8)</f>
        <v>8702.42347891521</v>
      </c>
      <c r="BC8" s="38">
        <v>0</v>
      </c>
      <c r="BD8" s="38">
        <v>260.763044938573</v>
      </c>
      <c r="BE8" s="38">
        <v>1482.25034836036</v>
      </c>
      <c r="BF8" s="38">
        <v>0</v>
      </c>
      <c r="BG8" s="38">
        <v>108.240967010746</v>
      </c>
      <c r="BH8" s="38">
        <v>48.814734803781</v>
      </c>
      <c r="BI8" s="38">
        <f t="shared" ref="BI8:BI39" si="8">SUM(BC8,BD8,BE8,BF8,BG8,BH8)</f>
        <v>1900.06909511346</v>
      </c>
      <c r="BJ8" s="38">
        <f t="shared" ref="BJ8:BJ39" si="9">SUM(AL8,AM8,AN8,AO8,AP8,AQ8,AR8,AS8,AT8,AU8,AV8,AW8,AX8,AY8,AZ8,BA8+BC8,BD8,BE8,BF8,BG8,BH8)</f>
        <v>10602.4925740287</v>
      </c>
      <c r="BK8" s="38">
        <v>7.96918977810674</v>
      </c>
      <c r="BL8" s="46"/>
      <c r="BM8" s="46"/>
      <c r="BN8" s="46"/>
      <c r="BO8" s="46"/>
      <c r="BP8" s="38">
        <v>0.2957</v>
      </c>
      <c r="BQ8" s="38">
        <v>8.0829</v>
      </c>
      <c r="BR8" s="50"/>
      <c r="BS8" s="50"/>
      <c r="BT8" s="50"/>
      <c r="BU8" s="50"/>
      <c r="BV8" s="50"/>
      <c r="BW8" s="50"/>
    </row>
    <row r="9" ht="19.9" customHeight="1" spans="1:75">
      <c r="A9" s="10" t="s">
        <v>16</v>
      </c>
      <c r="B9" s="39">
        <f t="shared" si="5"/>
        <v>-48.2978999999996</v>
      </c>
      <c r="C9" s="38">
        <f t="shared" si="6"/>
        <v>44.5391027605165</v>
      </c>
      <c r="D9" s="38">
        <v>1098.8107</v>
      </c>
      <c r="E9" s="38">
        <v>0</v>
      </c>
      <c r="F9" s="38">
        <v>2796.1781</v>
      </c>
      <c r="G9" s="38">
        <v>0</v>
      </c>
      <c r="H9" s="38">
        <v>0</v>
      </c>
      <c r="I9" s="38">
        <v>0</v>
      </c>
      <c r="J9" s="38">
        <v>0</v>
      </c>
      <c r="K9" s="38">
        <f t="shared" si="0"/>
        <v>3894.9888</v>
      </c>
      <c r="L9" s="38">
        <v>477.4764</v>
      </c>
      <c r="M9" s="38">
        <v>111.2325</v>
      </c>
      <c r="N9" s="38">
        <v>73.0339</v>
      </c>
      <c r="O9" s="38">
        <v>8.5645</v>
      </c>
      <c r="P9" s="38">
        <v>0.4016</v>
      </c>
      <c r="Q9" s="38">
        <v>47.5046</v>
      </c>
      <c r="R9" s="38">
        <v>480.5401</v>
      </c>
      <c r="S9" s="38">
        <v>23.4698</v>
      </c>
      <c r="T9" s="38">
        <v>32.0684</v>
      </c>
      <c r="U9" s="38">
        <v>139.631</v>
      </c>
      <c r="V9" s="38">
        <v>0.2523</v>
      </c>
      <c r="W9" s="38">
        <f t="shared" si="1"/>
        <v>1394.1751</v>
      </c>
      <c r="X9" s="38">
        <v>0</v>
      </c>
      <c r="Y9" s="38">
        <v>98.6542</v>
      </c>
      <c r="Z9" s="38">
        <v>122.0087</v>
      </c>
      <c r="AA9" s="38">
        <v>48.9803</v>
      </c>
      <c r="AB9" s="38">
        <v>44.1459</v>
      </c>
      <c r="AC9" s="38">
        <f t="shared" si="2"/>
        <v>313.7891</v>
      </c>
      <c r="AD9" s="38">
        <v>1707.9642</v>
      </c>
      <c r="AE9" s="38">
        <v>243.4646</v>
      </c>
      <c r="AF9" s="38">
        <v>1749.8841</v>
      </c>
      <c r="AG9" s="38">
        <v>0</v>
      </c>
      <c r="AH9" s="38">
        <v>234.0289</v>
      </c>
      <c r="AI9" s="38">
        <v>0</v>
      </c>
      <c r="AJ9" s="38">
        <f t="shared" si="3"/>
        <v>7.9449</v>
      </c>
      <c r="AK9" s="38">
        <f t="shared" si="4"/>
        <v>3943.2867</v>
      </c>
      <c r="AL9" s="38">
        <v>11.563650964625</v>
      </c>
      <c r="AM9" s="38">
        <v>159.51323647377</v>
      </c>
      <c r="AN9" s="38">
        <v>25.072279936978</v>
      </c>
      <c r="AO9" s="38">
        <v>29.755766792913</v>
      </c>
      <c r="AP9" s="38">
        <v>133.466514900365</v>
      </c>
      <c r="AQ9" s="38">
        <v>51.960092780887</v>
      </c>
      <c r="AR9" s="38">
        <v>2.278379838851</v>
      </c>
      <c r="AS9" s="38">
        <v>0</v>
      </c>
      <c r="AT9" s="38">
        <v>111.324562262406</v>
      </c>
      <c r="AU9" s="38">
        <v>17.291707161764</v>
      </c>
      <c r="AV9" s="38">
        <v>7703.19818454456</v>
      </c>
      <c r="AW9" s="38">
        <v>0</v>
      </c>
      <c r="AX9" s="38">
        <v>5.401860957008</v>
      </c>
      <c r="AY9" s="38">
        <v>0</v>
      </c>
      <c r="AZ9" s="38">
        <v>370.4799768614</v>
      </c>
      <c r="BA9" s="38">
        <v>2.392024765014</v>
      </c>
      <c r="BB9" s="38">
        <f t="shared" si="7"/>
        <v>8623.69823824054</v>
      </c>
      <c r="BC9" s="38">
        <v>0</v>
      </c>
      <c r="BD9" s="38">
        <v>261.297746656661</v>
      </c>
      <c r="BE9" s="38">
        <v>1479.57155029822</v>
      </c>
      <c r="BF9" s="38">
        <v>0</v>
      </c>
      <c r="BG9" s="38">
        <v>98.091910542291</v>
      </c>
      <c r="BH9" s="38">
        <v>46.996125530439</v>
      </c>
      <c r="BI9" s="38">
        <f t="shared" si="8"/>
        <v>1885.95733302761</v>
      </c>
      <c r="BJ9" s="38">
        <f t="shared" si="9"/>
        <v>10509.6555712681</v>
      </c>
      <c r="BK9" s="39">
        <v>-92.837002760516</v>
      </c>
      <c r="BL9" s="46"/>
      <c r="BM9" s="46"/>
      <c r="BN9" s="46"/>
      <c r="BO9" s="46"/>
      <c r="BP9" s="38">
        <v>0</v>
      </c>
      <c r="BQ9" s="38">
        <v>7.9449</v>
      </c>
      <c r="BR9" s="50"/>
      <c r="BS9" s="50"/>
      <c r="BT9" s="50"/>
      <c r="BU9" s="50"/>
      <c r="BV9" s="50"/>
      <c r="BW9" s="50"/>
    </row>
    <row r="10" ht="19.9" customHeight="1" spans="1:75">
      <c r="A10" s="10" t="s">
        <v>17</v>
      </c>
      <c r="B10" s="38">
        <f t="shared" si="5"/>
        <v>178.6257</v>
      </c>
      <c r="C10" s="39">
        <f t="shared" si="6"/>
        <v>-17.343357298837</v>
      </c>
      <c r="D10" s="38">
        <v>1301.3002</v>
      </c>
      <c r="E10" s="38">
        <v>0</v>
      </c>
      <c r="F10" s="38">
        <v>2633.8458</v>
      </c>
      <c r="G10" s="38">
        <v>0</v>
      </c>
      <c r="H10" s="38">
        <v>0</v>
      </c>
      <c r="I10" s="38">
        <v>0</v>
      </c>
      <c r="J10" s="38">
        <v>0</v>
      </c>
      <c r="K10" s="38">
        <f t="shared" si="0"/>
        <v>3935.146</v>
      </c>
      <c r="L10" s="38">
        <v>440.1863</v>
      </c>
      <c r="M10" s="38">
        <v>98.7163</v>
      </c>
      <c r="N10" s="38">
        <v>68.396</v>
      </c>
      <c r="O10" s="38">
        <v>6.7888</v>
      </c>
      <c r="P10" s="38">
        <v>0.406</v>
      </c>
      <c r="Q10" s="38">
        <v>47.8091</v>
      </c>
      <c r="R10" s="38">
        <v>473.9376</v>
      </c>
      <c r="S10" s="38">
        <v>23.2055</v>
      </c>
      <c r="T10" s="38">
        <v>31.6641</v>
      </c>
      <c r="U10" s="38">
        <v>140.3347</v>
      </c>
      <c r="V10" s="38">
        <v>0.2438</v>
      </c>
      <c r="W10" s="38">
        <f t="shared" si="1"/>
        <v>1331.6882</v>
      </c>
      <c r="X10" s="38">
        <v>0</v>
      </c>
      <c r="Y10" s="38">
        <v>80.5607</v>
      </c>
      <c r="Z10" s="38">
        <v>185.2114</v>
      </c>
      <c r="AA10" s="38">
        <v>47.7886</v>
      </c>
      <c r="AB10" s="38">
        <v>44.7228</v>
      </c>
      <c r="AC10" s="38">
        <f t="shared" si="2"/>
        <v>358.2835</v>
      </c>
      <c r="AD10" s="38">
        <v>1689.9717</v>
      </c>
      <c r="AE10" s="38">
        <v>64.0455</v>
      </c>
      <c r="AF10" s="38">
        <v>1664.3825</v>
      </c>
      <c r="AG10" s="38">
        <v>0</v>
      </c>
      <c r="AH10" s="38">
        <v>329.8067</v>
      </c>
      <c r="AI10" s="38">
        <v>0</v>
      </c>
      <c r="AJ10" s="38">
        <f t="shared" si="3"/>
        <v>8.3139</v>
      </c>
      <c r="AK10" s="38">
        <f t="shared" si="4"/>
        <v>3756.5203</v>
      </c>
      <c r="AL10" s="38">
        <v>11.559925454777</v>
      </c>
      <c r="AM10" s="38">
        <v>156.769843676135</v>
      </c>
      <c r="AN10" s="38">
        <v>25.359591347174</v>
      </c>
      <c r="AO10" s="38">
        <v>29.937369144942</v>
      </c>
      <c r="AP10" s="38">
        <v>135.77485508173</v>
      </c>
      <c r="AQ10" s="38">
        <v>51.77668910103</v>
      </c>
      <c r="AR10" s="38">
        <v>2.305975998493</v>
      </c>
      <c r="AS10" s="38">
        <v>0</v>
      </c>
      <c r="AT10" s="38">
        <v>110.781651147292</v>
      </c>
      <c r="AU10" s="38">
        <v>17.66151681587</v>
      </c>
      <c r="AV10" s="38">
        <v>7863.510814631</v>
      </c>
      <c r="AW10" s="38">
        <v>0</v>
      </c>
      <c r="AX10" s="38">
        <v>6.860855057181</v>
      </c>
      <c r="AY10" s="38">
        <v>0</v>
      </c>
      <c r="AZ10" s="38">
        <v>370.588212547075</v>
      </c>
      <c r="BA10" s="38">
        <v>2.083577142136</v>
      </c>
      <c r="BB10" s="38">
        <f t="shared" si="7"/>
        <v>8784.97087714483</v>
      </c>
      <c r="BC10" s="38">
        <v>0</v>
      </c>
      <c r="BD10" s="38">
        <v>261.376462747887</v>
      </c>
      <c r="BE10" s="38">
        <v>1514.7971254477</v>
      </c>
      <c r="BF10" s="38">
        <v>0</v>
      </c>
      <c r="BG10" s="38">
        <v>97.574037776371</v>
      </c>
      <c r="BH10" s="38">
        <v>46.9061254502</v>
      </c>
      <c r="BI10" s="38">
        <f t="shared" si="8"/>
        <v>1920.65375142215</v>
      </c>
      <c r="BJ10" s="38">
        <f t="shared" si="9"/>
        <v>10705.624628567</v>
      </c>
      <c r="BK10" s="38">
        <v>195.969057298837</v>
      </c>
      <c r="BL10" s="46"/>
      <c r="BM10" s="46"/>
      <c r="BN10" s="46"/>
      <c r="BO10" s="46"/>
      <c r="BP10" s="38">
        <v>0</v>
      </c>
      <c r="BQ10" s="38">
        <v>8.3139</v>
      </c>
      <c r="BR10" s="50"/>
      <c r="BS10" s="50"/>
      <c r="BT10" s="50"/>
      <c r="BU10" s="50"/>
      <c r="BV10" s="50"/>
      <c r="BW10" s="50"/>
    </row>
    <row r="11" ht="19.9" customHeight="1" spans="1:75">
      <c r="A11" s="10" t="s">
        <v>18</v>
      </c>
      <c r="B11" s="39">
        <f t="shared" si="5"/>
        <v>-100.5236</v>
      </c>
      <c r="C11" s="39">
        <f t="shared" si="6"/>
        <v>-15.7862616475772</v>
      </c>
      <c r="D11" s="38">
        <v>1302.9148</v>
      </c>
      <c r="E11" s="38">
        <v>0</v>
      </c>
      <c r="F11" s="38">
        <v>2444.1624</v>
      </c>
      <c r="G11" s="38">
        <v>0</v>
      </c>
      <c r="H11" s="38">
        <v>0</v>
      </c>
      <c r="I11" s="38">
        <v>0</v>
      </c>
      <c r="J11" s="38">
        <v>0</v>
      </c>
      <c r="K11" s="38">
        <f t="shared" si="0"/>
        <v>3747.0772</v>
      </c>
      <c r="L11" s="38">
        <v>458.7285</v>
      </c>
      <c r="M11" s="38">
        <v>104.6669</v>
      </c>
      <c r="N11" s="38">
        <v>57.6048</v>
      </c>
      <c r="O11" s="38">
        <v>7.9453</v>
      </c>
      <c r="P11" s="38">
        <v>0.4</v>
      </c>
      <c r="Q11" s="38">
        <v>47.0496</v>
      </c>
      <c r="R11" s="38">
        <v>484.5604</v>
      </c>
      <c r="S11" s="38">
        <v>27.6506</v>
      </c>
      <c r="T11" s="38">
        <v>32.3094</v>
      </c>
      <c r="U11" s="38">
        <v>141.9698</v>
      </c>
      <c r="V11" s="38">
        <v>0.2315</v>
      </c>
      <c r="W11" s="38">
        <f t="shared" si="1"/>
        <v>1363.1168</v>
      </c>
      <c r="X11" s="38">
        <v>0</v>
      </c>
      <c r="Y11" s="38">
        <v>82.3569</v>
      </c>
      <c r="Z11" s="38">
        <v>188.7632</v>
      </c>
      <c r="AA11" s="38">
        <v>46.7543</v>
      </c>
      <c r="AB11" s="38">
        <v>42.5556</v>
      </c>
      <c r="AC11" s="38">
        <f t="shared" si="2"/>
        <v>360.43</v>
      </c>
      <c r="AD11" s="38">
        <v>1723.5468</v>
      </c>
      <c r="AE11" s="38">
        <v>0</v>
      </c>
      <c r="AF11" s="38">
        <v>1802.0611</v>
      </c>
      <c r="AG11" s="38">
        <v>0</v>
      </c>
      <c r="AH11" s="38">
        <v>313.5522</v>
      </c>
      <c r="AI11" s="38">
        <v>0</v>
      </c>
      <c r="AJ11" s="38">
        <f t="shared" si="3"/>
        <v>8.4407</v>
      </c>
      <c r="AK11" s="38">
        <f t="shared" si="4"/>
        <v>3847.6008</v>
      </c>
      <c r="AL11" s="38">
        <v>11.531065334839</v>
      </c>
      <c r="AM11" s="38">
        <v>156.603366179127</v>
      </c>
      <c r="AN11" s="38">
        <v>24.729511656274</v>
      </c>
      <c r="AO11" s="38">
        <v>29.276441726369</v>
      </c>
      <c r="AP11" s="38">
        <v>138.624336354707</v>
      </c>
      <c r="AQ11" s="38">
        <v>51.810690184452</v>
      </c>
      <c r="AR11" s="38">
        <v>2.314134532886</v>
      </c>
      <c r="AS11" s="38">
        <v>0</v>
      </c>
      <c r="AT11" s="38">
        <v>112.299674302983</v>
      </c>
      <c r="AU11" s="38">
        <v>17.13778272306</v>
      </c>
      <c r="AV11" s="38">
        <v>7885.81368238571</v>
      </c>
      <c r="AW11" s="38">
        <v>0</v>
      </c>
      <c r="AX11" s="38">
        <v>5.40200678469</v>
      </c>
      <c r="AY11" s="38">
        <v>0</v>
      </c>
      <c r="AZ11" s="38">
        <v>353.84902384457</v>
      </c>
      <c r="BA11" s="38">
        <v>2.379546977323</v>
      </c>
      <c r="BB11" s="38">
        <f t="shared" si="7"/>
        <v>8791.77126298699</v>
      </c>
      <c r="BC11" s="38">
        <v>0</v>
      </c>
      <c r="BD11" s="38">
        <v>261.460699116079</v>
      </c>
      <c r="BE11" s="38">
        <v>1413.48365045684</v>
      </c>
      <c r="BF11" s="38">
        <v>0</v>
      </c>
      <c r="BG11" s="38">
        <v>106.153898074487</v>
      </c>
      <c r="BH11" s="38">
        <v>48.017779580175</v>
      </c>
      <c r="BI11" s="38">
        <f t="shared" si="8"/>
        <v>1829.11602722758</v>
      </c>
      <c r="BJ11" s="38">
        <f t="shared" si="9"/>
        <v>10620.8872902146</v>
      </c>
      <c r="BK11" s="39">
        <v>-84.7373383524227</v>
      </c>
      <c r="BL11" s="46"/>
      <c r="BM11" s="46"/>
      <c r="BN11" s="46"/>
      <c r="BO11" s="46"/>
      <c r="BP11" s="38">
        <v>0.0051</v>
      </c>
      <c r="BQ11" s="38">
        <v>8.4356</v>
      </c>
      <c r="BR11" s="50"/>
      <c r="BS11" s="50"/>
      <c r="BT11" s="50"/>
      <c r="BU11" s="50"/>
      <c r="BV11" s="50"/>
      <c r="BW11" s="50"/>
    </row>
    <row r="12" ht="19.9" customHeight="1" spans="1:75">
      <c r="A12" s="10" t="s">
        <v>19</v>
      </c>
      <c r="B12" s="39">
        <f t="shared" si="5"/>
        <v>-10.4349999999999</v>
      </c>
      <c r="C12" s="39">
        <f t="shared" si="6"/>
        <v>-29.0500188584597</v>
      </c>
      <c r="D12" s="38">
        <v>1303.6003</v>
      </c>
      <c r="E12" s="38">
        <v>0</v>
      </c>
      <c r="F12" s="38">
        <v>2445.8975</v>
      </c>
      <c r="G12" s="38">
        <v>0</v>
      </c>
      <c r="H12" s="38">
        <v>0</v>
      </c>
      <c r="I12" s="38">
        <v>0</v>
      </c>
      <c r="J12" s="38">
        <v>0</v>
      </c>
      <c r="K12" s="38">
        <f t="shared" si="0"/>
        <v>3749.4978</v>
      </c>
      <c r="L12" s="38">
        <v>463.3211</v>
      </c>
      <c r="M12" s="38">
        <v>108.1692</v>
      </c>
      <c r="N12" s="38">
        <v>29.1728</v>
      </c>
      <c r="O12" s="38">
        <v>9.5162</v>
      </c>
      <c r="P12" s="38">
        <v>1.0002</v>
      </c>
      <c r="Q12" s="38">
        <v>54.2078</v>
      </c>
      <c r="R12" s="38">
        <v>480.1569</v>
      </c>
      <c r="S12" s="38">
        <v>27.7893</v>
      </c>
      <c r="T12" s="38">
        <v>29.5547</v>
      </c>
      <c r="U12" s="38">
        <v>141.2543</v>
      </c>
      <c r="V12" s="38">
        <v>0.1761</v>
      </c>
      <c r="W12" s="38">
        <f t="shared" si="1"/>
        <v>1344.3186</v>
      </c>
      <c r="X12" s="38">
        <v>0</v>
      </c>
      <c r="Y12" s="38">
        <v>85.1631</v>
      </c>
      <c r="Z12" s="38">
        <v>175.5921</v>
      </c>
      <c r="AA12" s="38">
        <v>49.4622</v>
      </c>
      <c r="AB12" s="38">
        <v>42.4023</v>
      </c>
      <c r="AC12" s="38">
        <f t="shared" si="2"/>
        <v>352.6197</v>
      </c>
      <c r="AD12" s="38">
        <v>1696.9383</v>
      </c>
      <c r="AE12" s="38">
        <v>0</v>
      </c>
      <c r="AF12" s="38">
        <v>1808.4376</v>
      </c>
      <c r="AG12" s="38">
        <v>0</v>
      </c>
      <c r="AH12" s="38">
        <v>246.0404</v>
      </c>
      <c r="AI12" s="38">
        <v>0</v>
      </c>
      <c r="AJ12" s="38">
        <f t="shared" si="3"/>
        <v>8.5165</v>
      </c>
      <c r="AK12" s="38">
        <f t="shared" si="4"/>
        <v>3759.9328</v>
      </c>
      <c r="AL12" s="38">
        <v>11.511337803596</v>
      </c>
      <c r="AM12" s="38">
        <v>160.405646707486</v>
      </c>
      <c r="AN12" s="38">
        <v>24.044905907989</v>
      </c>
      <c r="AO12" s="38">
        <v>29.681849947067</v>
      </c>
      <c r="AP12" s="38">
        <v>140.553003350853</v>
      </c>
      <c r="AQ12" s="38">
        <v>51.389712658858</v>
      </c>
      <c r="AR12" s="38">
        <v>2.283887839145</v>
      </c>
      <c r="AS12" s="38">
        <v>0</v>
      </c>
      <c r="AT12" s="38">
        <v>112.778504242656</v>
      </c>
      <c r="AU12" s="38">
        <v>17.649207401849</v>
      </c>
      <c r="AV12" s="38">
        <v>7952.32700252332</v>
      </c>
      <c r="AW12" s="38">
        <v>0</v>
      </c>
      <c r="AX12" s="38">
        <v>5.476788327883</v>
      </c>
      <c r="AY12" s="38">
        <v>0</v>
      </c>
      <c r="AZ12" s="38">
        <v>345.133935282868</v>
      </c>
      <c r="BA12" s="38">
        <v>2.357547335329</v>
      </c>
      <c r="BB12" s="38">
        <f t="shared" si="7"/>
        <v>8855.5933293289</v>
      </c>
      <c r="BC12" s="38">
        <v>0</v>
      </c>
      <c r="BD12" s="38">
        <v>261.565563398299</v>
      </c>
      <c r="BE12" s="38">
        <v>1365.21921998843</v>
      </c>
      <c r="BF12" s="38">
        <v>0</v>
      </c>
      <c r="BG12" s="38">
        <v>109.946526584568</v>
      </c>
      <c r="BH12" s="38">
        <v>47.177669772829</v>
      </c>
      <c r="BI12" s="38">
        <f t="shared" si="8"/>
        <v>1783.90897974412</v>
      </c>
      <c r="BJ12" s="38">
        <f t="shared" si="9"/>
        <v>10639.502309073</v>
      </c>
      <c r="BK12" s="38">
        <v>18.6150188584597</v>
      </c>
      <c r="BL12" s="46"/>
      <c r="BM12" s="46"/>
      <c r="BN12" s="46"/>
      <c r="BO12" s="46"/>
      <c r="BP12" s="38">
        <v>0</v>
      </c>
      <c r="BQ12" s="38">
        <v>8.5165</v>
      </c>
      <c r="BR12" s="50"/>
      <c r="BS12" s="50"/>
      <c r="BT12" s="50"/>
      <c r="BU12" s="50"/>
      <c r="BV12" s="50"/>
      <c r="BW12" s="50"/>
    </row>
    <row r="13" ht="19.9" customHeight="1" spans="1:75">
      <c r="A13" s="10" t="s">
        <v>20</v>
      </c>
      <c r="B13" s="38">
        <f t="shared" si="5"/>
        <v>273.9733</v>
      </c>
      <c r="C13" s="38">
        <f t="shared" si="6"/>
        <v>29.340702305421</v>
      </c>
      <c r="D13" s="38">
        <v>1308.9962</v>
      </c>
      <c r="E13" s="38">
        <v>0</v>
      </c>
      <c r="F13" s="38">
        <v>2315.8957</v>
      </c>
      <c r="G13" s="38">
        <v>0</v>
      </c>
      <c r="H13" s="38">
        <v>243.551</v>
      </c>
      <c r="I13" s="38">
        <v>0</v>
      </c>
      <c r="J13" s="38">
        <v>0</v>
      </c>
      <c r="K13" s="38">
        <f t="shared" si="0"/>
        <v>3868.4429</v>
      </c>
      <c r="L13" s="38">
        <v>445.1083</v>
      </c>
      <c r="M13" s="38">
        <v>109.6642</v>
      </c>
      <c r="N13" s="38">
        <v>40.6736</v>
      </c>
      <c r="O13" s="38">
        <v>6.1894</v>
      </c>
      <c r="P13" s="38">
        <v>0.65</v>
      </c>
      <c r="Q13" s="38">
        <v>56.9495</v>
      </c>
      <c r="R13" s="38">
        <v>482.2256</v>
      </c>
      <c r="S13" s="38">
        <v>29.1068</v>
      </c>
      <c r="T13" s="38">
        <v>23.3631</v>
      </c>
      <c r="U13" s="38">
        <v>140.0504</v>
      </c>
      <c r="V13" s="38">
        <v>0.2405</v>
      </c>
      <c r="W13" s="38">
        <f t="shared" si="1"/>
        <v>1334.2214</v>
      </c>
      <c r="X13" s="38">
        <v>0</v>
      </c>
      <c r="Y13" s="38">
        <v>82.0784</v>
      </c>
      <c r="Z13" s="38">
        <v>182.732</v>
      </c>
      <c r="AA13" s="38">
        <v>49.5585</v>
      </c>
      <c r="AB13" s="38">
        <v>45.1632</v>
      </c>
      <c r="AC13" s="38">
        <f t="shared" si="2"/>
        <v>359.5321</v>
      </c>
      <c r="AD13" s="38">
        <v>1693.7535</v>
      </c>
      <c r="AE13" s="38">
        <v>0</v>
      </c>
      <c r="AF13" s="38">
        <v>1889.8776</v>
      </c>
      <c r="AG13" s="38">
        <v>0</v>
      </c>
      <c r="AH13" s="38">
        <v>1.7155</v>
      </c>
      <c r="AI13" s="38">
        <v>0</v>
      </c>
      <c r="AJ13" s="38">
        <f t="shared" si="3"/>
        <v>9.123</v>
      </c>
      <c r="AK13" s="38">
        <f t="shared" si="4"/>
        <v>3594.4696</v>
      </c>
      <c r="AL13" s="38">
        <v>11.53387951016</v>
      </c>
      <c r="AM13" s="38">
        <v>157.751588301235</v>
      </c>
      <c r="AN13" s="38">
        <v>25.031084519242</v>
      </c>
      <c r="AO13" s="38">
        <v>29.191590235824</v>
      </c>
      <c r="AP13" s="38">
        <v>141.004716607075</v>
      </c>
      <c r="AQ13" s="38">
        <v>52.504641783354</v>
      </c>
      <c r="AR13" s="38">
        <v>2.306823992394</v>
      </c>
      <c r="AS13" s="38">
        <v>0</v>
      </c>
      <c r="AT13" s="38">
        <v>114.112025190128</v>
      </c>
      <c r="AU13" s="38">
        <v>17.577242636664</v>
      </c>
      <c r="AV13" s="38">
        <v>8033.08215347491</v>
      </c>
      <c r="AW13" s="38">
        <v>0</v>
      </c>
      <c r="AX13" s="38">
        <v>5.538685994263</v>
      </c>
      <c r="AY13" s="38">
        <v>0</v>
      </c>
      <c r="AZ13" s="38">
        <v>390.383018838703</v>
      </c>
      <c r="BA13" s="38">
        <v>2.39162154226</v>
      </c>
      <c r="BB13" s="38">
        <f t="shared" si="7"/>
        <v>8982.40907262621</v>
      </c>
      <c r="BC13" s="38">
        <v>0</v>
      </c>
      <c r="BD13" s="38">
        <v>261.488612479288</v>
      </c>
      <c r="BE13" s="38">
        <v>1481.70628315294</v>
      </c>
      <c r="BF13" s="38">
        <v>0</v>
      </c>
      <c r="BG13" s="38">
        <v>111.530696087639</v>
      </c>
      <c r="BH13" s="38">
        <v>47.000242421525</v>
      </c>
      <c r="BI13" s="38">
        <f t="shared" si="8"/>
        <v>1901.72583414139</v>
      </c>
      <c r="BJ13" s="38">
        <f t="shared" si="9"/>
        <v>10884.1349067676</v>
      </c>
      <c r="BK13" s="38">
        <v>244.632597694579</v>
      </c>
      <c r="BL13" s="46"/>
      <c r="BM13" s="46"/>
      <c r="BN13" s="46"/>
      <c r="BO13" s="46"/>
      <c r="BP13" s="38">
        <v>0</v>
      </c>
      <c r="BQ13" s="38">
        <v>9.123</v>
      </c>
      <c r="BR13" s="50"/>
      <c r="BS13" s="50"/>
      <c r="BT13" s="50"/>
      <c r="BU13" s="50"/>
      <c r="BV13" s="50"/>
      <c r="BW13" s="50"/>
    </row>
    <row r="14" ht="19.9" customHeight="1" spans="1:75">
      <c r="A14" s="10" t="s">
        <v>21</v>
      </c>
      <c r="B14" s="38">
        <f t="shared" si="5"/>
        <v>21.8406000000004</v>
      </c>
      <c r="C14" s="39">
        <f t="shared" si="6"/>
        <v>-27.3475789210233</v>
      </c>
      <c r="D14" s="38">
        <v>1297.2788</v>
      </c>
      <c r="E14" s="38">
        <v>0</v>
      </c>
      <c r="F14" s="38">
        <v>2272.0475</v>
      </c>
      <c r="G14" s="38">
        <v>0</v>
      </c>
      <c r="H14" s="38">
        <v>288.1387</v>
      </c>
      <c r="I14" s="38">
        <v>0</v>
      </c>
      <c r="J14" s="38">
        <v>0</v>
      </c>
      <c r="K14" s="38">
        <f t="shared" si="0"/>
        <v>3857.465</v>
      </c>
      <c r="L14" s="38">
        <v>444.216</v>
      </c>
      <c r="M14" s="38">
        <v>111.3381</v>
      </c>
      <c r="N14" s="38">
        <v>31.0199</v>
      </c>
      <c r="O14" s="38">
        <v>6.8643</v>
      </c>
      <c r="P14" s="38">
        <v>0.4017</v>
      </c>
      <c r="Q14" s="38">
        <v>56.2544</v>
      </c>
      <c r="R14" s="38">
        <v>478.5316</v>
      </c>
      <c r="S14" s="38">
        <v>27.6718</v>
      </c>
      <c r="T14" s="38">
        <v>27.3229</v>
      </c>
      <c r="U14" s="38">
        <v>140.4451</v>
      </c>
      <c r="V14" s="38">
        <v>0.2403</v>
      </c>
      <c r="W14" s="38">
        <f t="shared" si="1"/>
        <v>1324.3061</v>
      </c>
      <c r="X14" s="38">
        <v>0</v>
      </c>
      <c r="Y14" s="38">
        <v>72.2954</v>
      </c>
      <c r="Z14" s="38">
        <v>185.8883</v>
      </c>
      <c r="AA14" s="38">
        <v>50.9942</v>
      </c>
      <c r="AB14" s="38">
        <v>43.9369</v>
      </c>
      <c r="AC14" s="38">
        <f t="shared" si="2"/>
        <v>353.1148</v>
      </c>
      <c r="AD14" s="38">
        <v>1677.4209</v>
      </c>
      <c r="AE14" s="38">
        <v>0</v>
      </c>
      <c r="AF14" s="38">
        <v>2148.8315</v>
      </c>
      <c r="AG14" s="38">
        <v>0</v>
      </c>
      <c r="AH14" s="38">
        <v>0</v>
      </c>
      <c r="AI14" s="38">
        <v>0</v>
      </c>
      <c r="AJ14" s="38">
        <f t="shared" si="3"/>
        <v>9.372</v>
      </c>
      <c r="AK14" s="38">
        <f t="shared" si="4"/>
        <v>3835.6244</v>
      </c>
      <c r="AL14" s="38">
        <v>11.80977313207</v>
      </c>
      <c r="AM14" s="38">
        <v>159.496161090024</v>
      </c>
      <c r="AN14" s="38">
        <v>25.076207111173</v>
      </c>
      <c r="AO14" s="38">
        <v>29.198674062098</v>
      </c>
      <c r="AP14" s="38">
        <v>139.744125197172</v>
      </c>
      <c r="AQ14" s="38">
        <v>51.443161904805</v>
      </c>
      <c r="AR14" s="38">
        <v>2.372729263111</v>
      </c>
      <c r="AS14" s="38">
        <v>0</v>
      </c>
      <c r="AT14" s="38">
        <v>117.141722612874</v>
      </c>
      <c r="AU14" s="38">
        <v>18.039199627214</v>
      </c>
      <c r="AV14" s="38">
        <v>8064.14289337337</v>
      </c>
      <c r="AW14" s="38">
        <v>0</v>
      </c>
      <c r="AX14" s="38">
        <v>5.571650740122</v>
      </c>
      <c r="AY14" s="38">
        <v>0</v>
      </c>
      <c r="AZ14" s="38">
        <v>389.980513902201</v>
      </c>
      <c r="BA14" s="38">
        <v>2.434749479116</v>
      </c>
      <c r="BB14" s="38">
        <f t="shared" si="7"/>
        <v>9016.45156149535</v>
      </c>
      <c r="BC14" s="38">
        <v>0</v>
      </c>
      <c r="BD14" s="38">
        <v>261.841097963481</v>
      </c>
      <c r="BE14" s="38">
        <v>1496.83003448615</v>
      </c>
      <c r="BF14" s="38">
        <v>0</v>
      </c>
      <c r="BG14" s="38">
        <v>111.174115684087</v>
      </c>
      <c r="BH14" s="38">
        <v>47.026276059562</v>
      </c>
      <c r="BI14" s="38">
        <f t="shared" si="8"/>
        <v>1916.87152419328</v>
      </c>
      <c r="BJ14" s="38">
        <f t="shared" si="9"/>
        <v>10933.3230856886</v>
      </c>
      <c r="BK14" s="38">
        <v>49.1881789210238</v>
      </c>
      <c r="BL14" s="46"/>
      <c r="BM14" s="46"/>
      <c r="BN14" s="46"/>
      <c r="BO14" s="46"/>
      <c r="BP14" s="38">
        <v>0.2769</v>
      </c>
      <c r="BQ14" s="38">
        <v>9.0951</v>
      </c>
      <c r="BR14" s="50"/>
      <c r="BS14" s="50"/>
      <c r="BT14" s="50"/>
      <c r="BU14" s="50"/>
      <c r="BV14" s="50"/>
      <c r="BW14" s="50"/>
    </row>
    <row r="15" ht="19.9" customHeight="1" spans="1:75">
      <c r="A15" s="10" t="s">
        <v>22</v>
      </c>
      <c r="B15" s="38">
        <f t="shared" si="5"/>
        <v>77.2201999999993</v>
      </c>
      <c r="C15" s="38">
        <f t="shared" si="6"/>
        <v>28.7474699975987</v>
      </c>
      <c r="D15" s="38">
        <v>1299.1517</v>
      </c>
      <c r="E15" s="38">
        <v>0</v>
      </c>
      <c r="F15" s="38">
        <v>1918.0749</v>
      </c>
      <c r="G15" s="38">
        <v>0</v>
      </c>
      <c r="H15" s="38">
        <v>892.2229</v>
      </c>
      <c r="I15" s="38">
        <v>0</v>
      </c>
      <c r="J15" s="38">
        <v>0</v>
      </c>
      <c r="K15" s="38">
        <f t="shared" si="0"/>
        <v>4109.4495</v>
      </c>
      <c r="L15" s="38">
        <v>430.6844</v>
      </c>
      <c r="M15" s="38">
        <v>114.8313</v>
      </c>
      <c r="N15" s="38">
        <v>56.2608</v>
      </c>
      <c r="O15" s="38">
        <v>6.1439</v>
      </c>
      <c r="P15" s="38">
        <v>0.4005</v>
      </c>
      <c r="Q15" s="38">
        <v>54.2152</v>
      </c>
      <c r="R15" s="38">
        <v>483.6239</v>
      </c>
      <c r="S15" s="38">
        <v>29.3241</v>
      </c>
      <c r="T15" s="38">
        <v>22.6842</v>
      </c>
      <c r="U15" s="38">
        <v>140.7749</v>
      </c>
      <c r="V15" s="38">
        <v>0.25</v>
      </c>
      <c r="W15" s="38">
        <f t="shared" si="1"/>
        <v>1339.1932</v>
      </c>
      <c r="X15" s="38">
        <v>0</v>
      </c>
      <c r="Y15" s="38">
        <v>63.3224</v>
      </c>
      <c r="Z15" s="38">
        <v>178.8785</v>
      </c>
      <c r="AA15" s="38">
        <v>48.466</v>
      </c>
      <c r="AB15" s="38">
        <v>43.0662</v>
      </c>
      <c r="AC15" s="38">
        <f t="shared" si="2"/>
        <v>333.7331</v>
      </c>
      <c r="AD15" s="38">
        <v>1672.9263</v>
      </c>
      <c r="AE15" s="38">
        <v>0</v>
      </c>
      <c r="AF15" s="38">
        <v>2349.6842</v>
      </c>
      <c r="AG15" s="38">
        <v>0</v>
      </c>
      <c r="AH15" s="38">
        <v>0</v>
      </c>
      <c r="AI15" s="38">
        <v>0</v>
      </c>
      <c r="AJ15" s="38">
        <f t="shared" si="3"/>
        <v>9.6188</v>
      </c>
      <c r="AK15" s="38">
        <f t="shared" si="4"/>
        <v>4032.2293</v>
      </c>
      <c r="AL15" s="38">
        <v>11.699283674911</v>
      </c>
      <c r="AM15" s="38">
        <v>157.169272911697</v>
      </c>
      <c r="AN15" s="38">
        <v>22.266208620288</v>
      </c>
      <c r="AO15" s="38">
        <v>29.128295023122</v>
      </c>
      <c r="AP15" s="38">
        <v>138.04446388167</v>
      </c>
      <c r="AQ15" s="38">
        <v>51.231599771959</v>
      </c>
      <c r="AR15" s="38">
        <v>2.272304949877</v>
      </c>
      <c r="AS15" s="38">
        <v>0</v>
      </c>
      <c r="AT15" s="38">
        <v>114.164111950156</v>
      </c>
      <c r="AU15" s="38">
        <v>17.537707642922</v>
      </c>
      <c r="AV15" s="38">
        <v>7978.7131420417</v>
      </c>
      <c r="AW15" s="38">
        <v>0</v>
      </c>
      <c r="AX15" s="38">
        <v>5.480150561138</v>
      </c>
      <c r="AY15" s="38">
        <v>0</v>
      </c>
      <c r="AZ15" s="38">
        <v>442.469673308608</v>
      </c>
      <c r="BA15" s="38">
        <v>2.222671367162</v>
      </c>
      <c r="BB15" s="38">
        <f t="shared" si="7"/>
        <v>8972.39888570521</v>
      </c>
      <c r="BC15" s="38">
        <v>0</v>
      </c>
      <c r="BD15" s="38">
        <v>262.08993250487</v>
      </c>
      <c r="BE15" s="38">
        <v>1590.56467654131</v>
      </c>
      <c r="BF15" s="38">
        <v>0</v>
      </c>
      <c r="BG15" s="38">
        <v>109.093605489502</v>
      </c>
      <c r="BH15" s="38">
        <v>47.64871545014</v>
      </c>
      <c r="BI15" s="38">
        <f t="shared" si="8"/>
        <v>2009.39692998582</v>
      </c>
      <c r="BJ15" s="38">
        <f t="shared" si="9"/>
        <v>10981.795815691</v>
      </c>
      <c r="BK15" s="38">
        <v>48.4727300024006</v>
      </c>
      <c r="BL15" s="46"/>
      <c r="BM15" s="46"/>
      <c r="BN15" s="46"/>
      <c r="BO15" s="46"/>
      <c r="BP15" s="38">
        <v>0</v>
      </c>
      <c r="BQ15" s="38">
        <v>9.6188</v>
      </c>
      <c r="BR15" s="50"/>
      <c r="BS15" s="50"/>
      <c r="BT15" s="50"/>
      <c r="BU15" s="50"/>
      <c r="BV15" s="50"/>
      <c r="BW15" s="50"/>
    </row>
    <row r="16" ht="19.9" customHeight="1" spans="1:75">
      <c r="A16" s="10" t="s">
        <v>23</v>
      </c>
      <c r="B16" s="39">
        <f t="shared" si="5"/>
        <v>-202.286900000001</v>
      </c>
      <c r="C16" s="38">
        <f t="shared" si="6"/>
        <v>16.4121576849361</v>
      </c>
      <c r="D16" s="38">
        <v>1301.5488</v>
      </c>
      <c r="E16" s="38">
        <v>0</v>
      </c>
      <c r="F16" s="38">
        <v>1403.4669</v>
      </c>
      <c r="G16" s="38">
        <v>0</v>
      </c>
      <c r="H16" s="38">
        <v>501.573</v>
      </c>
      <c r="I16" s="38">
        <v>232.912</v>
      </c>
      <c r="J16" s="38">
        <v>343.0355</v>
      </c>
      <c r="K16" s="38">
        <f t="shared" si="0"/>
        <v>3782.5362</v>
      </c>
      <c r="L16" s="38">
        <v>446.7563</v>
      </c>
      <c r="M16" s="38">
        <v>115.8241</v>
      </c>
      <c r="N16" s="38">
        <v>68.326</v>
      </c>
      <c r="O16" s="38">
        <v>9.7334</v>
      </c>
      <c r="P16" s="38">
        <v>0.4003</v>
      </c>
      <c r="Q16" s="38">
        <v>57.5689</v>
      </c>
      <c r="R16" s="38">
        <v>476.5776</v>
      </c>
      <c r="S16" s="38">
        <v>28.521</v>
      </c>
      <c r="T16" s="38">
        <v>17.3511</v>
      </c>
      <c r="U16" s="38">
        <v>141.0697</v>
      </c>
      <c r="V16" s="38">
        <v>0.2803</v>
      </c>
      <c r="W16" s="38">
        <f t="shared" si="1"/>
        <v>1362.4087</v>
      </c>
      <c r="X16" s="38">
        <v>0</v>
      </c>
      <c r="Y16" s="38">
        <v>63.3708</v>
      </c>
      <c r="Z16" s="38">
        <v>178.0754</v>
      </c>
      <c r="AA16" s="38">
        <v>46.8272</v>
      </c>
      <c r="AB16" s="38">
        <v>54.9756</v>
      </c>
      <c r="AC16" s="38">
        <f t="shared" si="2"/>
        <v>343.249</v>
      </c>
      <c r="AD16" s="38">
        <v>1705.6577</v>
      </c>
      <c r="AE16" s="38">
        <v>0</v>
      </c>
      <c r="AF16" s="38">
        <v>2269.2961</v>
      </c>
      <c r="AG16" s="38">
        <v>0</v>
      </c>
      <c r="AH16" s="38">
        <v>0</v>
      </c>
      <c r="AI16" s="38">
        <v>0</v>
      </c>
      <c r="AJ16" s="38">
        <f t="shared" si="3"/>
        <v>9.8693</v>
      </c>
      <c r="AK16" s="38">
        <f t="shared" si="4"/>
        <v>3984.8231</v>
      </c>
      <c r="AL16" s="38">
        <v>11.832927272648</v>
      </c>
      <c r="AM16" s="38">
        <v>156.096612466096</v>
      </c>
      <c r="AN16" s="38">
        <v>25.780454617569</v>
      </c>
      <c r="AO16" s="38">
        <v>28.596418793404</v>
      </c>
      <c r="AP16" s="38">
        <v>137.855000268075</v>
      </c>
      <c r="AQ16" s="38">
        <v>53.065340881883</v>
      </c>
      <c r="AR16" s="38">
        <v>2.31491193076</v>
      </c>
      <c r="AS16" s="38">
        <v>0</v>
      </c>
      <c r="AT16" s="38">
        <v>115.699084006502</v>
      </c>
      <c r="AU16" s="38">
        <v>16.607308232927</v>
      </c>
      <c r="AV16" s="38">
        <v>7968.91658389671</v>
      </c>
      <c r="AW16" s="38">
        <v>0</v>
      </c>
      <c r="AX16" s="38">
        <v>5.583275260888</v>
      </c>
      <c r="AY16" s="38">
        <v>0</v>
      </c>
      <c r="AZ16" s="38">
        <v>393.017138781864</v>
      </c>
      <c r="BA16" s="38">
        <v>2.547967005711</v>
      </c>
      <c r="BB16" s="38">
        <f t="shared" si="7"/>
        <v>8917.91302341504</v>
      </c>
      <c r="BC16" s="38">
        <v>0</v>
      </c>
      <c r="BD16" s="38">
        <v>258.169075304725</v>
      </c>
      <c r="BE16" s="38">
        <v>1430.76940132153</v>
      </c>
      <c r="BF16" s="38">
        <v>0</v>
      </c>
      <c r="BG16" s="38">
        <v>108.724662488433</v>
      </c>
      <c r="BH16" s="38">
        <v>47.520595476357</v>
      </c>
      <c r="BI16" s="38">
        <f t="shared" si="8"/>
        <v>1845.18373459105</v>
      </c>
      <c r="BJ16" s="38">
        <f t="shared" si="9"/>
        <v>10763.0967580061</v>
      </c>
      <c r="BK16" s="39">
        <v>-218.699057684937</v>
      </c>
      <c r="BL16" s="46"/>
      <c r="BM16" s="46"/>
      <c r="BN16" s="46"/>
      <c r="BO16" s="46"/>
      <c r="BP16" s="38">
        <v>0.4738</v>
      </c>
      <c r="BQ16" s="38">
        <v>9.3955</v>
      </c>
      <c r="BR16" s="50"/>
      <c r="BS16" s="50"/>
      <c r="BT16" s="50"/>
      <c r="BU16" s="50"/>
      <c r="BV16" s="50"/>
      <c r="BW16" s="50"/>
    </row>
    <row r="17" ht="19.9" customHeight="1" spans="1:75">
      <c r="A17" s="10" t="s">
        <v>24</v>
      </c>
      <c r="B17" s="39">
        <f t="shared" si="5"/>
        <v>-166.3505</v>
      </c>
      <c r="C17" s="39">
        <f t="shared" si="6"/>
        <v>-18.8038486331602</v>
      </c>
      <c r="D17" s="38">
        <v>1303.8316</v>
      </c>
      <c r="E17" s="38">
        <v>0</v>
      </c>
      <c r="F17" s="38">
        <v>1463.7287</v>
      </c>
      <c r="G17" s="38">
        <v>0</v>
      </c>
      <c r="H17" s="38">
        <v>387.7214</v>
      </c>
      <c r="I17" s="38">
        <v>0</v>
      </c>
      <c r="J17" s="38">
        <v>658.8093</v>
      </c>
      <c r="K17" s="38">
        <f t="shared" si="0"/>
        <v>3814.091</v>
      </c>
      <c r="L17" s="38">
        <v>463.2629</v>
      </c>
      <c r="M17" s="38">
        <v>115.6618</v>
      </c>
      <c r="N17" s="38">
        <v>86.6426</v>
      </c>
      <c r="O17" s="38">
        <v>11.2571</v>
      </c>
      <c r="P17" s="38">
        <v>0.4005</v>
      </c>
      <c r="Q17" s="38">
        <v>54.3935</v>
      </c>
      <c r="R17" s="38">
        <v>472.3763</v>
      </c>
      <c r="S17" s="38">
        <v>28.8051</v>
      </c>
      <c r="T17" s="38">
        <v>26.7548</v>
      </c>
      <c r="U17" s="38">
        <v>146.6401</v>
      </c>
      <c r="V17" s="38">
        <v>0.2804</v>
      </c>
      <c r="W17" s="38">
        <f t="shared" si="1"/>
        <v>1406.4751</v>
      </c>
      <c r="X17" s="38">
        <v>0</v>
      </c>
      <c r="Y17" s="38">
        <v>62.9762</v>
      </c>
      <c r="Z17" s="38">
        <v>178.4057</v>
      </c>
      <c r="AA17" s="38">
        <v>52.4529</v>
      </c>
      <c r="AB17" s="38">
        <v>58.598</v>
      </c>
      <c r="AC17" s="38">
        <f t="shared" si="2"/>
        <v>352.4328</v>
      </c>
      <c r="AD17" s="38">
        <v>1758.9079</v>
      </c>
      <c r="AE17" s="38">
        <v>130.4104</v>
      </c>
      <c r="AF17" s="38">
        <v>2081.8292</v>
      </c>
      <c r="AG17" s="38">
        <v>0</v>
      </c>
      <c r="AH17" s="38">
        <v>0</v>
      </c>
      <c r="AI17" s="38">
        <v>0</v>
      </c>
      <c r="AJ17" s="38">
        <f t="shared" si="3"/>
        <v>9.294</v>
      </c>
      <c r="AK17" s="38">
        <f t="shared" si="4"/>
        <v>3980.4415</v>
      </c>
      <c r="AL17" s="38">
        <v>11.791468191376</v>
      </c>
      <c r="AM17" s="38">
        <v>156.508216281192</v>
      </c>
      <c r="AN17" s="38">
        <v>24.995550584576</v>
      </c>
      <c r="AO17" s="38">
        <v>29.176912779106</v>
      </c>
      <c r="AP17" s="38">
        <v>137.301070969684</v>
      </c>
      <c r="AQ17" s="38">
        <v>52.248494522394</v>
      </c>
      <c r="AR17" s="38">
        <v>2.285297762744</v>
      </c>
      <c r="AS17" s="38">
        <v>0</v>
      </c>
      <c r="AT17" s="38">
        <v>116.572128779209</v>
      </c>
      <c r="AU17" s="38">
        <v>16.327967438999</v>
      </c>
      <c r="AV17" s="38">
        <v>7898.1418320791</v>
      </c>
      <c r="AW17" s="38">
        <v>0</v>
      </c>
      <c r="AX17" s="38">
        <v>5.618079727475</v>
      </c>
      <c r="AY17" s="38">
        <v>0</v>
      </c>
      <c r="AZ17" s="38">
        <v>366.196946186713</v>
      </c>
      <c r="BA17" s="38">
        <v>2.497070180684</v>
      </c>
      <c r="BB17" s="38">
        <f t="shared" si="7"/>
        <v>8819.66103548325</v>
      </c>
      <c r="BC17" s="38">
        <v>0</v>
      </c>
      <c r="BD17" s="38">
        <v>259.830192033197</v>
      </c>
      <c r="BE17" s="38">
        <v>1379.86402252689</v>
      </c>
      <c r="BF17" s="38">
        <v>0</v>
      </c>
      <c r="BG17" s="38">
        <v>108.790538226591</v>
      </c>
      <c r="BH17" s="38">
        <v>47.404318369327</v>
      </c>
      <c r="BI17" s="38">
        <f t="shared" si="8"/>
        <v>1795.889071156</v>
      </c>
      <c r="BJ17" s="38">
        <f t="shared" si="9"/>
        <v>10615.5501066392</v>
      </c>
      <c r="BK17" s="39">
        <v>-147.54665136684</v>
      </c>
      <c r="BL17" s="46"/>
      <c r="BM17" s="46"/>
      <c r="BN17" s="46"/>
      <c r="BO17" s="46"/>
      <c r="BP17" s="38">
        <v>0</v>
      </c>
      <c r="BQ17" s="38">
        <v>9.294</v>
      </c>
      <c r="BR17" s="50"/>
      <c r="BS17" s="50"/>
      <c r="BT17" s="50"/>
      <c r="BU17" s="50"/>
      <c r="BV17" s="50"/>
      <c r="BW17" s="50"/>
    </row>
    <row r="18" ht="19.9" customHeight="1" spans="1:75">
      <c r="A18" s="10" t="s">
        <v>25</v>
      </c>
      <c r="B18" s="38">
        <f t="shared" si="5"/>
        <v>104.845200000001</v>
      </c>
      <c r="C18" s="39">
        <f t="shared" si="6"/>
        <v>-34.3131894629742</v>
      </c>
      <c r="D18" s="38">
        <v>1304.4859</v>
      </c>
      <c r="E18" s="38">
        <v>0</v>
      </c>
      <c r="F18" s="38">
        <v>1671.306</v>
      </c>
      <c r="G18" s="38">
        <v>0</v>
      </c>
      <c r="H18" s="38">
        <v>1112.3619</v>
      </c>
      <c r="I18" s="38">
        <v>0</v>
      </c>
      <c r="J18" s="38">
        <v>200.745</v>
      </c>
      <c r="K18" s="38">
        <f t="shared" si="0"/>
        <v>4288.8988</v>
      </c>
      <c r="L18" s="38">
        <v>470.2129</v>
      </c>
      <c r="M18" s="38">
        <v>122.2358</v>
      </c>
      <c r="N18" s="38">
        <v>81.3345</v>
      </c>
      <c r="O18" s="38">
        <v>11.4785</v>
      </c>
      <c r="P18" s="38">
        <v>0.9013</v>
      </c>
      <c r="Q18" s="38">
        <v>66.1089</v>
      </c>
      <c r="R18" s="38">
        <v>474.1969</v>
      </c>
      <c r="S18" s="38">
        <v>28.3306</v>
      </c>
      <c r="T18" s="38">
        <v>26.772</v>
      </c>
      <c r="U18" s="38">
        <v>145.0895</v>
      </c>
      <c r="V18" s="38">
        <v>0.3202</v>
      </c>
      <c r="W18" s="38">
        <f t="shared" si="1"/>
        <v>1426.9811</v>
      </c>
      <c r="X18" s="38">
        <v>0</v>
      </c>
      <c r="Y18" s="38">
        <v>63.4591</v>
      </c>
      <c r="Z18" s="38">
        <v>182.931</v>
      </c>
      <c r="AA18" s="38">
        <v>49.8704</v>
      </c>
      <c r="AB18" s="38">
        <v>56.996</v>
      </c>
      <c r="AC18" s="38">
        <f t="shared" si="2"/>
        <v>353.2565</v>
      </c>
      <c r="AD18" s="38">
        <v>1780.2376</v>
      </c>
      <c r="AE18" s="38">
        <v>309.4858</v>
      </c>
      <c r="AF18" s="38">
        <v>2083.5494</v>
      </c>
      <c r="AG18" s="38">
        <v>0</v>
      </c>
      <c r="AH18" s="38">
        <v>0</v>
      </c>
      <c r="AI18" s="38">
        <v>0</v>
      </c>
      <c r="AJ18" s="38">
        <f t="shared" si="3"/>
        <v>10.7808</v>
      </c>
      <c r="AK18" s="38">
        <f t="shared" si="4"/>
        <v>4184.0536</v>
      </c>
      <c r="AL18" s="38">
        <v>11.619261528532</v>
      </c>
      <c r="AM18" s="38">
        <v>158.558578799523</v>
      </c>
      <c r="AN18" s="38">
        <v>24.43402125447</v>
      </c>
      <c r="AO18" s="38">
        <v>29.659108490672</v>
      </c>
      <c r="AP18" s="38">
        <v>138.186143508762</v>
      </c>
      <c r="AQ18" s="38">
        <v>52.081090415956</v>
      </c>
      <c r="AR18" s="38">
        <v>2.338342344013</v>
      </c>
      <c r="AS18" s="38">
        <v>0</v>
      </c>
      <c r="AT18" s="38">
        <v>115.872983042876</v>
      </c>
      <c r="AU18" s="38">
        <v>16.44930653584</v>
      </c>
      <c r="AV18" s="38">
        <v>7967.23227057137</v>
      </c>
      <c r="AW18" s="38">
        <v>0</v>
      </c>
      <c r="AX18" s="38">
        <v>5.606972094787</v>
      </c>
      <c r="AY18" s="38">
        <v>0</v>
      </c>
      <c r="AZ18" s="38">
        <v>415.205027906883</v>
      </c>
      <c r="BA18" s="38">
        <v>2.441927821408</v>
      </c>
      <c r="BB18" s="38">
        <f t="shared" si="7"/>
        <v>8939.68503431509</v>
      </c>
      <c r="BC18" s="38">
        <v>0</v>
      </c>
      <c r="BD18" s="38">
        <v>228.004649486482</v>
      </c>
      <c r="BE18" s="38">
        <v>1429.50136789478</v>
      </c>
      <c r="BF18" s="38">
        <v>0</v>
      </c>
      <c r="BG18" s="38">
        <v>109.404886216121</v>
      </c>
      <c r="BH18" s="38">
        <v>48.112558189749</v>
      </c>
      <c r="BI18" s="38">
        <f t="shared" si="8"/>
        <v>1815.02346178713</v>
      </c>
      <c r="BJ18" s="38">
        <f t="shared" si="9"/>
        <v>10754.7084961022</v>
      </c>
      <c r="BK18" s="38">
        <v>139.158389462975</v>
      </c>
      <c r="BL18" s="46"/>
      <c r="BM18" s="46"/>
      <c r="BN18" s="46"/>
      <c r="BO18" s="46"/>
      <c r="BP18" s="38">
        <v>0.4475</v>
      </c>
      <c r="BQ18" s="38">
        <v>10.3333</v>
      </c>
      <c r="BR18" s="50"/>
      <c r="BS18" s="50"/>
      <c r="BT18" s="50"/>
      <c r="BU18" s="50"/>
      <c r="BV18" s="50"/>
      <c r="BW18" s="50"/>
    </row>
    <row r="19" ht="19.9" customHeight="1" spans="1:75">
      <c r="A19" s="10" t="s">
        <v>26</v>
      </c>
      <c r="B19" s="38">
        <f t="shared" si="5"/>
        <v>73.8101999999999</v>
      </c>
      <c r="C19" s="38">
        <f t="shared" si="6"/>
        <v>60.3212515551368</v>
      </c>
      <c r="D19" s="38">
        <v>1300.4031</v>
      </c>
      <c r="E19" s="38">
        <v>0</v>
      </c>
      <c r="F19" s="38">
        <v>1251.5106</v>
      </c>
      <c r="G19" s="38">
        <v>0</v>
      </c>
      <c r="H19" s="38">
        <v>1093.6691</v>
      </c>
      <c r="I19" s="38">
        <v>106.7126</v>
      </c>
      <c r="J19" s="38">
        <v>730.1265</v>
      </c>
      <c r="K19" s="38">
        <f t="shared" si="0"/>
        <v>4482.4219</v>
      </c>
      <c r="L19" s="38">
        <v>475.5825</v>
      </c>
      <c r="M19" s="38">
        <v>120.1128</v>
      </c>
      <c r="N19" s="38">
        <v>83.1338</v>
      </c>
      <c r="O19" s="38">
        <v>12.7259</v>
      </c>
      <c r="P19" s="38">
        <v>0.8031</v>
      </c>
      <c r="Q19" s="38">
        <v>61.1397</v>
      </c>
      <c r="R19" s="38">
        <v>490.2442</v>
      </c>
      <c r="S19" s="38">
        <v>28.9103</v>
      </c>
      <c r="T19" s="38">
        <v>25.7577</v>
      </c>
      <c r="U19" s="38">
        <v>146.4279</v>
      </c>
      <c r="V19" s="38">
        <v>0.3501</v>
      </c>
      <c r="W19" s="38">
        <f t="shared" si="1"/>
        <v>1445.188</v>
      </c>
      <c r="X19" s="38">
        <v>0</v>
      </c>
      <c r="Y19" s="38">
        <v>77.0113</v>
      </c>
      <c r="Z19" s="38">
        <v>186.9845</v>
      </c>
      <c r="AA19" s="38">
        <v>50.2493</v>
      </c>
      <c r="AB19" s="38">
        <v>56.7937</v>
      </c>
      <c r="AC19" s="38">
        <f t="shared" si="2"/>
        <v>371.0388</v>
      </c>
      <c r="AD19" s="38">
        <v>1816.2268</v>
      </c>
      <c r="AE19" s="38">
        <v>307.5308</v>
      </c>
      <c r="AF19" s="38">
        <v>2274.3323</v>
      </c>
      <c r="AG19" s="38">
        <v>0</v>
      </c>
      <c r="AH19" s="38">
        <v>0</v>
      </c>
      <c r="AI19" s="38">
        <v>0</v>
      </c>
      <c r="AJ19" s="38">
        <f t="shared" si="3"/>
        <v>10.5218</v>
      </c>
      <c r="AK19" s="38">
        <f t="shared" si="4"/>
        <v>4408.6117</v>
      </c>
      <c r="AL19" s="38">
        <v>11.65612040364</v>
      </c>
      <c r="AM19" s="38">
        <v>156.903585306942</v>
      </c>
      <c r="AN19" s="38">
        <v>23.318174382207</v>
      </c>
      <c r="AO19" s="38">
        <v>28.980111256555</v>
      </c>
      <c r="AP19" s="38">
        <v>139.305795092861</v>
      </c>
      <c r="AQ19" s="38">
        <v>53.130264234325</v>
      </c>
      <c r="AR19" s="38">
        <v>2.291882506334</v>
      </c>
      <c r="AS19" s="38">
        <v>0</v>
      </c>
      <c r="AT19" s="38">
        <v>115.951852799605</v>
      </c>
      <c r="AU19" s="38">
        <v>16.68296853012</v>
      </c>
      <c r="AV19" s="38">
        <v>7925.60204967811</v>
      </c>
      <c r="AW19" s="38">
        <v>0</v>
      </c>
      <c r="AX19" s="38">
        <v>5.525784327926</v>
      </c>
      <c r="AY19" s="38">
        <v>0</v>
      </c>
      <c r="AZ19" s="38">
        <v>448.816184352602</v>
      </c>
      <c r="BA19" s="38">
        <v>2.356485708784</v>
      </c>
      <c r="BB19" s="38">
        <f t="shared" si="7"/>
        <v>8930.52125858001</v>
      </c>
      <c r="BC19" s="38">
        <v>0</v>
      </c>
      <c r="BD19" s="38">
        <v>181.52608711029</v>
      </c>
      <c r="BE19" s="38">
        <v>1499.6173801984</v>
      </c>
      <c r="BF19" s="38">
        <v>0</v>
      </c>
      <c r="BG19" s="38">
        <v>108.793477691891</v>
      </c>
      <c r="BH19" s="38">
        <v>47.739240966493</v>
      </c>
      <c r="BI19" s="38">
        <f t="shared" si="8"/>
        <v>1837.67618596708</v>
      </c>
      <c r="BJ19" s="38">
        <f t="shared" si="9"/>
        <v>10768.1974445471</v>
      </c>
      <c r="BK19" s="38">
        <v>13.4889484448631</v>
      </c>
      <c r="BL19" s="46"/>
      <c r="BM19" s="46"/>
      <c r="BN19" s="46"/>
      <c r="BO19" s="46"/>
      <c r="BP19" s="38">
        <v>0</v>
      </c>
      <c r="BQ19" s="38">
        <v>10.5218</v>
      </c>
      <c r="BR19" s="50"/>
      <c r="BS19" s="50"/>
      <c r="BT19" s="50"/>
      <c r="BU19" s="50"/>
      <c r="BV19" s="50"/>
      <c r="BW19" s="50"/>
    </row>
    <row r="20" ht="19.9" customHeight="1" spans="1:75">
      <c r="A20" s="10" t="s">
        <v>27</v>
      </c>
      <c r="B20" s="38">
        <f t="shared" si="5"/>
        <v>26.2088999999996</v>
      </c>
      <c r="C20" s="39">
        <f t="shared" si="6"/>
        <v>-36.4200967704037</v>
      </c>
      <c r="D20" s="38">
        <v>1298.3597</v>
      </c>
      <c r="E20" s="38">
        <v>0</v>
      </c>
      <c r="F20" s="38">
        <v>993.106</v>
      </c>
      <c r="G20" s="38">
        <v>0</v>
      </c>
      <c r="H20" s="38">
        <v>1088.7035</v>
      </c>
      <c r="I20" s="38">
        <v>279.5663</v>
      </c>
      <c r="J20" s="38">
        <v>950.7431</v>
      </c>
      <c r="K20" s="38">
        <f t="shared" si="0"/>
        <v>4610.4786</v>
      </c>
      <c r="L20" s="38">
        <v>484.2464</v>
      </c>
      <c r="M20" s="38">
        <v>120.76</v>
      </c>
      <c r="N20" s="38">
        <v>76.1563</v>
      </c>
      <c r="O20" s="38">
        <v>12.469</v>
      </c>
      <c r="P20" s="38">
        <v>1.4011</v>
      </c>
      <c r="Q20" s="38">
        <v>55.6728</v>
      </c>
      <c r="R20" s="38">
        <v>491.2915</v>
      </c>
      <c r="S20" s="38">
        <v>27.6166</v>
      </c>
      <c r="T20" s="38">
        <v>26.7551</v>
      </c>
      <c r="U20" s="38">
        <v>146.0351</v>
      </c>
      <c r="V20" s="38">
        <v>0.3503</v>
      </c>
      <c r="W20" s="38">
        <f t="shared" si="1"/>
        <v>1442.7542</v>
      </c>
      <c r="X20" s="38">
        <v>0</v>
      </c>
      <c r="Y20" s="38">
        <v>76.4307</v>
      </c>
      <c r="Z20" s="38">
        <v>189.6875</v>
      </c>
      <c r="AA20" s="38">
        <v>49.9285</v>
      </c>
      <c r="AB20" s="38">
        <v>57.4009</v>
      </c>
      <c r="AC20" s="38">
        <f t="shared" si="2"/>
        <v>373.4476</v>
      </c>
      <c r="AD20" s="38">
        <v>1816.2018</v>
      </c>
      <c r="AE20" s="38">
        <v>304.49</v>
      </c>
      <c r="AF20" s="38">
        <v>2452.5416</v>
      </c>
      <c r="AG20" s="38">
        <v>0</v>
      </c>
      <c r="AH20" s="38">
        <v>0</v>
      </c>
      <c r="AI20" s="38">
        <v>0</v>
      </c>
      <c r="AJ20" s="38">
        <f t="shared" si="3"/>
        <v>11.0363</v>
      </c>
      <c r="AK20" s="38">
        <f t="shared" si="4"/>
        <v>4584.2697</v>
      </c>
      <c r="AL20" s="38">
        <v>11.564036212959</v>
      </c>
      <c r="AM20" s="38">
        <v>162.656357440141</v>
      </c>
      <c r="AN20" s="38">
        <v>22.645274752128</v>
      </c>
      <c r="AO20" s="38">
        <v>28.911498248666</v>
      </c>
      <c r="AP20" s="38">
        <v>139.985690023238</v>
      </c>
      <c r="AQ20" s="38">
        <v>54.229232486708</v>
      </c>
      <c r="AR20" s="38">
        <v>2.253478015952</v>
      </c>
      <c r="AS20" s="38">
        <v>0</v>
      </c>
      <c r="AT20" s="38">
        <v>118.452278792458</v>
      </c>
      <c r="AU20" s="38">
        <v>17.197882697559</v>
      </c>
      <c r="AV20" s="38">
        <v>7905.6678635606</v>
      </c>
      <c r="AW20" s="38">
        <v>0</v>
      </c>
      <c r="AX20" s="38">
        <v>5.59913225436</v>
      </c>
      <c r="AY20" s="38">
        <v>0</v>
      </c>
      <c r="AZ20" s="38">
        <v>448.695698415809</v>
      </c>
      <c r="BA20" s="38">
        <v>2.229941539253</v>
      </c>
      <c r="BB20" s="38">
        <f t="shared" si="7"/>
        <v>8920.08836443983</v>
      </c>
      <c r="BC20" s="38">
        <v>0</v>
      </c>
      <c r="BD20" s="38">
        <v>263.158311480593</v>
      </c>
      <c r="BE20" s="38">
        <v>1488.87983932644</v>
      </c>
      <c r="BF20" s="38">
        <v>0</v>
      </c>
      <c r="BG20" s="38">
        <v>109.936228759011</v>
      </c>
      <c r="BH20" s="38">
        <v>48.763697311613</v>
      </c>
      <c r="BI20" s="38">
        <f t="shared" si="8"/>
        <v>1910.73807687766</v>
      </c>
      <c r="BJ20" s="38">
        <f t="shared" si="9"/>
        <v>10830.8264413175</v>
      </c>
      <c r="BK20" s="38">
        <v>62.6289967704033</v>
      </c>
      <c r="BL20" s="46"/>
      <c r="BM20" s="46"/>
      <c r="BN20" s="46"/>
      <c r="BO20" s="46"/>
      <c r="BP20" s="38">
        <v>0.036</v>
      </c>
      <c r="BQ20" s="38">
        <v>11.0003</v>
      </c>
      <c r="BR20" s="50"/>
      <c r="BS20" s="50"/>
      <c r="BT20" s="50"/>
      <c r="BU20" s="50"/>
      <c r="BV20" s="50"/>
      <c r="BW20" s="50"/>
    </row>
    <row r="21" ht="19.9" customHeight="1" spans="1:75">
      <c r="A21" s="10" t="s">
        <v>28</v>
      </c>
      <c r="B21" s="39">
        <f t="shared" si="5"/>
        <v>-63.3663000000006</v>
      </c>
      <c r="C21" s="38">
        <f t="shared" si="6"/>
        <v>47.3725837178672</v>
      </c>
      <c r="D21" s="38">
        <v>1394.3701</v>
      </c>
      <c r="E21" s="38">
        <v>0</v>
      </c>
      <c r="F21" s="38">
        <v>1093.5291</v>
      </c>
      <c r="G21" s="38">
        <v>0</v>
      </c>
      <c r="H21" s="38">
        <v>833.7868</v>
      </c>
      <c r="I21" s="38">
        <v>292.7644</v>
      </c>
      <c r="J21" s="38">
        <v>502.7441</v>
      </c>
      <c r="K21" s="38">
        <f t="shared" si="0"/>
        <v>4117.1945</v>
      </c>
      <c r="L21" s="38">
        <v>469.821</v>
      </c>
      <c r="M21" s="38">
        <v>113.4655</v>
      </c>
      <c r="N21" s="38">
        <v>75.643</v>
      </c>
      <c r="O21" s="38">
        <v>12.1947</v>
      </c>
      <c r="P21" s="38">
        <v>0.8003</v>
      </c>
      <c r="Q21" s="38">
        <v>60.814</v>
      </c>
      <c r="R21" s="38">
        <v>478.072</v>
      </c>
      <c r="S21" s="38">
        <v>26.6676</v>
      </c>
      <c r="T21" s="38">
        <v>28.7698</v>
      </c>
      <c r="U21" s="38">
        <v>144.634</v>
      </c>
      <c r="V21" s="38">
        <v>0.35</v>
      </c>
      <c r="W21" s="38">
        <f t="shared" si="1"/>
        <v>1411.2319</v>
      </c>
      <c r="X21" s="38">
        <v>0</v>
      </c>
      <c r="Y21" s="38">
        <v>77.2396</v>
      </c>
      <c r="Z21" s="38">
        <v>188.9433</v>
      </c>
      <c r="AA21" s="38">
        <v>49.871</v>
      </c>
      <c r="AB21" s="38">
        <v>56.7015</v>
      </c>
      <c r="AC21" s="38">
        <f t="shared" si="2"/>
        <v>372.7554</v>
      </c>
      <c r="AD21" s="38">
        <v>1783.9873</v>
      </c>
      <c r="AE21" s="38">
        <v>276.7537</v>
      </c>
      <c r="AF21" s="38">
        <v>2110.9815</v>
      </c>
      <c r="AG21" s="38">
        <v>0</v>
      </c>
      <c r="AH21" s="38">
        <v>0</v>
      </c>
      <c r="AI21" s="38">
        <v>0</v>
      </c>
      <c r="AJ21" s="38">
        <f t="shared" si="3"/>
        <v>8.8383</v>
      </c>
      <c r="AK21" s="38">
        <f t="shared" si="4"/>
        <v>4180.5608</v>
      </c>
      <c r="AL21" s="38">
        <v>11.574945964723</v>
      </c>
      <c r="AM21" s="38">
        <v>160.88098259623</v>
      </c>
      <c r="AN21" s="38">
        <v>22.458974021805</v>
      </c>
      <c r="AO21" s="38">
        <v>28.815151790985</v>
      </c>
      <c r="AP21" s="38">
        <v>141.7947379847</v>
      </c>
      <c r="AQ21" s="38">
        <v>52.064062030989</v>
      </c>
      <c r="AR21" s="38">
        <v>2.334479183862</v>
      </c>
      <c r="AS21" s="38">
        <v>0</v>
      </c>
      <c r="AT21" s="38">
        <v>110.449113141127</v>
      </c>
      <c r="AU21" s="38">
        <v>17.034121125002</v>
      </c>
      <c r="AV21" s="38">
        <v>7950.26502850318</v>
      </c>
      <c r="AW21" s="38">
        <v>0</v>
      </c>
      <c r="AX21" s="38">
        <v>5.49297495408</v>
      </c>
      <c r="AY21" s="38">
        <v>0</v>
      </c>
      <c r="AZ21" s="38">
        <v>380.734504226646</v>
      </c>
      <c r="BA21" s="38">
        <v>2.190608475921</v>
      </c>
      <c r="BB21" s="38">
        <f t="shared" si="7"/>
        <v>8886.08968399925</v>
      </c>
      <c r="BC21" s="38">
        <v>0</v>
      </c>
      <c r="BD21" s="38">
        <v>258.882113084604</v>
      </c>
      <c r="BE21" s="38">
        <v>1416.76313482213</v>
      </c>
      <c r="BF21" s="38">
        <v>0</v>
      </c>
      <c r="BG21" s="38">
        <v>109.910332873762</v>
      </c>
      <c r="BH21" s="38">
        <v>48.442292819879</v>
      </c>
      <c r="BI21" s="38">
        <f t="shared" si="8"/>
        <v>1833.99787360037</v>
      </c>
      <c r="BJ21" s="38">
        <f t="shared" si="9"/>
        <v>10720.0875575996</v>
      </c>
      <c r="BK21" s="39">
        <v>-110.738883717868</v>
      </c>
      <c r="BL21" s="46"/>
      <c r="BM21" s="46"/>
      <c r="BN21" s="46"/>
      <c r="BO21" s="46"/>
      <c r="BP21" s="38">
        <v>0</v>
      </c>
      <c r="BQ21" s="38">
        <v>8.8383</v>
      </c>
      <c r="BR21" s="50"/>
      <c r="BS21" s="50"/>
      <c r="BT21" s="50"/>
      <c r="BU21" s="50"/>
      <c r="BV21" s="50"/>
      <c r="BW21" s="50"/>
    </row>
    <row r="22" ht="19.9" customHeight="1" spans="1:75">
      <c r="A22" s="10" t="s">
        <v>29</v>
      </c>
      <c r="B22" s="38">
        <f t="shared" si="5"/>
        <v>175.2599</v>
      </c>
      <c r="C22" s="39">
        <f t="shared" si="6"/>
        <v>-23.3718887324753</v>
      </c>
      <c r="D22" s="38">
        <v>1375.8499</v>
      </c>
      <c r="E22" s="38">
        <v>0</v>
      </c>
      <c r="F22" s="38">
        <v>2031.9107</v>
      </c>
      <c r="G22" s="38">
        <v>0</v>
      </c>
      <c r="H22" s="38">
        <v>756.2296</v>
      </c>
      <c r="I22" s="38">
        <v>30.1956</v>
      </c>
      <c r="J22" s="38">
        <v>22.4628</v>
      </c>
      <c r="K22" s="38">
        <f t="shared" si="0"/>
        <v>4216.6486</v>
      </c>
      <c r="L22" s="38">
        <v>457.3385</v>
      </c>
      <c r="M22" s="38">
        <v>121.8596</v>
      </c>
      <c r="N22" s="38">
        <v>72.8072</v>
      </c>
      <c r="O22" s="38">
        <v>13.7354</v>
      </c>
      <c r="P22" s="38">
        <v>0.4004</v>
      </c>
      <c r="Q22" s="38">
        <v>57.8249</v>
      </c>
      <c r="R22" s="38">
        <v>458.0673</v>
      </c>
      <c r="S22" s="38">
        <v>27.45</v>
      </c>
      <c r="T22" s="38">
        <v>31.2482</v>
      </c>
      <c r="U22" s="38">
        <v>142.9634</v>
      </c>
      <c r="V22" s="38">
        <v>0.3677</v>
      </c>
      <c r="W22" s="38">
        <f t="shared" si="1"/>
        <v>1384.0626</v>
      </c>
      <c r="X22" s="38">
        <v>0</v>
      </c>
      <c r="Y22" s="38">
        <v>69.97</v>
      </c>
      <c r="Z22" s="38">
        <v>185.6075</v>
      </c>
      <c r="AA22" s="38">
        <v>47.7774</v>
      </c>
      <c r="AB22" s="38">
        <v>54.9346</v>
      </c>
      <c r="AC22" s="38">
        <f t="shared" si="2"/>
        <v>358.2895</v>
      </c>
      <c r="AD22" s="38">
        <v>1742.3521</v>
      </c>
      <c r="AE22" s="38">
        <v>256.5783</v>
      </c>
      <c r="AF22" s="38">
        <v>2033.6564</v>
      </c>
      <c r="AG22" s="38">
        <v>0</v>
      </c>
      <c r="AH22" s="38">
        <v>0</v>
      </c>
      <c r="AI22" s="38">
        <v>0</v>
      </c>
      <c r="AJ22" s="38">
        <f t="shared" si="3"/>
        <v>8.8019</v>
      </c>
      <c r="AK22" s="38">
        <f t="shared" si="4"/>
        <v>4041.3887</v>
      </c>
      <c r="AL22" s="38">
        <v>11.491860541682</v>
      </c>
      <c r="AM22" s="38">
        <v>160.493988317119</v>
      </c>
      <c r="AN22" s="38">
        <v>22.51363594444</v>
      </c>
      <c r="AO22" s="38">
        <v>28.959321894335</v>
      </c>
      <c r="AP22" s="38">
        <v>145.610210269545</v>
      </c>
      <c r="AQ22" s="38">
        <v>53.514299227644</v>
      </c>
      <c r="AR22" s="38">
        <v>2.189363193654</v>
      </c>
      <c r="AS22" s="38">
        <v>0</v>
      </c>
      <c r="AT22" s="38">
        <v>111.08581214823</v>
      </c>
      <c r="AU22" s="38">
        <v>17.175304492345</v>
      </c>
      <c r="AV22" s="38">
        <v>8068.86915663181</v>
      </c>
      <c r="AW22" s="38">
        <v>0</v>
      </c>
      <c r="AX22" s="38">
        <v>5.467031696455</v>
      </c>
      <c r="AY22" s="38">
        <v>0</v>
      </c>
      <c r="AZ22" s="38">
        <v>396.1836331193</v>
      </c>
      <c r="BA22" s="38">
        <v>2.19381141473</v>
      </c>
      <c r="BB22" s="38">
        <f t="shared" si="7"/>
        <v>9025.74742889129</v>
      </c>
      <c r="BC22" s="38">
        <v>0</v>
      </c>
      <c r="BD22" s="38">
        <v>260.874088001544</v>
      </c>
      <c r="BE22" s="38">
        <v>1474.98062085093</v>
      </c>
      <c r="BF22" s="38">
        <v>0</v>
      </c>
      <c r="BG22" s="38">
        <v>109.123801695774</v>
      </c>
      <c r="BH22" s="38">
        <v>47.993406892563</v>
      </c>
      <c r="BI22" s="38">
        <f t="shared" si="8"/>
        <v>1892.97191744081</v>
      </c>
      <c r="BJ22" s="38">
        <f t="shared" si="9"/>
        <v>10918.7193463321</v>
      </c>
      <c r="BK22" s="38">
        <v>198.631788732475</v>
      </c>
      <c r="BL22" s="46"/>
      <c r="BM22" s="46"/>
      <c r="BN22" s="46"/>
      <c r="BO22" s="46"/>
      <c r="BP22" s="38">
        <v>0</v>
      </c>
      <c r="BQ22" s="38">
        <v>8.8019</v>
      </c>
      <c r="BR22" s="50"/>
      <c r="BS22" s="50"/>
      <c r="BT22" s="50"/>
      <c r="BU22" s="50"/>
      <c r="BV22" s="50"/>
      <c r="BW22" s="50"/>
    </row>
    <row r="23" ht="19.9" customHeight="1" spans="1:75">
      <c r="A23" s="10" t="s">
        <v>30</v>
      </c>
      <c r="B23" s="39">
        <f t="shared" si="5"/>
        <v>-257.0245</v>
      </c>
      <c r="C23" s="38">
        <f t="shared" si="6"/>
        <v>21.7490908456211</v>
      </c>
      <c r="D23" s="38">
        <v>1302.608</v>
      </c>
      <c r="E23" s="38">
        <v>0</v>
      </c>
      <c r="F23" s="38">
        <v>2060.8287</v>
      </c>
      <c r="G23" s="38">
        <v>0</v>
      </c>
      <c r="H23" s="38">
        <v>393.0957</v>
      </c>
      <c r="I23" s="38">
        <v>0</v>
      </c>
      <c r="J23" s="38">
        <v>0</v>
      </c>
      <c r="K23" s="38">
        <f t="shared" si="0"/>
        <v>3756.5324</v>
      </c>
      <c r="L23" s="38">
        <v>460.7789</v>
      </c>
      <c r="M23" s="38">
        <v>119.2697</v>
      </c>
      <c r="N23" s="38">
        <v>69.7895</v>
      </c>
      <c r="O23" s="38">
        <v>13.3079</v>
      </c>
      <c r="P23" s="38">
        <v>0.4008</v>
      </c>
      <c r="Q23" s="38">
        <v>58.155</v>
      </c>
      <c r="R23" s="38">
        <v>457.4867</v>
      </c>
      <c r="S23" s="38">
        <v>26.7422</v>
      </c>
      <c r="T23" s="38">
        <v>27.254</v>
      </c>
      <c r="U23" s="38">
        <v>139.3932</v>
      </c>
      <c r="V23" s="38">
        <v>0.2937</v>
      </c>
      <c r="W23" s="38">
        <f t="shared" si="1"/>
        <v>1372.8716</v>
      </c>
      <c r="X23" s="38">
        <v>0</v>
      </c>
      <c r="Y23" s="38">
        <v>66.0877</v>
      </c>
      <c r="Z23" s="38">
        <v>176.1366</v>
      </c>
      <c r="AA23" s="38">
        <v>45.5538</v>
      </c>
      <c r="AB23" s="38">
        <v>59.4224</v>
      </c>
      <c r="AC23" s="38">
        <f t="shared" si="2"/>
        <v>347.2005</v>
      </c>
      <c r="AD23" s="38">
        <v>1720.0721</v>
      </c>
      <c r="AE23" s="38">
        <v>272.0292</v>
      </c>
      <c r="AF23" s="38">
        <v>2012.9128</v>
      </c>
      <c r="AG23" s="38">
        <v>0</v>
      </c>
      <c r="AH23" s="38">
        <v>0</v>
      </c>
      <c r="AI23" s="38">
        <v>0</v>
      </c>
      <c r="AJ23" s="38">
        <f t="shared" si="3"/>
        <v>8.5428</v>
      </c>
      <c r="AK23" s="38">
        <f t="shared" si="4"/>
        <v>4013.5569</v>
      </c>
      <c r="AL23" s="38">
        <v>11.491947853869</v>
      </c>
      <c r="AM23" s="38">
        <v>156.233126297586</v>
      </c>
      <c r="AN23" s="38">
        <v>21.337971492774</v>
      </c>
      <c r="AO23" s="38">
        <v>29.71374759578</v>
      </c>
      <c r="AP23" s="38">
        <v>141.763056499381</v>
      </c>
      <c r="AQ23" s="38">
        <v>52.331336231653</v>
      </c>
      <c r="AR23" s="38">
        <v>2.187657910398</v>
      </c>
      <c r="AS23" s="38">
        <v>0</v>
      </c>
      <c r="AT23" s="38">
        <v>113.221323977698</v>
      </c>
      <c r="AU23" s="38">
        <v>17.43234002848</v>
      </c>
      <c r="AV23" s="38">
        <v>7841.08315203926</v>
      </c>
      <c r="AW23" s="38">
        <v>0</v>
      </c>
      <c r="AX23" s="38">
        <v>5.414136969108</v>
      </c>
      <c r="AY23" s="38">
        <v>0</v>
      </c>
      <c r="AZ23" s="38">
        <v>370.328614674081</v>
      </c>
      <c r="BA23" s="38">
        <v>2.081246956754</v>
      </c>
      <c r="BB23" s="38">
        <f t="shared" si="7"/>
        <v>8764.61965852682</v>
      </c>
      <c r="BC23" s="38">
        <v>0</v>
      </c>
      <c r="BD23" s="38">
        <v>258.973747590882</v>
      </c>
      <c r="BE23" s="38">
        <v>1459.2853604904</v>
      </c>
      <c r="BF23" s="38">
        <v>0</v>
      </c>
      <c r="BG23" s="38">
        <v>108.715165818354</v>
      </c>
      <c r="BH23" s="38">
        <v>48.35182306002</v>
      </c>
      <c r="BI23" s="38">
        <f t="shared" si="8"/>
        <v>1875.32609695966</v>
      </c>
      <c r="BJ23" s="38">
        <f t="shared" si="9"/>
        <v>10639.9457554865</v>
      </c>
      <c r="BK23" s="39">
        <v>-278.773590845622</v>
      </c>
      <c r="BL23" s="46"/>
      <c r="BM23" s="46"/>
      <c r="BN23" s="46"/>
      <c r="BO23" s="46"/>
      <c r="BP23" s="38">
        <v>0</v>
      </c>
      <c r="BQ23" s="38">
        <v>8.5428</v>
      </c>
      <c r="BR23" s="50"/>
      <c r="BS23" s="50"/>
      <c r="BT23" s="50"/>
      <c r="BU23" s="50"/>
      <c r="BV23" s="50"/>
      <c r="BW23" s="50"/>
    </row>
    <row r="24" ht="19.9" customHeight="1" spans="1:75">
      <c r="A24" s="10" t="s">
        <v>31</v>
      </c>
      <c r="B24" s="39">
        <f t="shared" si="5"/>
        <v>-479.6267</v>
      </c>
      <c r="C24" s="39">
        <f t="shared" si="6"/>
        <v>-6.75766552464574</v>
      </c>
      <c r="D24" s="38">
        <v>1297.558</v>
      </c>
      <c r="E24" s="38">
        <v>0</v>
      </c>
      <c r="F24" s="38">
        <v>1700.7183</v>
      </c>
      <c r="G24" s="38">
        <v>0</v>
      </c>
      <c r="H24" s="38">
        <v>330.0394</v>
      </c>
      <c r="I24" s="38">
        <v>0</v>
      </c>
      <c r="J24" s="38">
        <v>0</v>
      </c>
      <c r="K24" s="38">
        <f t="shared" si="0"/>
        <v>3328.3157</v>
      </c>
      <c r="L24" s="38">
        <v>466.3213</v>
      </c>
      <c r="M24" s="38">
        <v>119.4572</v>
      </c>
      <c r="N24" s="38">
        <v>72.1935</v>
      </c>
      <c r="O24" s="38">
        <v>12.7117</v>
      </c>
      <c r="P24" s="38">
        <v>1.1017</v>
      </c>
      <c r="Q24" s="38">
        <v>71.4972</v>
      </c>
      <c r="R24" s="38">
        <v>472.8607</v>
      </c>
      <c r="S24" s="38">
        <v>27.5024</v>
      </c>
      <c r="T24" s="38">
        <v>27.2199</v>
      </c>
      <c r="U24" s="38">
        <v>140.3526</v>
      </c>
      <c r="V24" s="38">
        <v>0.2817</v>
      </c>
      <c r="W24" s="38">
        <f t="shared" si="1"/>
        <v>1411.4999</v>
      </c>
      <c r="X24" s="38">
        <v>0</v>
      </c>
      <c r="Y24" s="38">
        <v>70.3213</v>
      </c>
      <c r="Z24" s="38">
        <v>166.4875</v>
      </c>
      <c r="AA24" s="38">
        <v>45.9157</v>
      </c>
      <c r="AB24" s="38">
        <v>59.0997</v>
      </c>
      <c r="AC24" s="38">
        <f t="shared" si="2"/>
        <v>341.8242</v>
      </c>
      <c r="AD24" s="38">
        <v>1753.3241</v>
      </c>
      <c r="AE24" s="38">
        <v>277.0621</v>
      </c>
      <c r="AF24" s="38">
        <v>1769.4096</v>
      </c>
      <c r="AG24" s="38">
        <v>0</v>
      </c>
      <c r="AH24" s="38">
        <v>0</v>
      </c>
      <c r="AI24" s="38">
        <v>0</v>
      </c>
      <c r="AJ24" s="38">
        <f t="shared" si="3"/>
        <v>8.1466</v>
      </c>
      <c r="AK24" s="38">
        <f t="shared" si="4"/>
        <v>3807.9424</v>
      </c>
      <c r="AL24" s="38">
        <v>11.200581377801</v>
      </c>
      <c r="AM24" s="38">
        <v>156.406756922098</v>
      </c>
      <c r="AN24" s="38">
        <v>19.613957195102</v>
      </c>
      <c r="AO24" s="38">
        <v>29.345644385105</v>
      </c>
      <c r="AP24" s="38">
        <v>136.322469409038</v>
      </c>
      <c r="AQ24" s="38">
        <v>51.632070936433</v>
      </c>
      <c r="AR24" s="38">
        <v>2.253533246629</v>
      </c>
      <c r="AS24" s="38">
        <v>0</v>
      </c>
      <c r="AT24" s="38">
        <v>109.958095771232</v>
      </c>
      <c r="AU24" s="38">
        <v>17.404963481357</v>
      </c>
      <c r="AV24" s="38">
        <v>7455.23185803166</v>
      </c>
      <c r="AW24" s="38">
        <v>0</v>
      </c>
      <c r="AX24" s="38">
        <v>5.37595165182</v>
      </c>
      <c r="AY24" s="38">
        <v>0</v>
      </c>
      <c r="AZ24" s="38">
        <v>356.083045669529</v>
      </c>
      <c r="BA24" s="38">
        <v>1.88564201613</v>
      </c>
      <c r="BB24" s="38">
        <f t="shared" si="7"/>
        <v>8352.71457009393</v>
      </c>
      <c r="BC24" s="38">
        <v>0</v>
      </c>
      <c r="BD24" s="38">
        <v>259.468125280969</v>
      </c>
      <c r="BE24" s="38">
        <v>1400.8832862616</v>
      </c>
      <c r="BF24" s="38">
        <v>0</v>
      </c>
      <c r="BG24" s="38">
        <v>106.204810894123</v>
      </c>
      <c r="BH24" s="38">
        <v>47.805928480497</v>
      </c>
      <c r="BI24" s="38">
        <f t="shared" si="8"/>
        <v>1814.36215091719</v>
      </c>
      <c r="BJ24" s="38">
        <f t="shared" si="9"/>
        <v>10167.0767210111</v>
      </c>
      <c r="BK24" s="39">
        <v>-472.869034475354</v>
      </c>
      <c r="BL24" s="46"/>
      <c r="BM24" s="46"/>
      <c r="BN24" s="46"/>
      <c r="BO24" s="46"/>
      <c r="BP24" s="38">
        <v>0.4145</v>
      </c>
      <c r="BQ24" s="38">
        <v>7.7321</v>
      </c>
      <c r="BR24" s="50"/>
      <c r="BS24" s="50"/>
      <c r="BT24" s="50"/>
      <c r="BU24" s="50"/>
      <c r="BV24" s="50"/>
      <c r="BW24" s="50"/>
    </row>
    <row r="25" ht="19.9" customHeight="1" spans="1:75">
      <c r="A25" s="10" t="s">
        <v>32</v>
      </c>
      <c r="B25" s="38">
        <f t="shared" si="5"/>
        <v>33.5943999999995</v>
      </c>
      <c r="C25" s="39">
        <f t="shared" si="6"/>
        <v>-37.5395998738682</v>
      </c>
      <c r="D25" s="38">
        <v>1300.6462</v>
      </c>
      <c r="E25" s="38">
        <v>0</v>
      </c>
      <c r="F25" s="38">
        <v>1772.6635</v>
      </c>
      <c r="G25" s="38">
        <v>0</v>
      </c>
      <c r="H25" s="38">
        <v>458.611</v>
      </c>
      <c r="I25" s="38">
        <v>0</v>
      </c>
      <c r="J25" s="38">
        <v>0</v>
      </c>
      <c r="K25" s="38">
        <f t="shared" si="0"/>
        <v>3531.9207</v>
      </c>
      <c r="L25" s="38">
        <v>461.9115</v>
      </c>
      <c r="M25" s="38">
        <v>115.8083</v>
      </c>
      <c r="N25" s="38">
        <v>74.9397</v>
      </c>
      <c r="O25" s="38">
        <v>13.0406</v>
      </c>
      <c r="P25" s="38">
        <v>0.3118</v>
      </c>
      <c r="Q25" s="38">
        <v>82.0067</v>
      </c>
      <c r="R25" s="38">
        <v>473.9311</v>
      </c>
      <c r="S25" s="38">
        <v>26.2817</v>
      </c>
      <c r="T25" s="38">
        <v>29.1876</v>
      </c>
      <c r="U25" s="38">
        <v>138.077</v>
      </c>
      <c r="V25" s="38">
        <v>0.2616</v>
      </c>
      <c r="W25" s="38">
        <f t="shared" si="1"/>
        <v>1415.7576</v>
      </c>
      <c r="X25" s="38">
        <v>0</v>
      </c>
      <c r="Y25" s="38">
        <v>66.7966</v>
      </c>
      <c r="Z25" s="38">
        <v>161.6579</v>
      </c>
      <c r="AA25" s="38">
        <v>44.7158</v>
      </c>
      <c r="AB25" s="38">
        <v>82.5454</v>
      </c>
      <c r="AC25" s="38">
        <f t="shared" si="2"/>
        <v>355.7157</v>
      </c>
      <c r="AD25" s="38">
        <v>1771.4733</v>
      </c>
      <c r="AE25" s="38">
        <v>276.8274</v>
      </c>
      <c r="AF25" s="38">
        <v>1442.707</v>
      </c>
      <c r="AG25" s="38">
        <v>0</v>
      </c>
      <c r="AH25" s="38">
        <v>0</v>
      </c>
      <c r="AI25" s="38">
        <v>0</v>
      </c>
      <c r="AJ25" s="38">
        <f t="shared" si="3"/>
        <v>7.3186</v>
      </c>
      <c r="AK25" s="38">
        <f t="shared" si="4"/>
        <v>3498.3263</v>
      </c>
      <c r="AL25" s="38">
        <v>11.291249420091</v>
      </c>
      <c r="AM25" s="38">
        <v>161.823162582632</v>
      </c>
      <c r="AN25" s="38">
        <v>19.693974499902</v>
      </c>
      <c r="AO25" s="38">
        <v>29.808707869105</v>
      </c>
      <c r="AP25" s="38">
        <v>138.576138670988</v>
      </c>
      <c r="AQ25" s="38">
        <v>51.817918404075</v>
      </c>
      <c r="AR25" s="38">
        <v>2.228934003837</v>
      </c>
      <c r="AS25" s="38">
        <v>0</v>
      </c>
      <c r="AT25" s="38">
        <v>115.651494871024</v>
      </c>
      <c r="AU25" s="38">
        <v>17.035783507362</v>
      </c>
      <c r="AV25" s="38">
        <v>7555.91506583742</v>
      </c>
      <c r="AW25" s="38">
        <v>0</v>
      </c>
      <c r="AX25" s="38">
        <v>5.375943429556</v>
      </c>
      <c r="AY25" s="38">
        <v>0</v>
      </c>
      <c r="AZ25" s="38">
        <v>350.299268150763</v>
      </c>
      <c r="BA25" s="38">
        <v>1.991668545698</v>
      </c>
      <c r="BB25" s="38">
        <f t="shared" si="7"/>
        <v>8461.50930979245</v>
      </c>
      <c r="BC25" s="38">
        <v>0</v>
      </c>
      <c r="BD25" s="38">
        <v>261.203388708552</v>
      </c>
      <c r="BE25" s="38">
        <v>1357.06516690099</v>
      </c>
      <c r="BF25" s="38">
        <v>0</v>
      </c>
      <c r="BG25" s="38">
        <v>109.749892281145</v>
      </c>
      <c r="BH25" s="38">
        <v>48.682963201845</v>
      </c>
      <c r="BI25" s="38">
        <f t="shared" si="8"/>
        <v>1776.70141109254</v>
      </c>
      <c r="BJ25" s="38">
        <f t="shared" si="9"/>
        <v>10238.210720885</v>
      </c>
      <c r="BK25" s="38">
        <v>71.1339998738677</v>
      </c>
      <c r="BL25" s="46"/>
      <c r="BM25" s="46"/>
      <c r="BN25" s="46"/>
      <c r="BO25" s="46"/>
      <c r="BP25" s="38">
        <v>0.0442</v>
      </c>
      <c r="BQ25" s="38">
        <v>7.2744</v>
      </c>
      <c r="BR25" s="50"/>
      <c r="BS25" s="50"/>
      <c r="BT25" s="50"/>
      <c r="BU25" s="50"/>
      <c r="BV25" s="50"/>
      <c r="BW25" s="50"/>
    </row>
    <row r="26" ht="19.9" customHeight="1" spans="1:75">
      <c r="A26" s="10" t="s">
        <v>33</v>
      </c>
      <c r="B26" s="38">
        <f t="shared" si="5"/>
        <v>46.6163000000001</v>
      </c>
      <c r="C26" s="39">
        <f t="shared" si="6"/>
        <v>-4.5589931548252</v>
      </c>
      <c r="D26" s="38">
        <v>1247.0349</v>
      </c>
      <c r="E26" s="38">
        <v>0</v>
      </c>
      <c r="F26" s="38">
        <v>2095.5912</v>
      </c>
      <c r="G26" s="38">
        <v>0</v>
      </c>
      <c r="H26" s="38">
        <v>288.1062</v>
      </c>
      <c r="I26" s="38">
        <v>0</v>
      </c>
      <c r="J26" s="38">
        <v>0</v>
      </c>
      <c r="K26" s="38">
        <f t="shared" si="0"/>
        <v>3630.7323</v>
      </c>
      <c r="L26" s="38">
        <v>444.2116</v>
      </c>
      <c r="M26" s="38">
        <v>114.2412</v>
      </c>
      <c r="N26" s="38">
        <v>73.5204</v>
      </c>
      <c r="O26" s="38">
        <v>11.7696</v>
      </c>
      <c r="P26" s="38">
        <v>0.3009</v>
      </c>
      <c r="Q26" s="38">
        <v>100.0969</v>
      </c>
      <c r="R26" s="38">
        <v>470.8557</v>
      </c>
      <c r="S26" s="38">
        <v>27.6521</v>
      </c>
      <c r="T26" s="38">
        <v>31.2284</v>
      </c>
      <c r="U26" s="38">
        <v>137.7805</v>
      </c>
      <c r="V26" s="38">
        <v>0.2558</v>
      </c>
      <c r="W26" s="38">
        <f t="shared" si="1"/>
        <v>1411.9131</v>
      </c>
      <c r="X26" s="38">
        <v>0</v>
      </c>
      <c r="Y26" s="38">
        <v>59.3745</v>
      </c>
      <c r="Z26" s="38">
        <v>164.0109</v>
      </c>
      <c r="AA26" s="38">
        <v>43.7823</v>
      </c>
      <c r="AB26" s="38">
        <v>61.9081</v>
      </c>
      <c r="AC26" s="38">
        <f t="shared" si="2"/>
        <v>329.0758</v>
      </c>
      <c r="AD26" s="38">
        <v>1740.9889</v>
      </c>
      <c r="AE26" s="38">
        <v>258.2078</v>
      </c>
      <c r="AF26" s="38">
        <v>1575.5285</v>
      </c>
      <c r="AG26" s="38">
        <v>0</v>
      </c>
      <c r="AH26" s="38">
        <v>0</v>
      </c>
      <c r="AI26" s="38">
        <v>0</v>
      </c>
      <c r="AJ26" s="38">
        <f t="shared" si="3"/>
        <v>9.3908</v>
      </c>
      <c r="AK26" s="38">
        <f t="shared" si="4"/>
        <v>3584.116</v>
      </c>
      <c r="AL26" s="38">
        <v>11.388511483101</v>
      </c>
      <c r="AM26" s="38">
        <v>161.185602407774</v>
      </c>
      <c r="AN26" s="38">
        <v>22.431817283928</v>
      </c>
      <c r="AO26" s="38">
        <v>29.599964650171</v>
      </c>
      <c r="AP26" s="38">
        <v>135.473081587761</v>
      </c>
      <c r="AQ26" s="38">
        <v>49.55938296038</v>
      </c>
      <c r="AR26" s="38">
        <v>2.222684947875</v>
      </c>
      <c r="AS26" s="38">
        <v>0</v>
      </c>
      <c r="AT26" s="38">
        <v>110.118441330547</v>
      </c>
      <c r="AU26" s="38">
        <v>17.380809129487</v>
      </c>
      <c r="AV26" s="38">
        <v>7640.73129474944</v>
      </c>
      <c r="AW26" s="38">
        <v>0</v>
      </c>
      <c r="AX26" s="38">
        <v>5.402517540872</v>
      </c>
      <c r="AY26" s="38">
        <v>0</v>
      </c>
      <c r="AZ26" s="38">
        <v>359.767802519839</v>
      </c>
      <c r="BA26" s="38">
        <v>2.15002576795</v>
      </c>
      <c r="BB26" s="38">
        <f t="shared" si="7"/>
        <v>8547.41193635913</v>
      </c>
      <c r="BC26" s="38">
        <v>0</v>
      </c>
      <c r="BD26" s="38">
        <v>260.700151283376</v>
      </c>
      <c r="BE26" s="38">
        <v>1323.51248431972</v>
      </c>
      <c r="BF26" s="38">
        <v>0</v>
      </c>
      <c r="BG26" s="38">
        <v>109.338524315594</v>
      </c>
      <c r="BH26" s="38">
        <v>48.422917762</v>
      </c>
      <c r="BI26" s="38">
        <f t="shared" si="8"/>
        <v>1741.97407768069</v>
      </c>
      <c r="BJ26" s="38">
        <f t="shared" si="9"/>
        <v>10289.3860140398</v>
      </c>
      <c r="BK26" s="38">
        <v>51.1752931548253</v>
      </c>
      <c r="BL26" s="46"/>
      <c r="BM26" s="46"/>
      <c r="BN26" s="46"/>
      <c r="BO26" s="46"/>
      <c r="BP26" s="38">
        <v>0</v>
      </c>
      <c r="BQ26" s="38">
        <v>9.3908</v>
      </c>
      <c r="BR26" s="50"/>
      <c r="BS26" s="50"/>
      <c r="BT26" s="50"/>
      <c r="BU26" s="50"/>
      <c r="BV26" s="50"/>
      <c r="BW26" s="50"/>
    </row>
    <row r="27" ht="19.9" customHeight="1" spans="1:75">
      <c r="A27" s="10" t="s">
        <v>34</v>
      </c>
      <c r="B27" s="39">
        <f t="shared" si="5"/>
        <v>-37.6341000000007</v>
      </c>
      <c r="C27" s="38">
        <f t="shared" si="6"/>
        <v>30.9943289638691</v>
      </c>
      <c r="D27" s="38">
        <v>1266.9904</v>
      </c>
      <c r="E27" s="38">
        <v>0</v>
      </c>
      <c r="F27" s="38">
        <v>2176.2042</v>
      </c>
      <c r="G27" s="38">
        <v>0</v>
      </c>
      <c r="H27" s="38">
        <v>159.8214</v>
      </c>
      <c r="I27" s="38">
        <v>0</v>
      </c>
      <c r="J27" s="38">
        <v>0</v>
      </c>
      <c r="K27" s="38">
        <f t="shared" si="0"/>
        <v>3603.016</v>
      </c>
      <c r="L27" s="38">
        <v>427.778</v>
      </c>
      <c r="M27" s="38">
        <v>108.8393</v>
      </c>
      <c r="N27" s="38">
        <v>71.3176</v>
      </c>
      <c r="O27" s="38">
        <v>12.6142</v>
      </c>
      <c r="P27" s="38">
        <v>0.3003</v>
      </c>
      <c r="Q27" s="38">
        <v>99.7066</v>
      </c>
      <c r="R27" s="38">
        <v>461.2134</v>
      </c>
      <c r="S27" s="38">
        <v>28.9693</v>
      </c>
      <c r="T27" s="38">
        <v>28.9606</v>
      </c>
      <c r="U27" s="38">
        <v>136.1694</v>
      </c>
      <c r="V27" s="38">
        <v>0.2475</v>
      </c>
      <c r="W27" s="38">
        <f t="shared" si="1"/>
        <v>1376.1162</v>
      </c>
      <c r="X27" s="38">
        <v>0</v>
      </c>
      <c r="Y27" s="38">
        <v>49.1154</v>
      </c>
      <c r="Z27" s="38">
        <v>166.853</v>
      </c>
      <c r="AA27" s="38">
        <v>39.8702</v>
      </c>
      <c r="AB27" s="38">
        <v>59.2886</v>
      </c>
      <c r="AC27" s="38">
        <f t="shared" si="2"/>
        <v>315.1272</v>
      </c>
      <c r="AD27" s="38">
        <v>1691.2434</v>
      </c>
      <c r="AE27" s="38">
        <v>248.1909</v>
      </c>
      <c r="AF27" s="38">
        <v>1691.7805</v>
      </c>
      <c r="AG27" s="38">
        <v>0</v>
      </c>
      <c r="AH27" s="38">
        <v>0</v>
      </c>
      <c r="AI27" s="38">
        <v>0</v>
      </c>
      <c r="AJ27" s="38">
        <f t="shared" si="3"/>
        <v>9.4353</v>
      </c>
      <c r="AK27" s="38">
        <f t="shared" si="4"/>
        <v>3640.6501</v>
      </c>
      <c r="AL27" s="38">
        <v>11.362941959311</v>
      </c>
      <c r="AM27" s="38">
        <v>156.479461228002</v>
      </c>
      <c r="AN27" s="38">
        <v>22.535291064214</v>
      </c>
      <c r="AO27" s="38">
        <v>29.192073935584</v>
      </c>
      <c r="AP27" s="38">
        <v>133.687811522496</v>
      </c>
      <c r="AQ27" s="38">
        <v>49.719073894498</v>
      </c>
      <c r="AR27" s="38">
        <v>2.219272722151</v>
      </c>
      <c r="AS27" s="38">
        <v>0</v>
      </c>
      <c r="AT27" s="38">
        <v>110.114075207409</v>
      </c>
      <c r="AU27" s="38">
        <v>17.455893305833</v>
      </c>
      <c r="AV27" s="38">
        <v>7574.89495808855</v>
      </c>
      <c r="AW27" s="38">
        <v>0</v>
      </c>
      <c r="AX27" s="38">
        <v>5.392423476773</v>
      </c>
      <c r="AY27" s="38">
        <v>0</v>
      </c>
      <c r="AZ27" s="38">
        <v>358.117676404549</v>
      </c>
      <c r="BA27" s="38">
        <v>2.164003851994</v>
      </c>
      <c r="BB27" s="38">
        <f t="shared" si="7"/>
        <v>8473.33495666136</v>
      </c>
      <c r="BC27" s="38">
        <v>0</v>
      </c>
      <c r="BD27" s="38">
        <v>260.70533931768</v>
      </c>
      <c r="BE27" s="38">
        <v>1328.60601428085</v>
      </c>
      <c r="BF27" s="38">
        <v>0</v>
      </c>
      <c r="BG27" s="38">
        <v>109.394103093717</v>
      </c>
      <c r="BH27" s="38">
        <v>48.717171722337</v>
      </c>
      <c r="BI27" s="38">
        <f t="shared" si="8"/>
        <v>1747.42262841458</v>
      </c>
      <c r="BJ27" s="38">
        <f t="shared" si="9"/>
        <v>10220.7575850759</v>
      </c>
      <c r="BK27" s="39">
        <v>-68.6284289638697</v>
      </c>
      <c r="BL27" s="46"/>
      <c r="BM27" s="46"/>
      <c r="BN27" s="46"/>
      <c r="BO27" s="46"/>
      <c r="BP27" s="38">
        <v>0</v>
      </c>
      <c r="BQ27" s="38">
        <v>9.4353</v>
      </c>
      <c r="BR27" s="50"/>
      <c r="BS27" s="50"/>
      <c r="BT27" s="50"/>
      <c r="BU27" s="50"/>
      <c r="BV27" s="50"/>
      <c r="BW27" s="50"/>
    </row>
    <row r="28" ht="19.9" customHeight="1" spans="1:75">
      <c r="A28" s="10" t="s">
        <v>35</v>
      </c>
      <c r="B28" s="38">
        <f t="shared" si="5"/>
        <v>316.4223</v>
      </c>
      <c r="C28" s="38">
        <f t="shared" si="6"/>
        <v>31.6805713729095</v>
      </c>
      <c r="D28" s="38">
        <v>1295.0346</v>
      </c>
      <c r="E28" s="38">
        <v>0</v>
      </c>
      <c r="F28" s="38">
        <v>2538.7811</v>
      </c>
      <c r="G28" s="38">
        <v>0</v>
      </c>
      <c r="H28" s="38">
        <v>213.8052</v>
      </c>
      <c r="I28" s="38">
        <v>0</v>
      </c>
      <c r="J28" s="38">
        <v>0</v>
      </c>
      <c r="K28" s="38">
        <f t="shared" si="0"/>
        <v>4047.6209</v>
      </c>
      <c r="L28" s="38">
        <v>415.5369</v>
      </c>
      <c r="M28" s="38">
        <v>104.8204</v>
      </c>
      <c r="N28" s="38">
        <v>73.5342</v>
      </c>
      <c r="O28" s="38">
        <v>12.626</v>
      </c>
      <c r="P28" s="38">
        <v>0.6502</v>
      </c>
      <c r="Q28" s="38">
        <v>121.0434</v>
      </c>
      <c r="R28" s="38">
        <v>463.1547</v>
      </c>
      <c r="S28" s="38">
        <v>23.8556</v>
      </c>
      <c r="T28" s="38">
        <v>26.9015</v>
      </c>
      <c r="U28" s="38">
        <v>135.2514</v>
      </c>
      <c r="V28" s="38">
        <v>0.2492</v>
      </c>
      <c r="W28" s="38">
        <f t="shared" si="1"/>
        <v>1377.6235</v>
      </c>
      <c r="X28" s="38">
        <v>0</v>
      </c>
      <c r="Y28" s="38">
        <v>44.0047</v>
      </c>
      <c r="Z28" s="38">
        <v>156.1184</v>
      </c>
      <c r="AA28" s="38">
        <v>44.1675</v>
      </c>
      <c r="AB28" s="38">
        <v>60.0239</v>
      </c>
      <c r="AC28" s="38">
        <f t="shared" si="2"/>
        <v>304.3145</v>
      </c>
      <c r="AD28" s="38">
        <v>1681.938</v>
      </c>
      <c r="AE28" s="38">
        <v>225.5634</v>
      </c>
      <c r="AF28" s="38">
        <v>1813.6745</v>
      </c>
      <c r="AG28" s="38">
        <v>0</v>
      </c>
      <c r="AH28" s="38">
        <v>0</v>
      </c>
      <c r="AI28" s="38">
        <v>0</v>
      </c>
      <c r="AJ28" s="38">
        <f t="shared" si="3"/>
        <v>10.0227</v>
      </c>
      <c r="AK28" s="38">
        <f t="shared" si="4"/>
        <v>3731.1986</v>
      </c>
      <c r="AL28" s="38">
        <v>10.252954717169</v>
      </c>
      <c r="AM28" s="38">
        <v>158.405648943828</v>
      </c>
      <c r="AN28" s="38">
        <v>23.695737988278</v>
      </c>
      <c r="AO28" s="38">
        <v>29.655063096198</v>
      </c>
      <c r="AP28" s="38">
        <v>134.967617703197</v>
      </c>
      <c r="AQ28" s="38">
        <v>51.377920164022</v>
      </c>
      <c r="AR28" s="38">
        <v>2.233200727252</v>
      </c>
      <c r="AS28" s="38">
        <v>0</v>
      </c>
      <c r="AT28" s="38">
        <v>105.279333505055</v>
      </c>
      <c r="AU28" s="38">
        <v>17.054186948633</v>
      </c>
      <c r="AV28" s="38">
        <v>7840.72058209966</v>
      </c>
      <c r="AW28" s="38">
        <v>0</v>
      </c>
      <c r="AX28" s="38">
        <v>5.380600151044</v>
      </c>
      <c r="AY28" s="38">
        <v>0</v>
      </c>
      <c r="AZ28" s="38">
        <v>360.379588508143</v>
      </c>
      <c r="BA28" s="38">
        <v>2.26069630915</v>
      </c>
      <c r="BB28" s="38">
        <f t="shared" si="7"/>
        <v>8741.66313086163</v>
      </c>
      <c r="BC28" s="38">
        <v>0</v>
      </c>
      <c r="BD28" s="38">
        <v>260.934455918394</v>
      </c>
      <c r="BE28" s="38">
        <v>1345.70387099431</v>
      </c>
      <c r="BF28" s="38">
        <v>0</v>
      </c>
      <c r="BG28" s="38">
        <v>109.083782113844</v>
      </c>
      <c r="BH28" s="38">
        <v>48.114073814863</v>
      </c>
      <c r="BI28" s="38">
        <f t="shared" si="8"/>
        <v>1763.83618284141</v>
      </c>
      <c r="BJ28" s="38">
        <f t="shared" si="9"/>
        <v>10505.499313703</v>
      </c>
      <c r="BK28" s="38">
        <v>284.74172862709</v>
      </c>
      <c r="BL28" s="46"/>
      <c r="BM28" s="46"/>
      <c r="BN28" s="46"/>
      <c r="BO28" s="46"/>
      <c r="BP28" s="38">
        <v>0</v>
      </c>
      <c r="BQ28" s="38">
        <v>10.0227</v>
      </c>
      <c r="BR28" s="50"/>
      <c r="BS28" s="50"/>
      <c r="BT28" s="50"/>
      <c r="BU28" s="50"/>
      <c r="BV28" s="50"/>
      <c r="BW28" s="50"/>
    </row>
    <row r="29" ht="19.9" customHeight="1" spans="1:75">
      <c r="A29" s="10" t="s">
        <v>36</v>
      </c>
      <c r="B29" s="38">
        <f t="shared" si="5"/>
        <v>247.6364</v>
      </c>
      <c r="C29" s="39">
        <f t="shared" si="6"/>
        <v>-13.0893067756201</v>
      </c>
      <c r="D29" s="38">
        <v>1296.3658</v>
      </c>
      <c r="E29" s="38">
        <v>0</v>
      </c>
      <c r="F29" s="38">
        <v>2499.091</v>
      </c>
      <c r="G29" s="38">
        <v>0</v>
      </c>
      <c r="H29" s="38">
        <v>370.3426</v>
      </c>
      <c r="I29" s="38">
        <v>0</v>
      </c>
      <c r="J29" s="38">
        <v>0</v>
      </c>
      <c r="K29" s="38">
        <f t="shared" si="0"/>
        <v>4165.7994</v>
      </c>
      <c r="L29" s="38">
        <v>404.6249</v>
      </c>
      <c r="M29" s="38">
        <v>112.0119</v>
      </c>
      <c r="N29" s="38">
        <v>74.4498</v>
      </c>
      <c r="O29" s="38">
        <v>12.6631</v>
      </c>
      <c r="P29" s="38">
        <v>0.8021</v>
      </c>
      <c r="Q29" s="38">
        <v>174.7838</v>
      </c>
      <c r="R29" s="38">
        <v>466.3517</v>
      </c>
      <c r="S29" s="38">
        <v>27.6863</v>
      </c>
      <c r="T29" s="38">
        <v>27.0319</v>
      </c>
      <c r="U29" s="38">
        <v>134.4245</v>
      </c>
      <c r="V29" s="38">
        <v>0.2341</v>
      </c>
      <c r="W29" s="38">
        <f t="shared" si="1"/>
        <v>1435.0641</v>
      </c>
      <c r="X29" s="38">
        <v>0</v>
      </c>
      <c r="Y29" s="38">
        <v>39.8594</v>
      </c>
      <c r="Z29" s="38">
        <v>154.2696</v>
      </c>
      <c r="AA29" s="38">
        <v>41.0253</v>
      </c>
      <c r="AB29" s="38">
        <v>55.6726</v>
      </c>
      <c r="AC29" s="38">
        <f t="shared" si="2"/>
        <v>290.8269</v>
      </c>
      <c r="AD29" s="38">
        <v>1725.891</v>
      </c>
      <c r="AE29" s="38">
        <v>225.193</v>
      </c>
      <c r="AF29" s="38">
        <v>1956.4133</v>
      </c>
      <c r="AG29" s="38">
        <v>0</v>
      </c>
      <c r="AH29" s="38">
        <v>0</v>
      </c>
      <c r="AI29" s="38">
        <v>0</v>
      </c>
      <c r="AJ29" s="38">
        <f t="shared" si="3"/>
        <v>10.6657</v>
      </c>
      <c r="AK29" s="38">
        <f t="shared" si="4"/>
        <v>3918.163</v>
      </c>
      <c r="AL29" s="38">
        <v>11.373182055214</v>
      </c>
      <c r="AM29" s="38">
        <v>156.99524517401</v>
      </c>
      <c r="AN29" s="38">
        <v>23.831009950035</v>
      </c>
      <c r="AO29" s="38">
        <v>29.602949685908</v>
      </c>
      <c r="AP29" s="38">
        <v>142.894277241686</v>
      </c>
      <c r="AQ29" s="38">
        <v>51.354106919584</v>
      </c>
      <c r="AR29" s="38">
        <v>2.213286972992</v>
      </c>
      <c r="AS29" s="38">
        <v>0</v>
      </c>
      <c r="AT29" s="38">
        <v>107.465050662802</v>
      </c>
      <c r="AU29" s="38">
        <v>17.055516719358</v>
      </c>
      <c r="AV29" s="38">
        <v>8059.84874195332</v>
      </c>
      <c r="AW29" s="38">
        <v>0</v>
      </c>
      <c r="AX29" s="38">
        <v>5.37345845596</v>
      </c>
      <c r="AY29" s="38">
        <v>0</v>
      </c>
      <c r="AZ29" s="38">
        <v>369.179391851384</v>
      </c>
      <c r="BA29" s="38">
        <v>2.260133279076</v>
      </c>
      <c r="BB29" s="38">
        <f t="shared" si="7"/>
        <v>8979.44635092133</v>
      </c>
      <c r="BC29" s="38">
        <v>0</v>
      </c>
      <c r="BD29" s="38">
        <v>261.524180053424</v>
      </c>
      <c r="BE29" s="38">
        <v>1368.26346803702</v>
      </c>
      <c r="BF29" s="38">
        <v>0</v>
      </c>
      <c r="BG29" s="38">
        <v>108.861442284022</v>
      </c>
      <c r="BH29" s="38">
        <v>48.12957918286</v>
      </c>
      <c r="BI29" s="38">
        <f t="shared" si="8"/>
        <v>1786.77866955733</v>
      </c>
      <c r="BJ29" s="38">
        <f t="shared" si="9"/>
        <v>10766.2250204787</v>
      </c>
      <c r="BK29" s="38">
        <v>260.72570677562</v>
      </c>
      <c r="BL29" s="46"/>
      <c r="BM29" s="46"/>
      <c r="BN29" s="46"/>
      <c r="BO29" s="46"/>
      <c r="BP29" s="38">
        <v>0</v>
      </c>
      <c r="BQ29" s="38">
        <v>10.6657</v>
      </c>
      <c r="BR29" s="50"/>
      <c r="BS29" s="50"/>
      <c r="BT29" s="50"/>
      <c r="BU29" s="50"/>
      <c r="BV29" s="50"/>
      <c r="BW29" s="50"/>
    </row>
    <row r="30" ht="19.9" customHeight="1" spans="1:75">
      <c r="A30" s="10" t="s">
        <v>37</v>
      </c>
      <c r="B30" s="38">
        <f t="shared" si="5"/>
        <v>143.262</v>
      </c>
      <c r="C30" s="38">
        <f t="shared" si="6"/>
        <v>39.2827603498909</v>
      </c>
      <c r="D30" s="38">
        <v>1262.2665</v>
      </c>
      <c r="E30" s="38">
        <v>0</v>
      </c>
      <c r="F30" s="38">
        <v>2201.7763</v>
      </c>
      <c r="G30" s="38">
        <v>0</v>
      </c>
      <c r="H30" s="38">
        <v>812.6313</v>
      </c>
      <c r="I30" s="38">
        <v>0</v>
      </c>
      <c r="J30" s="38">
        <v>0</v>
      </c>
      <c r="K30" s="38">
        <f t="shared" si="0"/>
        <v>4276.6741</v>
      </c>
      <c r="L30" s="38">
        <v>397.8415</v>
      </c>
      <c r="M30" s="38">
        <v>107.0496</v>
      </c>
      <c r="N30" s="38">
        <v>79.686</v>
      </c>
      <c r="O30" s="38">
        <v>12.0401</v>
      </c>
      <c r="P30" s="38">
        <v>0.7508</v>
      </c>
      <c r="Q30" s="38">
        <v>185.8612</v>
      </c>
      <c r="R30" s="38">
        <v>468.311</v>
      </c>
      <c r="S30" s="38">
        <v>28.3752</v>
      </c>
      <c r="T30" s="38">
        <v>27.0535</v>
      </c>
      <c r="U30" s="38">
        <v>131.7486</v>
      </c>
      <c r="V30" s="38">
        <v>0.2263</v>
      </c>
      <c r="W30" s="38">
        <f t="shared" si="1"/>
        <v>1438.9438</v>
      </c>
      <c r="X30" s="38">
        <v>0</v>
      </c>
      <c r="Y30" s="38">
        <v>49.4323</v>
      </c>
      <c r="Z30" s="38">
        <v>157.6057</v>
      </c>
      <c r="AA30" s="38">
        <v>39.4219</v>
      </c>
      <c r="AB30" s="38">
        <v>58.9927</v>
      </c>
      <c r="AC30" s="38">
        <f t="shared" si="2"/>
        <v>305.4526</v>
      </c>
      <c r="AD30" s="38">
        <v>1744.3964</v>
      </c>
      <c r="AE30" s="38">
        <v>218.7942</v>
      </c>
      <c r="AF30" s="38">
        <v>2159.3838</v>
      </c>
      <c r="AG30" s="38">
        <v>0</v>
      </c>
      <c r="AH30" s="38">
        <v>0</v>
      </c>
      <c r="AI30" s="38">
        <v>0</v>
      </c>
      <c r="AJ30" s="38">
        <f t="shared" si="3"/>
        <v>10.8377</v>
      </c>
      <c r="AK30" s="38">
        <f t="shared" si="4"/>
        <v>4133.4121</v>
      </c>
      <c r="AL30" s="38">
        <v>11.458847897642</v>
      </c>
      <c r="AM30" s="38">
        <v>154.804393869032</v>
      </c>
      <c r="AN30" s="38">
        <v>24.762920729984</v>
      </c>
      <c r="AO30" s="38">
        <v>29.506226134424</v>
      </c>
      <c r="AP30" s="38">
        <v>137.344761948854</v>
      </c>
      <c r="AQ30" s="38">
        <v>51.017266682078</v>
      </c>
      <c r="AR30" s="38">
        <v>2.234530898881</v>
      </c>
      <c r="AS30" s="38">
        <v>0</v>
      </c>
      <c r="AT30" s="38">
        <v>106.840625037275</v>
      </c>
      <c r="AU30" s="38">
        <v>17.205673834355</v>
      </c>
      <c r="AV30" s="38">
        <v>7956.25415099648</v>
      </c>
      <c r="AW30" s="38">
        <v>0</v>
      </c>
      <c r="AX30" s="38">
        <v>5.380422241686</v>
      </c>
      <c r="AY30" s="38">
        <v>0</v>
      </c>
      <c r="AZ30" s="38">
        <v>433.491478767469</v>
      </c>
      <c r="BA30" s="38">
        <v>2.351073942386</v>
      </c>
      <c r="BB30" s="38">
        <f t="shared" si="7"/>
        <v>8932.65237298055</v>
      </c>
      <c r="BC30" s="38">
        <v>0</v>
      </c>
      <c r="BD30" s="38">
        <v>262.22616581398</v>
      </c>
      <c r="BE30" s="38">
        <v>1518.72531352346</v>
      </c>
      <c r="BF30" s="38">
        <v>0</v>
      </c>
      <c r="BG30" s="38">
        <v>108.33244843305</v>
      </c>
      <c r="BH30" s="38">
        <v>48.267959377734</v>
      </c>
      <c r="BI30" s="38">
        <f t="shared" si="8"/>
        <v>1937.55188714822</v>
      </c>
      <c r="BJ30" s="38">
        <f t="shared" si="9"/>
        <v>10870.2042601288</v>
      </c>
      <c r="BK30" s="38">
        <v>103.979239650109</v>
      </c>
      <c r="BL30" s="46"/>
      <c r="BM30" s="46"/>
      <c r="BN30" s="46"/>
      <c r="BO30" s="46"/>
      <c r="BP30" s="38">
        <v>0</v>
      </c>
      <c r="BQ30" s="38">
        <v>10.8377</v>
      </c>
      <c r="BR30" s="50"/>
      <c r="BS30" s="50"/>
      <c r="BT30" s="50"/>
      <c r="BU30" s="50"/>
      <c r="BV30" s="50"/>
      <c r="BW30" s="50"/>
    </row>
    <row r="31" ht="19.9" customHeight="1" spans="1:75">
      <c r="A31" s="10" t="s">
        <v>38</v>
      </c>
      <c r="B31" s="39">
        <f t="shared" si="5"/>
        <v>-142.914100000001</v>
      </c>
      <c r="C31" s="38">
        <f t="shared" si="6"/>
        <v>26.3658607580846</v>
      </c>
      <c r="D31" s="38">
        <v>1260.7672</v>
      </c>
      <c r="E31" s="38">
        <v>0</v>
      </c>
      <c r="F31" s="38">
        <v>2012.0537</v>
      </c>
      <c r="G31" s="38">
        <v>0</v>
      </c>
      <c r="H31" s="38">
        <v>978.5436</v>
      </c>
      <c r="I31" s="38">
        <v>0</v>
      </c>
      <c r="J31" s="38">
        <v>0</v>
      </c>
      <c r="K31" s="38">
        <f t="shared" si="0"/>
        <v>4251.3645</v>
      </c>
      <c r="L31" s="38">
        <v>392.0144</v>
      </c>
      <c r="M31" s="38">
        <v>103.5981</v>
      </c>
      <c r="N31" s="38">
        <v>82.3545</v>
      </c>
      <c r="O31" s="38">
        <v>11.7742</v>
      </c>
      <c r="P31" s="38">
        <v>0.8012</v>
      </c>
      <c r="Q31" s="38">
        <v>233.3157</v>
      </c>
      <c r="R31" s="38">
        <v>465.9522</v>
      </c>
      <c r="S31" s="38">
        <v>25.5203</v>
      </c>
      <c r="T31" s="38">
        <v>31.489</v>
      </c>
      <c r="U31" s="38">
        <v>133.0967</v>
      </c>
      <c r="V31" s="38">
        <v>0.2283</v>
      </c>
      <c r="W31" s="38">
        <f t="shared" si="1"/>
        <v>1480.1446</v>
      </c>
      <c r="X31" s="38">
        <v>0</v>
      </c>
      <c r="Y31" s="38">
        <v>37.8947</v>
      </c>
      <c r="Z31" s="38">
        <v>154.2759</v>
      </c>
      <c r="AA31" s="38">
        <v>36.2184</v>
      </c>
      <c r="AB31" s="38">
        <v>55.9581</v>
      </c>
      <c r="AC31" s="38">
        <f t="shared" si="2"/>
        <v>284.3471</v>
      </c>
      <c r="AD31" s="38">
        <v>1764.4917</v>
      </c>
      <c r="AE31" s="38">
        <v>218.1194</v>
      </c>
      <c r="AF31" s="38">
        <v>2400.2551</v>
      </c>
      <c r="AG31" s="38">
        <v>0</v>
      </c>
      <c r="AH31" s="38">
        <v>0</v>
      </c>
      <c r="AI31" s="38">
        <v>0</v>
      </c>
      <c r="AJ31" s="38">
        <f t="shared" si="3"/>
        <v>11.4124</v>
      </c>
      <c r="AK31" s="38">
        <f t="shared" si="4"/>
        <v>4394.2786</v>
      </c>
      <c r="AL31" s="38">
        <v>11.398083823397</v>
      </c>
      <c r="AM31" s="38">
        <v>154.16672354377</v>
      </c>
      <c r="AN31" s="38">
        <v>23.075123092642</v>
      </c>
      <c r="AO31" s="38">
        <v>29.316051042226</v>
      </c>
      <c r="AP31" s="38">
        <v>134.737963385796</v>
      </c>
      <c r="AQ31" s="38">
        <v>51.186581198249</v>
      </c>
      <c r="AR31" s="38">
        <v>2.213418604247</v>
      </c>
      <c r="AS31" s="38">
        <v>0</v>
      </c>
      <c r="AT31" s="38">
        <v>107.54528068989</v>
      </c>
      <c r="AU31" s="38">
        <v>17.127168228186</v>
      </c>
      <c r="AV31" s="38">
        <v>7793.83180067477</v>
      </c>
      <c r="AW31" s="38">
        <v>0</v>
      </c>
      <c r="AX31" s="38">
        <v>5.350978205908</v>
      </c>
      <c r="AY31" s="38">
        <v>0</v>
      </c>
      <c r="AZ31" s="38">
        <v>423.480167087654</v>
      </c>
      <c r="BA31" s="38">
        <v>2.212670158467</v>
      </c>
      <c r="BB31" s="38">
        <f t="shared" si="7"/>
        <v>8755.64200973521</v>
      </c>
      <c r="BC31" s="38">
        <v>0</v>
      </c>
      <c r="BD31" s="38">
        <v>261.484857987399</v>
      </c>
      <c r="BE31" s="38">
        <v>1528.57348740993</v>
      </c>
      <c r="BF31" s="38">
        <v>0</v>
      </c>
      <c r="BG31" s="38">
        <v>107.953680446337</v>
      </c>
      <c r="BH31" s="38">
        <v>47.270263791806</v>
      </c>
      <c r="BI31" s="38">
        <f t="shared" si="8"/>
        <v>1945.28228963547</v>
      </c>
      <c r="BJ31" s="38">
        <f t="shared" si="9"/>
        <v>10700.9242993707</v>
      </c>
      <c r="BK31" s="39">
        <v>-169.279960758086</v>
      </c>
      <c r="BL31" s="46"/>
      <c r="BM31" s="46"/>
      <c r="BN31" s="46"/>
      <c r="BO31" s="46"/>
      <c r="BP31" s="38">
        <v>0.4669</v>
      </c>
      <c r="BQ31" s="38">
        <v>10.9455</v>
      </c>
      <c r="BR31" s="50"/>
      <c r="BS31" s="50"/>
      <c r="BT31" s="50"/>
      <c r="BU31" s="50"/>
      <c r="BV31" s="50"/>
      <c r="BW31" s="50"/>
    </row>
    <row r="32" ht="19.9" customHeight="1" spans="1:75">
      <c r="A32" s="10" t="s">
        <v>39</v>
      </c>
      <c r="B32" s="39">
        <f t="shared" si="5"/>
        <v>-14.7498999999998</v>
      </c>
      <c r="C32" s="38">
        <f t="shared" si="6"/>
        <v>1.79322481883446</v>
      </c>
      <c r="D32" s="38">
        <v>1252.5179</v>
      </c>
      <c r="E32" s="38">
        <v>0</v>
      </c>
      <c r="F32" s="38">
        <v>1529.5116</v>
      </c>
      <c r="G32" s="38">
        <v>0</v>
      </c>
      <c r="H32" s="38">
        <v>991.4897</v>
      </c>
      <c r="I32" s="38">
        <v>0</v>
      </c>
      <c r="J32" s="38">
        <v>574.1108</v>
      </c>
      <c r="K32" s="38">
        <f t="shared" si="0"/>
        <v>4347.63</v>
      </c>
      <c r="L32" s="38">
        <v>370.2748</v>
      </c>
      <c r="M32" s="38">
        <v>106.1074</v>
      </c>
      <c r="N32" s="38">
        <v>74.6794</v>
      </c>
      <c r="O32" s="38">
        <v>11.5491</v>
      </c>
      <c r="P32" s="38">
        <v>0.7516</v>
      </c>
      <c r="Q32" s="38">
        <v>218.0903</v>
      </c>
      <c r="R32" s="38">
        <v>443.0315</v>
      </c>
      <c r="S32" s="38">
        <v>22.6602</v>
      </c>
      <c r="T32" s="38">
        <v>31.2028</v>
      </c>
      <c r="U32" s="38">
        <v>133.8273</v>
      </c>
      <c r="V32" s="38">
        <v>0.2229</v>
      </c>
      <c r="W32" s="38">
        <f t="shared" si="1"/>
        <v>1412.3973</v>
      </c>
      <c r="X32" s="38">
        <v>0</v>
      </c>
      <c r="Y32" s="38">
        <v>36.8514</v>
      </c>
      <c r="Z32" s="38">
        <v>146.5724</v>
      </c>
      <c r="AA32" s="38">
        <v>34.3111</v>
      </c>
      <c r="AB32" s="38">
        <v>51.4686</v>
      </c>
      <c r="AC32" s="38">
        <f t="shared" si="2"/>
        <v>269.2035</v>
      </c>
      <c r="AD32" s="38">
        <v>1681.6008</v>
      </c>
      <c r="AE32" s="38">
        <v>206.8173</v>
      </c>
      <c r="AF32" s="38">
        <v>2463.1275</v>
      </c>
      <c r="AG32" s="38">
        <v>0</v>
      </c>
      <c r="AH32" s="38">
        <v>0</v>
      </c>
      <c r="AI32" s="38">
        <v>0</v>
      </c>
      <c r="AJ32" s="38">
        <f t="shared" si="3"/>
        <v>10.8343</v>
      </c>
      <c r="AK32" s="38">
        <f t="shared" si="4"/>
        <v>4362.3799</v>
      </c>
      <c r="AL32" s="38">
        <v>11.314371361716</v>
      </c>
      <c r="AM32" s="38">
        <v>153.384463806151</v>
      </c>
      <c r="AN32" s="38">
        <v>20.741328133746</v>
      </c>
      <c r="AO32" s="38">
        <v>29.391240114202</v>
      </c>
      <c r="AP32" s="38">
        <v>134.672815052244</v>
      </c>
      <c r="AQ32" s="38">
        <v>50.893792355039</v>
      </c>
      <c r="AR32" s="38">
        <v>2.247437164533</v>
      </c>
      <c r="AS32" s="38">
        <v>0</v>
      </c>
      <c r="AT32" s="38">
        <v>109.870687683857</v>
      </c>
      <c r="AU32" s="38">
        <v>17.17051981767</v>
      </c>
      <c r="AV32" s="38">
        <v>7665.6518479175</v>
      </c>
      <c r="AW32" s="38">
        <v>0</v>
      </c>
      <c r="AX32" s="38">
        <v>5.360275282967</v>
      </c>
      <c r="AY32" s="38">
        <v>0</v>
      </c>
      <c r="AZ32" s="38">
        <v>464.243839318377</v>
      </c>
      <c r="BA32" s="38">
        <v>2.101143191975</v>
      </c>
      <c r="BB32" s="38">
        <f t="shared" si="7"/>
        <v>8667.04376119997</v>
      </c>
      <c r="BC32" s="38">
        <v>0</v>
      </c>
      <c r="BD32" s="38">
        <v>262.717936738131</v>
      </c>
      <c r="BE32" s="38">
        <v>1599.37203908655</v>
      </c>
      <c r="BF32" s="38">
        <v>0</v>
      </c>
      <c r="BG32" s="38">
        <v>107.855348732067</v>
      </c>
      <c r="BH32" s="38">
        <v>47.392088795126</v>
      </c>
      <c r="BI32" s="38">
        <f t="shared" si="8"/>
        <v>2017.33741335187</v>
      </c>
      <c r="BJ32" s="38">
        <f t="shared" si="9"/>
        <v>10684.3811745518</v>
      </c>
      <c r="BK32" s="39">
        <v>-16.5431248188343</v>
      </c>
      <c r="BL32" s="46"/>
      <c r="BM32" s="46"/>
      <c r="BN32" s="46"/>
      <c r="BO32" s="46"/>
      <c r="BP32" s="38">
        <v>0</v>
      </c>
      <c r="BQ32" s="38">
        <v>10.8343</v>
      </c>
      <c r="BR32" s="50"/>
      <c r="BS32" s="50"/>
      <c r="BT32" s="50"/>
      <c r="BU32" s="50"/>
      <c r="BV32" s="50"/>
      <c r="BW32" s="50"/>
    </row>
    <row r="33" ht="19.9" customHeight="1" spans="1:75">
      <c r="A33" s="10" t="s">
        <v>40</v>
      </c>
      <c r="B33" s="38">
        <f t="shared" si="5"/>
        <v>289.0112</v>
      </c>
      <c r="C33" s="38">
        <f t="shared" si="6"/>
        <v>0.553130039447751</v>
      </c>
      <c r="D33" s="38">
        <v>1305.4118</v>
      </c>
      <c r="E33" s="38">
        <v>0</v>
      </c>
      <c r="F33" s="38">
        <v>1476.7334</v>
      </c>
      <c r="G33" s="38">
        <v>0</v>
      </c>
      <c r="H33" s="38">
        <v>1084.5981</v>
      </c>
      <c r="I33" s="38">
        <v>0</v>
      </c>
      <c r="J33" s="38">
        <v>467.6945</v>
      </c>
      <c r="K33" s="38">
        <f t="shared" si="0"/>
        <v>4334.4378</v>
      </c>
      <c r="L33" s="38">
        <v>340.9079</v>
      </c>
      <c r="M33" s="38">
        <v>100.1001</v>
      </c>
      <c r="N33" s="38">
        <v>72.5589</v>
      </c>
      <c r="O33" s="38">
        <v>11.4846</v>
      </c>
      <c r="P33" s="38">
        <v>0.6511</v>
      </c>
      <c r="Q33" s="38">
        <v>220.7752</v>
      </c>
      <c r="R33" s="38">
        <v>423.7593</v>
      </c>
      <c r="S33" s="38">
        <v>16.9702</v>
      </c>
      <c r="T33" s="38">
        <v>30.7701</v>
      </c>
      <c r="U33" s="38">
        <v>135.5772</v>
      </c>
      <c r="V33" s="38">
        <v>0.2207</v>
      </c>
      <c r="W33" s="38">
        <f t="shared" si="1"/>
        <v>1353.7753</v>
      </c>
      <c r="X33" s="38">
        <v>0</v>
      </c>
      <c r="Y33" s="38">
        <v>32.4038</v>
      </c>
      <c r="Z33" s="38">
        <v>133.4599</v>
      </c>
      <c r="AA33" s="38">
        <v>32.0998</v>
      </c>
      <c r="AB33" s="38">
        <v>55.3183</v>
      </c>
      <c r="AC33" s="38">
        <f t="shared" si="2"/>
        <v>253.2818</v>
      </c>
      <c r="AD33" s="38">
        <v>1607.0571</v>
      </c>
      <c r="AE33" s="38">
        <v>3.638</v>
      </c>
      <c r="AF33" s="38">
        <v>2423.6762</v>
      </c>
      <c r="AG33" s="38">
        <v>0</v>
      </c>
      <c r="AH33" s="38">
        <v>0</v>
      </c>
      <c r="AI33" s="38">
        <v>0</v>
      </c>
      <c r="AJ33" s="38">
        <f t="shared" si="3"/>
        <v>11.0553</v>
      </c>
      <c r="AK33" s="38">
        <f t="shared" si="4"/>
        <v>4045.4266</v>
      </c>
      <c r="AL33" s="38">
        <v>11.763941460661</v>
      </c>
      <c r="AM33" s="38">
        <v>153.188398955888</v>
      </c>
      <c r="AN33" s="38">
        <v>26.525659127152</v>
      </c>
      <c r="AO33" s="38">
        <v>29.653774933255</v>
      </c>
      <c r="AP33" s="38">
        <v>141.56356097586</v>
      </c>
      <c r="AQ33" s="38">
        <v>52.032740187083</v>
      </c>
      <c r="AR33" s="38">
        <v>2.245646563656</v>
      </c>
      <c r="AS33" s="38">
        <v>0</v>
      </c>
      <c r="AT33" s="38">
        <v>108.883515682924</v>
      </c>
      <c r="AU33" s="38">
        <v>17.250514054779</v>
      </c>
      <c r="AV33" s="38">
        <v>8144.81517791221</v>
      </c>
      <c r="AW33" s="38">
        <v>0</v>
      </c>
      <c r="AX33" s="38">
        <v>5.378669487242</v>
      </c>
      <c r="AY33" s="38">
        <v>0</v>
      </c>
      <c r="AZ33" s="38">
        <v>410.016656399655</v>
      </c>
      <c r="BA33" s="38">
        <v>2.597001959564</v>
      </c>
      <c r="BB33" s="38">
        <f t="shared" si="7"/>
        <v>9105.91525769993</v>
      </c>
      <c r="BC33" s="38">
        <v>0</v>
      </c>
      <c r="BD33" s="38">
        <v>260.320071802922</v>
      </c>
      <c r="BE33" s="38">
        <v>1450.81265297977</v>
      </c>
      <c r="BF33" s="38">
        <v>0</v>
      </c>
      <c r="BG33" s="38">
        <v>108.175382189737</v>
      </c>
      <c r="BH33" s="38">
        <v>47.615879840042</v>
      </c>
      <c r="BI33" s="38">
        <f t="shared" si="8"/>
        <v>1866.92398681247</v>
      </c>
      <c r="BJ33" s="38">
        <f t="shared" si="9"/>
        <v>10972.8392445124</v>
      </c>
      <c r="BK33" s="38">
        <v>288.458069960552</v>
      </c>
      <c r="BL33" s="46"/>
      <c r="BM33" s="46"/>
      <c r="BN33" s="46"/>
      <c r="BO33" s="46"/>
      <c r="BP33" s="38">
        <v>0.2174</v>
      </c>
      <c r="BQ33" s="38">
        <v>10.8379</v>
      </c>
      <c r="BR33" s="50"/>
      <c r="BS33" s="50"/>
      <c r="BT33" s="50"/>
      <c r="BU33" s="50"/>
      <c r="BV33" s="50"/>
      <c r="BW33" s="50"/>
    </row>
    <row r="34" ht="19.9" customHeight="1" spans="1:75">
      <c r="A34" s="10" t="s">
        <v>41</v>
      </c>
      <c r="B34" s="38">
        <f t="shared" si="5"/>
        <v>151.168</v>
      </c>
      <c r="C34" s="39">
        <f t="shared" si="6"/>
        <v>-38.5304244611725</v>
      </c>
      <c r="D34" s="38">
        <v>1300.9173</v>
      </c>
      <c r="E34" s="38">
        <v>0</v>
      </c>
      <c r="F34" s="38">
        <v>1305.6515</v>
      </c>
      <c r="G34" s="38">
        <v>0</v>
      </c>
      <c r="H34" s="38">
        <v>860.5489</v>
      </c>
      <c r="I34" s="38">
        <v>0</v>
      </c>
      <c r="J34" s="38">
        <v>595.977</v>
      </c>
      <c r="K34" s="38">
        <f t="shared" si="0"/>
        <v>4063.0947</v>
      </c>
      <c r="L34" s="38">
        <v>328.0573</v>
      </c>
      <c r="M34" s="38">
        <v>98.9042</v>
      </c>
      <c r="N34" s="38">
        <v>73.9815</v>
      </c>
      <c r="O34" s="38">
        <v>11.0798</v>
      </c>
      <c r="P34" s="38">
        <v>0.8003</v>
      </c>
      <c r="Q34" s="38">
        <v>178.9345</v>
      </c>
      <c r="R34" s="38">
        <v>422.05</v>
      </c>
      <c r="S34" s="38">
        <v>13.8698</v>
      </c>
      <c r="T34" s="38">
        <v>30.2548</v>
      </c>
      <c r="U34" s="38">
        <v>136.0253</v>
      </c>
      <c r="V34" s="38">
        <v>0.2468</v>
      </c>
      <c r="W34" s="38">
        <f t="shared" si="1"/>
        <v>1294.2043</v>
      </c>
      <c r="X34" s="38">
        <v>0</v>
      </c>
      <c r="Y34" s="38">
        <v>32.1109</v>
      </c>
      <c r="Z34" s="38">
        <v>129.1507</v>
      </c>
      <c r="AA34" s="38">
        <v>30.4626</v>
      </c>
      <c r="AB34" s="38">
        <v>56.8858</v>
      </c>
      <c r="AC34" s="38">
        <f t="shared" si="2"/>
        <v>248.61</v>
      </c>
      <c r="AD34" s="38">
        <v>1542.8143</v>
      </c>
      <c r="AE34" s="38">
        <v>0</v>
      </c>
      <c r="AF34" s="38">
        <v>2358.2688</v>
      </c>
      <c r="AG34" s="38">
        <v>0</v>
      </c>
      <c r="AH34" s="38">
        <v>0</v>
      </c>
      <c r="AI34" s="38">
        <v>0</v>
      </c>
      <c r="AJ34" s="38">
        <f t="shared" si="3"/>
        <v>10.8436</v>
      </c>
      <c r="AK34" s="38">
        <f t="shared" si="4"/>
        <v>3911.9267</v>
      </c>
      <c r="AL34" s="38">
        <v>11.899416262451</v>
      </c>
      <c r="AM34" s="38">
        <v>158.795366364408</v>
      </c>
      <c r="AN34" s="38">
        <v>26.968272233291</v>
      </c>
      <c r="AO34" s="38">
        <v>29.819067114625</v>
      </c>
      <c r="AP34" s="38">
        <v>142.011282750337</v>
      </c>
      <c r="AQ34" s="38">
        <v>52.831971142474</v>
      </c>
      <c r="AR34" s="38">
        <v>2.285679816586</v>
      </c>
      <c r="AS34" s="38">
        <v>0</v>
      </c>
      <c r="AT34" s="38">
        <v>110.693079188655</v>
      </c>
      <c r="AU34" s="38">
        <v>17.484794328947</v>
      </c>
      <c r="AV34" s="38">
        <v>8241.75537828548</v>
      </c>
      <c r="AW34" s="38">
        <v>0</v>
      </c>
      <c r="AX34" s="38">
        <v>6.375854018948</v>
      </c>
      <c r="AY34" s="38">
        <v>0</v>
      </c>
      <c r="AZ34" s="38">
        <v>431.201980431679</v>
      </c>
      <c r="BA34" s="38">
        <v>1.943193413998</v>
      </c>
      <c r="BB34" s="38">
        <f t="shared" si="7"/>
        <v>9234.06533535188</v>
      </c>
      <c r="BC34" s="38">
        <v>0</v>
      </c>
      <c r="BD34" s="38">
        <v>261.37672974601</v>
      </c>
      <c r="BE34" s="38">
        <v>1508.82637366134</v>
      </c>
      <c r="BF34" s="38">
        <v>0</v>
      </c>
      <c r="BG34" s="38">
        <v>110.133684212708</v>
      </c>
      <c r="BH34" s="38">
        <v>48.135546001631</v>
      </c>
      <c r="BI34" s="38">
        <f t="shared" si="8"/>
        <v>1928.47233362169</v>
      </c>
      <c r="BJ34" s="38">
        <f t="shared" si="9"/>
        <v>11162.5376689736</v>
      </c>
      <c r="BK34" s="38">
        <v>189.698424461172</v>
      </c>
      <c r="BL34" s="46"/>
      <c r="BM34" s="46"/>
      <c r="BN34" s="46"/>
      <c r="BO34" s="46"/>
      <c r="BP34" s="38">
        <v>0</v>
      </c>
      <c r="BQ34" s="38">
        <v>10.8436</v>
      </c>
      <c r="BR34" s="50"/>
      <c r="BS34" s="50"/>
      <c r="BT34" s="50"/>
      <c r="BU34" s="50"/>
      <c r="BV34" s="50"/>
      <c r="BW34" s="50"/>
    </row>
    <row r="35" ht="19.9" customHeight="1" spans="1:75">
      <c r="A35" s="10" t="s">
        <v>42</v>
      </c>
      <c r="B35" s="38">
        <f t="shared" si="5"/>
        <v>54.0686999999998</v>
      </c>
      <c r="C35" s="38">
        <f t="shared" si="6"/>
        <v>35.9091238197161</v>
      </c>
      <c r="D35" s="38">
        <v>1301.1701</v>
      </c>
      <c r="E35" s="38">
        <v>0</v>
      </c>
      <c r="F35" s="38">
        <v>1763.9452</v>
      </c>
      <c r="G35" s="38">
        <v>0</v>
      </c>
      <c r="H35" s="38">
        <v>849.5439</v>
      </c>
      <c r="I35" s="38">
        <v>0</v>
      </c>
      <c r="J35" s="38">
        <v>249.2163</v>
      </c>
      <c r="K35" s="38">
        <f t="shared" si="0"/>
        <v>4163.8755</v>
      </c>
      <c r="L35" s="38">
        <v>331.8046</v>
      </c>
      <c r="M35" s="38">
        <v>94.637</v>
      </c>
      <c r="N35" s="38">
        <v>74.4527</v>
      </c>
      <c r="O35" s="38">
        <v>11.105</v>
      </c>
      <c r="P35" s="38">
        <v>0.7016</v>
      </c>
      <c r="Q35" s="38">
        <v>209.4551</v>
      </c>
      <c r="R35" s="38">
        <v>432.1571</v>
      </c>
      <c r="S35" s="38">
        <v>13.3477</v>
      </c>
      <c r="T35" s="38">
        <v>30.7551</v>
      </c>
      <c r="U35" s="38">
        <v>135.9363</v>
      </c>
      <c r="V35" s="38">
        <v>0.2502</v>
      </c>
      <c r="W35" s="38">
        <f t="shared" si="1"/>
        <v>1334.6024</v>
      </c>
      <c r="X35" s="38">
        <v>0</v>
      </c>
      <c r="Y35" s="38">
        <v>31.1915</v>
      </c>
      <c r="Z35" s="38">
        <v>125.9444</v>
      </c>
      <c r="AA35" s="38">
        <v>32.1269</v>
      </c>
      <c r="AB35" s="38">
        <v>48.7546</v>
      </c>
      <c r="AC35" s="38">
        <f t="shared" si="2"/>
        <v>238.0174</v>
      </c>
      <c r="AD35" s="38">
        <v>1572.6198</v>
      </c>
      <c r="AE35" s="38">
        <v>0</v>
      </c>
      <c r="AF35" s="38">
        <v>2525.4666</v>
      </c>
      <c r="AG35" s="38">
        <v>0</v>
      </c>
      <c r="AH35" s="38">
        <v>0</v>
      </c>
      <c r="AI35" s="38">
        <v>0</v>
      </c>
      <c r="AJ35" s="38">
        <f t="shared" si="3"/>
        <v>11.7204</v>
      </c>
      <c r="AK35" s="38">
        <f t="shared" si="4"/>
        <v>4109.8068</v>
      </c>
      <c r="AL35" s="38">
        <v>11.805790660205</v>
      </c>
      <c r="AM35" s="38">
        <v>161.397919775251</v>
      </c>
      <c r="AN35" s="38">
        <v>25.985614788892</v>
      </c>
      <c r="AO35" s="38">
        <v>30.579075650701</v>
      </c>
      <c r="AP35" s="38">
        <v>142.62449995893</v>
      </c>
      <c r="AQ35" s="38">
        <v>53.274806755018</v>
      </c>
      <c r="AR35" s="38">
        <v>2.271450425758</v>
      </c>
      <c r="AS35" s="38">
        <v>0</v>
      </c>
      <c r="AT35" s="38">
        <v>107.00713831481</v>
      </c>
      <c r="AU35" s="38">
        <v>17.279880583564</v>
      </c>
      <c r="AV35" s="38">
        <v>8208.35958093299</v>
      </c>
      <c r="AW35" s="38">
        <v>0</v>
      </c>
      <c r="AX35" s="38">
        <v>5.537107606028</v>
      </c>
      <c r="AY35" s="38">
        <v>0</v>
      </c>
      <c r="AZ35" s="38">
        <v>432.282559350566</v>
      </c>
      <c r="BA35" s="38">
        <v>2.544975133115</v>
      </c>
      <c r="BB35" s="38">
        <f t="shared" si="7"/>
        <v>9200.95039993583</v>
      </c>
      <c r="BC35" s="38">
        <v>0</v>
      </c>
      <c r="BD35" s="38">
        <v>261.82416016656</v>
      </c>
      <c r="BE35" s="38">
        <v>1559.48841912788</v>
      </c>
      <c r="BF35" s="38">
        <v>0</v>
      </c>
      <c r="BG35" s="38">
        <v>110.348309259066</v>
      </c>
      <c r="BH35" s="38">
        <v>48.085956664512</v>
      </c>
      <c r="BI35" s="38">
        <f t="shared" si="8"/>
        <v>1979.74684521802</v>
      </c>
      <c r="BJ35" s="38">
        <f t="shared" si="9"/>
        <v>11180.6972451539</v>
      </c>
      <c r="BK35" s="38">
        <v>18.1595761802837</v>
      </c>
      <c r="BL35" s="46"/>
      <c r="BM35" s="46"/>
      <c r="BN35" s="46"/>
      <c r="BO35" s="46"/>
      <c r="BP35" s="38">
        <v>0</v>
      </c>
      <c r="BQ35" s="38">
        <v>11.7204</v>
      </c>
      <c r="BR35" s="50"/>
      <c r="BS35" s="50"/>
      <c r="BT35" s="50"/>
      <c r="BU35" s="50"/>
      <c r="BV35" s="50"/>
      <c r="BW35" s="50"/>
    </row>
    <row r="36" ht="19.9" customHeight="1" spans="1:75">
      <c r="A36" s="10" t="s">
        <v>43</v>
      </c>
      <c r="B36" s="39">
        <f t="shared" si="5"/>
        <v>-242.2718</v>
      </c>
      <c r="C36" s="39">
        <f t="shared" si="6"/>
        <v>-13.498592619977</v>
      </c>
      <c r="D36" s="38">
        <v>1297.9202</v>
      </c>
      <c r="E36" s="38">
        <v>0</v>
      </c>
      <c r="F36" s="38">
        <v>1666.0704</v>
      </c>
      <c r="G36" s="38">
        <v>0</v>
      </c>
      <c r="H36" s="38">
        <v>902.6269</v>
      </c>
      <c r="I36" s="38">
        <v>0</v>
      </c>
      <c r="J36" s="38">
        <v>0</v>
      </c>
      <c r="K36" s="38">
        <f t="shared" si="0"/>
        <v>3866.6175</v>
      </c>
      <c r="L36" s="38">
        <v>320.8846</v>
      </c>
      <c r="M36" s="38">
        <v>83.6307</v>
      </c>
      <c r="N36" s="38">
        <v>74.5075</v>
      </c>
      <c r="O36" s="38">
        <v>11.1069</v>
      </c>
      <c r="P36" s="38">
        <v>0.701</v>
      </c>
      <c r="Q36" s="38">
        <v>206.1607</v>
      </c>
      <c r="R36" s="38">
        <v>443.2539</v>
      </c>
      <c r="S36" s="38">
        <v>17.0455</v>
      </c>
      <c r="T36" s="38">
        <v>30.2564</v>
      </c>
      <c r="U36" s="38">
        <v>141.4546</v>
      </c>
      <c r="V36" s="38">
        <v>0.2506</v>
      </c>
      <c r="W36" s="38">
        <f t="shared" si="1"/>
        <v>1329.2524</v>
      </c>
      <c r="X36" s="38">
        <v>0</v>
      </c>
      <c r="Y36" s="38">
        <v>27.607</v>
      </c>
      <c r="Z36" s="38">
        <v>111.148</v>
      </c>
      <c r="AA36" s="38">
        <v>26.2554</v>
      </c>
      <c r="AB36" s="38">
        <v>51.2949</v>
      </c>
      <c r="AC36" s="38">
        <f t="shared" si="2"/>
        <v>216.3053</v>
      </c>
      <c r="AD36" s="38">
        <v>1545.5577</v>
      </c>
      <c r="AE36" s="38">
        <v>0</v>
      </c>
      <c r="AF36" s="38">
        <v>2552.036</v>
      </c>
      <c r="AG36" s="38">
        <v>0</v>
      </c>
      <c r="AH36" s="38">
        <v>0</v>
      </c>
      <c r="AI36" s="38">
        <v>0</v>
      </c>
      <c r="AJ36" s="38">
        <f t="shared" si="3"/>
        <v>11.2956</v>
      </c>
      <c r="AK36" s="38">
        <f t="shared" si="4"/>
        <v>4108.8893</v>
      </c>
      <c r="AL36" s="38">
        <v>11.639440658355</v>
      </c>
      <c r="AM36" s="38">
        <v>158.203862194778</v>
      </c>
      <c r="AN36" s="38">
        <v>23.979071539613</v>
      </c>
      <c r="AO36" s="38">
        <v>29.754345297965</v>
      </c>
      <c r="AP36" s="38">
        <v>141.062938882857</v>
      </c>
      <c r="AQ36" s="38">
        <v>53.278307500443</v>
      </c>
      <c r="AR36" s="38">
        <v>2.264353472371</v>
      </c>
      <c r="AS36" s="38">
        <v>0</v>
      </c>
      <c r="AT36" s="38">
        <v>106.960256515819</v>
      </c>
      <c r="AU36" s="38">
        <v>17.537372665085</v>
      </c>
      <c r="AV36" s="38">
        <v>8051.23390941795</v>
      </c>
      <c r="AW36" s="38">
        <v>0</v>
      </c>
      <c r="AX36" s="38">
        <v>5.502114057222</v>
      </c>
      <c r="AY36" s="38">
        <v>0</v>
      </c>
      <c r="AZ36" s="38">
        <v>421.368646681559</v>
      </c>
      <c r="BA36" s="38">
        <v>2.38533808446</v>
      </c>
      <c r="BB36" s="38">
        <f t="shared" si="7"/>
        <v>9025.16995696848</v>
      </c>
      <c r="BC36" s="38">
        <v>0</v>
      </c>
      <c r="BD36" s="38">
        <v>263.355271387044</v>
      </c>
      <c r="BE36" s="38">
        <v>1506.07311711652</v>
      </c>
      <c r="BF36" s="38">
        <v>0</v>
      </c>
      <c r="BG36" s="38">
        <v>108.994043580003</v>
      </c>
      <c r="BH36" s="38">
        <v>48.331648721787</v>
      </c>
      <c r="BI36" s="38">
        <f t="shared" si="8"/>
        <v>1926.75408080536</v>
      </c>
      <c r="BJ36" s="38">
        <f t="shared" si="9"/>
        <v>10951.9240377738</v>
      </c>
      <c r="BK36" s="39">
        <v>-228.773207380023</v>
      </c>
      <c r="BL36" s="46"/>
      <c r="BM36" s="46"/>
      <c r="BN36" s="46"/>
      <c r="BO36" s="46"/>
      <c r="BP36" s="38">
        <v>0</v>
      </c>
      <c r="BQ36" s="38">
        <v>11.2956</v>
      </c>
      <c r="BR36" s="50"/>
      <c r="BS36" s="50"/>
      <c r="BT36" s="50"/>
      <c r="BU36" s="50"/>
      <c r="BV36" s="50"/>
      <c r="BW36" s="50"/>
    </row>
    <row r="37" ht="19.9" customHeight="1" spans="1:75">
      <c r="A37" s="10" t="s">
        <v>44</v>
      </c>
      <c r="B37" s="39">
        <f t="shared" si="5"/>
        <v>-95.0956000000001</v>
      </c>
      <c r="C37" s="38">
        <f t="shared" si="6"/>
        <v>15.1572534856355</v>
      </c>
      <c r="D37" s="38">
        <v>1306.6392</v>
      </c>
      <c r="E37" s="38">
        <v>0</v>
      </c>
      <c r="F37" s="38">
        <v>732.1673</v>
      </c>
      <c r="G37" s="38">
        <v>0</v>
      </c>
      <c r="H37" s="38">
        <v>942.9238</v>
      </c>
      <c r="I37" s="38">
        <v>0</v>
      </c>
      <c r="J37" s="38">
        <v>565.3412</v>
      </c>
      <c r="K37" s="38">
        <f t="shared" si="0"/>
        <v>3547.0715</v>
      </c>
      <c r="L37" s="38">
        <v>334.0251</v>
      </c>
      <c r="M37" s="38">
        <v>86.7419</v>
      </c>
      <c r="N37" s="38">
        <v>77.4798</v>
      </c>
      <c r="O37" s="38">
        <v>11.3783</v>
      </c>
      <c r="P37" s="38">
        <v>0.8</v>
      </c>
      <c r="Q37" s="38">
        <v>186.5167</v>
      </c>
      <c r="R37" s="38">
        <v>456.9928</v>
      </c>
      <c r="S37" s="38">
        <v>14.5545</v>
      </c>
      <c r="T37" s="38">
        <v>29.3589</v>
      </c>
      <c r="U37" s="38">
        <v>135.4815</v>
      </c>
      <c r="V37" s="38">
        <v>0.28</v>
      </c>
      <c r="W37" s="38">
        <f t="shared" si="1"/>
        <v>1333.6095</v>
      </c>
      <c r="X37" s="38">
        <v>0</v>
      </c>
      <c r="Y37" s="38">
        <v>27.1229</v>
      </c>
      <c r="Z37" s="38">
        <v>117.0097</v>
      </c>
      <c r="AA37" s="38">
        <v>25.3001</v>
      </c>
      <c r="AB37" s="38">
        <v>49.4576</v>
      </c>
      <c r="AC37" s="38">
        <f t="shared" si="2"/>
        <v>218.8903</v>
      </c>
      <c r="AD37" s="38">
        <v>1552.4998</v>
      </c>
      <c r="AE37" s="38">
        <v>0</v>
      </c>
      <c r="AF37" s="38">
        <v>2080.6945</v>
      </c>
      <c r="AG37" s="38">
        <v>0</v>
      </c>
      <c r="AH37" s="38">
        <v>0</v>
      </c>
      <c r="AI37" s="38">
        <v>0</v>
      </c>
      <c r="AJ37" s="38">
        <f t="shared" si="3"/>
        <v>8.9728</v>
      </c>
      <c r="AK37" s="38">
        <f t="shared" si="4"/>
        <v>3642.1671</v>
      </c>
      <c r="AL37" s="38">
        <v>11.643572023656</v>
      </c>
      <c r="AM37" s="38">
        <v>158.012933542009</v>
      </c>
      <c r="AN37" s="38">
        <v>23.546309318179</v>
      </c>
      <c r="AO37" s="38">
        <v>31.410001148516</v>
      </c>
      <c r="AP37" s="38">
        <v>135.111856821853</v>
      </c>
      <c r="AQ37" s="38">
        <v>52.712091597635</v>
      </c>
      <c r="AR37" s="38">
        <v>2.311367245808</v>
      </c>
      <c r="AS37" s="38">
        <v>0</v>
      </c>
      <c r="AT37" s="38">
        <v>109.927797166301</v>
      </c>
      <c r="AU37" s="38">
        <v>17.292908118581</v>
      </c>
      <c r="AV37" s="38">
        <v>7746.81576603891</v>
      </c>
      <c r="AW37" s="38">
        <v>0</v>
      </c>
      <c r="AX37" s="38">
        <v>5.45764067546</v>
      </c>
      <c r="AY37" s="38">
        <v>0</v>
      </c>
      <c r="AZ37" s="38">
        <v>449.190805587895</v>
      </c>
      <c r="BA37" s="38">
        <v>2.326627351988</v>
      </c>
      <c r="BB37" s="38">
        <f t="shared" si="7"/>
        <v>8745.75967663679</v>
      </c>
      <c r="BC37" s="38">
        <v>0</v>
      </c>
      <c r="BD37" s="38">
        <v>261.313741446335</v>
      </c>
      <c r="BE37" s="38">
        <v>1676.61093040638</v>
      </c>
      <c r="BF37" s="38">
        <v>0</v>
      </c>
      <c r="BG37" s="38">
        <v>109.732387407106</v>
      </c>
      <c r="BH37" s="38">
        <v>48.25444839158</v>
      </c>
      <c r="BI37" s="38">
        <f t="shared" si="8"/>
        <v>2095.9115076514</v>
      </c>
      <c r="BJ37" s="38">
        <f t="shared" si="9"/>
        <v>10841.6711842882</v>
      </c>
      <c r="BK37" s="39">
        <v>-110.252853485636</v>
      </c>
      <c r="BL37" s="46"/>
      <c r="BM37" s="46"/>
      <c r="BN37" s="46"/>
      <c r="BO37" s="46"/>
      <c r="BP37" s="38">
        <v>0.2769</v>
      </c>
      <c r="BQ37" s="38">
        <v>8.6959</v>
      </c>
      <c r="BR37" s="50"/>
      <c r="BS37" s="50"/>
      <c r="BT37" s="50"/>
      <c r="BU37" s="50"/>
      <c r="BV37" s="50"/>
      <c r="BW37" s="50"/>
    </row>
    <row r="38" ht="19.9" customHeight="1" spans="1:75">
      <c r="A38" s="10" t="s">
        <v>45</v>
      </c>
      <c r="B38" s="39">
        <f t="shared" si="5"/>
        <v>-107.473</v>
      </c>
      <c r="C38" s="38">
        <f t="shared" si="6"/>
        <v>21.0554719453335</v>
      </c>
      <c r="D38" s="38">
        <v>1292.5483</v>
      </c>
      <c r="E38" s="38">
        <v>0</v>
      </c>
      <c r="F38" s="38">
        <v>798.533</v>
      </c>
      <c r="G38" s="38">
        <v>0</v>
      </c>
      <c r="H38" s="38">
        <v>1045.9516</v>
      </c>
      <c r="I38" s="38">
        <v>0</v>
      </c>
      <c r="J38" s="38">
        <v>273.4473</v>
      </c>
      <c r="K38" s="38">
        <f t="shared" si="0"/>
        <v>3410.4802</v>
      </c>
      <c r="L38" s="38">
        <v>284.3281</v>
      </c>
      <c r="M38" s="38">
        <v>69.6895</v>
      </c>
      <c r="N38" s="38">
        <v>73.5209</v>
      </c>
      <c r="O38" s="38">
        <v>10.6764</v>
      </c>
      <c r="P38" s="38">
        <v>0.7003</v>
      </c>
      <c r="Q38" s="38">
        <v>179.3271</v>
      </c>
      <c r="R38" s="38">
        <v>416.9442</v>
      </c>
      <c r="S38" s="38">
        <v>13.5274</v>
      </c>
      <c r="T38" s="38">
        <v>33.7492</v>
      </c>
      <c r="U38" s="38">
        <v>128.235</v>
      </c>
      <c r="V38" s="38">
        <v>0.1932</v>
      </c>
      <c r="W38" s="38">
        <f t="shared" si="1"/>
        <v>1210.8913</v>
      </c>
      <c r="X38" s="38">
        <v>0</v>
      </c>
      <c r="Y38" s="38">
        <v>21.5882</v>
      </c>
      <c r="Z38" s="38">
        <v>79.3014</v>
      </c>
      <c r="AA38" s="38">
        <v>20.5189</v>
      </c>
      <c r="AB38" s="38">
        <v>41.4472</v>
      </c>
      <c r="AC38" s="38">
        <f t="shared" si="2"/>
        <v>162.8557</v>
      </c>
      <c r="AD38" s="38">
        <v>1373.747</v>
      </c>
      <c r="AE38" s="38">
        <v>0</v>
      </c>
      <c r="AF38" s="38">
        <v>2136.3008</v>
      </c>
      <c r="AG38" s="38">
        <v>0</v>
      </c>
      <c r="AH38" s="38">
        <v>0</v>
      </c>
      <c r="AI38" s="38">
        <v>0</v>
      </c>
      <c r="AJ38" s="38">
        <f t="shared" si="3"/>
        <v>7.9054</v>
      </c>
      <c r="AK38" s="38">
        <f t="shared" si="4"/>
        <v>3517.9532</v>
      </c>
      <c r="AL38" s="38">
        <v>11.63939281419</v>
      </c>
      <c r="AM38" s="38">
        <v>156.745931470009</v>
      </c>
      <c r="AN38" s="38">
        <v>23.699983767279</v>
      </c>
      <c r="AO38" s="38">
        <v>30.873086577714</v>
      </c>
      <c r="AP38" s="38">
        <v>136.132225461127</v>
      </c>
      <c r="AQ38" s="38">
        <v>51.713716287177</v>
      </c>
      <c r="AR38" s="38">
        <v>2.263191568374</v>
      </c>
      <c r="AS38" s="38">
        <v>0</v>
      </c>
      <c r="AT38" s="38">
        <v>108.477486159708</v>
      </c>
      <c r="AU38" s="38">
        <v>17.246222693659</v>
      </c>
      <c r="AV38" s="38">
        <v>7789.48066426732</v>
      </c>
      <c r="AW38" s="38">
        <v>0</v>
      </c>
      <c r="AX38" s="38">
        <v>5.411019562813</v>
      </c>
      <c r="AY38" s="38">
        <v>0</v>
      </c>
      <c r="AZ38" s="38">
        <v>420.529773397936</v>
      </c>
      <c r="BA38" s="38">
        <v>2.368902214505</v>
      </c>
      <c r="BB38" s="38">
        <f t="shared" si="7"/>
        <v>8756.58159624181</v>
      </c>
      <c r="BC38" s="38">
        <v>0</v>
      </c>
      <c r="BD38" s="38">
        <v>263.158095712014</v>
      </c>
      <c r="BE38" s="38">
        <v>1535.69045189206</v>
      </c>
      <c r="BF38" s="38">
        <v>0</v>
      </c>
      <c r="BG38" s="38">
        <v>109.282179807765</v>
      </c>
      <c r="BH38" s="38">
        <v>48.430388689205</v>
      </c>
      <c r="BI38" s="38">
        <f t="shared" si="8"/>
        <v>1956.56111610105</v>
      </c>
      <c r="BJ38" s="38">
        <f t="shared" si="9"/>
        <v>10713.1427123429</v>
      </c>
      <c r="BK38" s="39">
        <v>-128.528471945334</v>
      </c>
      <c r="BL38" s="46"/>
      <c r="BM38" s="46"/>
      <c r="BN38" s="46"/>
      <c r="BO38" s="46"/>
      <c r="BP38" s="38">
        <v>0</v>
      </c>
      <c r="BQ38" s="38">
        <v>7.9054</v>
      </c>
      <c r="BR38" s="50"/>
      <c r="BS38" s="50"/>
      <c r="BT38" s="50"/>
      <c r="BU38" s="50"/>
      <c r="BV38" s="50"/>
      <c r="BW38" s="50"/>
    </row>
    <row r="39" ht="19.9" customHeight="1" spans="1:75">
      <c r="A39" s="10" t="s">
        <v>46</v>
      </c>
      <c r="B39" s="38">
        <f t="shared" si="5"/>
        <v>197.3672</v>
      </c>
      <c r="C39" s="39">
        <f t="shared" si="6"/>
        <v>-1.27536422891944</v>
      </c>
      <c r="D39" s="38">
        <v>1298.5659</v>
      </c>
      <c r="E39" s="38">
        <v>0</v>
      </c>
      <c r="F39" s="38">
        <v>1758.0685</v>
      </c>
      <c r="G39" s="38">
        <v>0</v>
      </c>
      <c r="H39" s="38">
        <v>678.9717</v>
      </c>
      <c r="I39" s="38">
        <v>0</v>
      </c>
      <c r="J39" s="38">
        <v>0</v>
      </c>
      <c r="K39" s="38">
        <f t="shared" si="0"/>
        <v>3735.6061</v>
      </c>
      <c r="L39" s="38">
        <v>280.6832</v>
      </c>
      <c r="M39" s="38">
        <v>72.1363</v>
      </c>
      <c r="N39" s="38">
        <v>72.1471</v>
      </c>
      <c r="O39" s="38">
        <v>10.5769</v>
      </c>
      <c r="P39" s="38">
        <v>0.6002</v>
      </c>
      <c r="Q39" s="38">
        <v>179.4409</v>
      </c>
      <c r="R39" s="38">
        <v>405.0331</v>
      </c>
      <c r="S39" s="38">
        <v>12.9837</v>
      </c>
      <c r="T39" s="38">
        <v>33.7474</v>
      </c>
      <c r="U39" s="38">
        <v>129.6434</v>
      </c>
      <c r="V39" s="38">
        <v>0.1965</v>
      </c>
      <c r="W39" s="38">
        <f t="shared" si="1"/>
        <v>1197.1887</v>
      </c>
      <c r="X39" s="38">
        <v>0</v>
      </c>
      <c r="Y39" s="38">
        <v>26.2797</v>
      </c>
      <c r="Z39" s="38">
        <v>83.988</v>
      </c>
      <c r="AA39" s="38">
        <v>19.8281</v>
      </c>
      <c r="AB39" s="38">
        <v>43.5176</v>
      </c>
      <c r="AC39" s="38">
        <f t="shared" si="2"/>
        <v>173.6134</v>
      </c>
      <c r="AD39" s="38">
        <v>1370.8021</v>
      </c>
      <c r="AE39" s="38">
        <v>0</v>
      </c>
      <c r="AF39" s="38">
        <v>2158.8205</v>
      </c>
      <c r="AG39" s="38">
        <v>0</v>
      </c>
      <c r="AH39" s="38">
        <v>0</v>
      </c>
      <c r="AI39" s="38">
        <v>0</v>
      </c>
      <c r="AJ39" s="38">
        <f t="shared" si="3"/>
        <v>8.6163</v>
      </c>
      <c r="AK39" s="38">
        <f t="shared" si="4"/>
        <v>3538.2389</v>
      </c>
      <c r="AL39" s="38">
        <v>11.380231599638</v>
      </c>
      <c r="AM39" s="38">
        <v>157.17778509414</v>
      </c>
      <c r="AN39" s="38">
        <v>22.839178607648</v>
      </c>
      <c r="AO39" s="38">
        <v>30.694750161452</v>
      </c>
      <c r="AP39" s="38">
        <v>141.633488821507</v>
      </c>
      <c r="AQ39" s="38">
        <v>51.528626355113</v>
      </c>
      <c r="AR39" s="38">
        <v>2.237447546285</v>
      </c>
      <c r="AS39" s="38">
        <v>0</v>
      </c>
      <c r="AT39" s="38">
        <v>107.177979505488</v>
      </c>
      <c r="AU39" s="38">
        <v>17.325106513375</v>
      </c>
      <c r="AV39" s="38">
        <v>7987.90469232132</v>
      </c>
      <c r="AW39" s="38">
        <v>0</v>
      </c>
      <c r="AX39" s="38">
        <v>5.364394048686</v>
      </c>
      <c r="AY39" s="38">
        <v>0</v>
      </c>
      <c r="AZ39" s="38">
        <v>410.478387533354</v>
      </c>
      <c r="BA39" s="38">
        <v>2.234854928282</v>
      </c>
      <c r="BB39" s="38">
        <f t="shared" si="7"/>
        <v>8947.97692303629</v>
      </c>
      <c r="BC39" s="38">
        <v>0</v>
      </c>
      <c r="BD39" s="38">
        <v>262.771717440524</v>
      </c>
      <c r="BE39" s="38">
        <v>1545.29467515296</v>
      </c>
      <c r="BF39" s="38">
        <v>0</v>
      </c>
      <c r="BG39" s="38">
        <v>108.132406530825</v>
      </c>
      <c r="BH39" s="38">
        <v>47.609554411185</v>
      </c>
      <c r="BI39" s="38">
        <f t="shared" si="8"/>
        <v>1963.80835353549</v>
      </c>
      <c r="BJ39" s="38">
        <f t="shared" si="9"/>
        <v>10911.7852765718</v>
      </c>
      <c r="BK39" s="38">
        <v>198.64256422892</v>
      </c>
      <c r="BL39" s="46"/>
      <c r="BM39" s="46"/>
      <c r="BN39" s="46"/>
      <c r="BO39" s="46"/>
      <c r="BP39" s="38">
        <v>0</v>
      </c>
      <c r="BQ39" s="38">
        <v>8.6163</v>
      </c>
      <c r="BR39" s="50"/>
      <c r="BS39" s="50"/>
      <c r="BT39" s="50"/>
      <c r="BU39" s="50"/>
      <c r="BV39" s="50"/>
      <c r="BW39" s="50"/>
    </row>
    <row r="40" ht="19.9" customHeight="1" spans="64:75">
      <c r="BL40" s="47">
        <v>45656</v>
      </c>
      <c r="BM40" s="13">
        <v>10594.5233842506</v>
      </c>
      <c r="BQ40" s="50"/>
      <c r="BR40" s="50"/>
      <c r="BS40" s="50"/>
      <c r="BT40" s="50"/>
      <c r="BU40" s="50"/>
      <c r="BV40" s="50"/>
      <c r="BW40" s="50"/>
    </row>
    <row r="41" ht="14.3" customHeight="1" spans="69:75">
      <c r="BQ41" s="50"/>
      <c r="BR41" s="50"/>
      <c r="BS41" s="50"/>
      <c r="BT41" s="50"/>
      <c r="BU41" s="50"/>
      <c r="BV41" s="50"/>
      <c r="BW41" s="50"/>
    </row>
    <row r="42" ht="14.3" customHeight="1" spans="69:75">
      <c r="BQ42" s="50"/>
      <c r="BR42" s="50"/>
      <c r="BS42" s="50"/>
      <c r="BT42" s="50"/>
      <c r="BU42" s="50"/>
      <c r="BV42" s="50"/>
      <c r="BW42" s="50"/>
    </row>
    <row r="43" ht="14.3" customHeight="1" spans="69:75">
      <c r="BQ43" s="50"/>
      <c r="BR43" s="50"/>
      <c r="BS43" s="50"/>
      <c r="BT43" s="50"/>
      <c r="BU43" s="50"/>
      <c r="BV43" s="50"/>
      <c r="BW43" s="50"/>
    </row>
  </sheetData>
  <mergeCells count="20">
    <mergeCell ref="A1:C1"/>
    <mergeCell ref="A2:C2"/>
    <mergeCell ref="D3:K3"/>
    <mergeCell ref="L3:AK3"/>
    <mergeCell ref="AL3:BK3"/>
    <mergeCell ref="BP3:BQ3"/>
    <mergeCell ref="D4:E4"/>
    <mergeCell ref="F4:J4"/>
    <mergeCell ref="L4:AD4"/>
    <mergeCell ref="AE4:AI4"/>
    <mergeCell ref="AL4:BB4"/>
    <mergeCell ref="BC4:BI4"/>
    <mergeCell ref="A3:A5"/>
    <mergeCell ref="B3:B5"/>
    <mergeCell ref="C3:C5"/>
    <mergeCell ref="K4:K5"/>
    <mergeCell ref="AJ4:AJ5"/>
    <mergeCell ref="AK4:AK5"/>
    <mergeCell ref="BJ4:BJ5"/>
    <mergeCell ref="BK4:BK5"/>
  </mergeCells>
  <pageMargins left="0.75" right="0.75" top="0.270000010728836" bottom="0.270000010728836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1"/>
  <sheetViews>
    <sheetView workbookViewId="0">
      <selection activeCell="A1" sqref="A1:D1"/>
    </sheetView>
  </sheetViews>
  <sheetFormatPr defaultColWidth="10" defaultRowHeight="13.5"/>
  <cols>
    <col min="1" max="1" width="16.4083333333333" customWidth="1"/>
    <col min="2" max="19" width="11.2833333333333" customWidth="1"/>
    <col min="20" max="20" width="10.2583333333333" customWidth="1"/>
    <col min="21" max="31" width="11.2833333333333" customWidth="1"/>
    <col min="32" max="33" width="9" hidden="1"/>
    <col min="34" max="42" width="9.76666666666667" customWidth="1"/>
  </cols>
  <sheetData>
    <row r="1" ht="31.65" customHeight="1" spans="1:4">
      <c r="A1" s="7" t="s">
        <v>103</v>
      </c>
      <c r="B1" s="7"/>
      <c r="C1" s="7"/>
      <c r="D1" s="7"/>
    </row>
    <row r="2" ht="17.05" customHeight="1" spans="1:42">
      <c r="A2" s="16" t="s">
        <v>46</v>
      </c>
      <c r="B2" s="16"/>
      <c r="C2" s="16"/>
      <c r="D2" s="13"/>
      <c r="AI2" s="35" t="s">
        <v>51</v>
      </c>
      <c r="AJ2" s="35"/>
      <c r="AK2" s="35"/>
      <c r="AL2" s="35"/>
      <c r="AM2" s="35"/>
      <c r="AN2" s="35"/>
      <c r="AO2" s="35"/>
      <c r="AP2" s="35"/>
    </row>
    <row r="3" ht="17.05" customHeight="1" spans="1:42">
      <c r="A3" s="32" t="s">
        <v>1</v>
      </c>
      <c r="B3" s="32" t="s">
        <v>2</v>
      </c>
      <c r="C3" s="33" t="s">
        <v>3</v>
      </c>
      <c r="D3" s="34" t="s">
        <v>48</v>
      </c>
      <c r="E3" s="34"/>
      <c r="F3" s="34"/>
      <c r="G3" s="34"/>
      <c r="H3" s="34"/>
      <c r="I3" s="34"/>
      <c r="J3" s="40" t="s">
        <v>49</v>
      </c>
      <c r="K3" s="40"/>
      <c r="L3" s="40"/>
      <c r="M3" s="40"/>
      <c r="N3" s="40"/>
      <c r="O3" s="40"/>
      <c r="P3" s="40"/>
      <c r="Q3" s="40"/>
      <c r="R3" s="40"/>
      <c r="S3" s="40"/>
      <c r="T3" s="64" t="s">
        <v>104</v>
      </c>
      <c r="U3" s="44" t="s">
        <v>50</v>
      </c>
      <c r="V3" s="44"/>
      <c r="W3" s="44"/>
      <c r="X3" s="44"/>
      <c r="Y3" s="44"/>
      <c r="Z3" s="44"/>
      <c r="AA3" s="44"/>
      <c r="AB3" s="44"/>
      <c r="AC3" s="44"/>
      <c r="AD3" s="44"/>
      <c r="AE3" s="44"/>
      <c r="AI3" s="35" t="s">
        <v>105</v>
      </c>
      <c r="AJ3" s="35"/>
      <c r="AK3" s="35" t="s">
        <v>106</v>
      </c>
      <c r="AL3" s="35"/>
      <c r="AM3" s="35" t="s">
        <v>107</v>
      </c>
      <c r="AN3" s="35"/>
      <c r="AO3" s="35" t="s">
        <v>108</v>
      </c>
      <c r="AP3" s="35"/>
    </row>
    <row r="4" ht="22.75" customHeight="1" spans="1:42">
      <c r="A4" s="32"/>
      <c r="B4" s="32"/>
      <c r="C4" s="33"/>
      <c r="D4" s="35" t="s">
        <v>109</v>
      </c>
      <c r="E4" s="35" t="s">
        <v>110</v>
      </c>
      <c r="F4" s="35" t="s">
        <v>111</v>
      </c>
      <c r="G4" s="8" t="s">
        <v>53</v>
      </c>
      <c r="H4" s="8"/>
      <c r="I4" s="34" t="s">
        <v>54</v>
      </c>
      <c r="J4" s="8" t="s">
        <v>55</v>
      </c>
      <c r="K4" s="8"/>
      <c r="L4" s="8"/>
      <c r="M4" s="8"/>
      <c r="N4" s="8"/>
      <c r="O4" s="8"/>
      <c r="P4" s="8" t="s">
        <v>53</v>
      </c>
      <c r="Q4" s="8"/>
      <c r="R4" s="35" t="s">
        <v>56</v>
      </c>
      <c r="S4" s="40" t="s">
        <v>57</v>
      </c>
      <c r="T4" s="65" t="s">
        <v>112</v>
      </c>
      <c r="U4" s="60" t="s">
        <v>113</v>
      </c>
      <c r="V4" s="35" t="s">
        <v>113</v>
      </c>
      <c r="W4" s="35"/>
      <c r="X4" s="35"/>
      <c r="Y4" s="35" t="s">
        <v>114</v>
      </c>
      <c r="Z4" s="35"/>
      <c r="AA4" s="35"/>
      <c r="AB4" s="35"/>
      <c r="AC4" s="35"/>
      <c r="AD4" s="44" t="s">
        <v>60</v>
      </c>
      <c r="AE4" s="44" t="s">
        <v>61</v>
      </c>
      <c r="AI4" s="35" t="s">
        <v>62</v>
      </c>
      <c r="AJ4" s="35" t="s">
        <v>63</v>
      </c>
      <c r="AK4" s="35" t="s">
        <v>62</v>
      </c>
      <c r="AL4" s="35" t="s">
        <v>63</v>
      </c>
      <c r="AM4" s="35" t="s">
        <v>62</v>
      </c>
      <c r="AN4" s="35" t="s">
        <v>63</v>
      </c>
      <c r="AO4" s="35" t="s">
        <v>62</v>
      </c>
      <c r="AP4" s="35" t="s">
        <v>63</v>
      </c>
    </row>
    <row r="5" ht="28.6" customHeight="1" spans="1:42">
      <c r="A5" s="32"/>
      <c r="B5" s="32"/>
      <c r="C5" s="33"/>
      <c r="D5" s="35"/>
      <c r="E5" s="35"/>
      <c r="F5" s="35"/>
      <c r="G5" s="35" t="s">
        <v>115</v>
      </c>
      <c r="H5" s="35" t="s">
        <v>116</v>
      </c>
      <c r="I5" s="34"/>
      <c r="J5" s="35" t="s">
        <v>106</v>
      </c>
      <c r="K5" s="35" t="s">
        <v>117</v>
      </c>
      <c r="L5" s="35" t="s">
        <v>118</v>
      </c>
      <c r="M5" s="35" t="s">
        <v>119</v>
      </c>
      <c r="N5" s="35" t="s">
        <v>120</v>
      </c>
      <c r="O5" s="40" t="s">
        <v>89</v>
      </c>
      <c r="P5" s="35" t="s">
        <v>115</v>
      </c>
      <c r="Q5" s="35" t="s">
        <v>121</v>
      </c>
      <c r="R5" s="35"/>
      <c r="S5" s="40"/>
      <c r="T5" s="65"/>
      <c r="U5" s="60" t="s">
        <v>122</v>
      </c>
      <c r="V5" s="35" t="s">
        <v>107</v>
      </c>
      <c r="W5" s="35" t="s">
        <v>117</v>
      </c>
      <c r="X5" s="35" t="s">
        <v>106</v>
      </c>
      <c r="Y5" s="35" t="s">
        <v>118</v>
      </c>
      <c r="Z5" s="35" t="s">
        <v>120</v>
      </c>
      <c r="AA5" s="35" t="s">
        <v>119</v>
      </c>
      <c r="AB5" s="35" t="s">
        <v>123</v>
      </c>
      <c r="AC5" s="35" t="s">
        <v>124</v>
      </c>
      <c r="AD5" s="44"/>
      <c r="AE5" s="44"/>
      <c r="AI5" s="35"/>
      <c r="AJ5" s="35"/>
      <c r="AK5" s="35"/>
      <c r="AL5" s="35"/>
      <c r="AM5" s="35"/>
      <c r="AN5" s="35"/>
      <c r="AO5" s="35"/>
      <c r="AP5" s="35"/>
    </row>
    <row r="6" ht="19.05" customHeight="1" spans="1:42">
      <c r="A6" s="36" t="s">
        <v>101</v>
      </c>
      <c r="B6" s="63"/>
      <c r="C6" s="63"/>
      <c r="D6" s="37">
        <v>2949.0343</v>
      </c>
      <c r="E6" s="37"/>
      <c r="F6" s="37">
        <v>2786.5112</v>
      </c>
      <c r="G6" s="37">
        <v>14465.061</v>
      </c>
      <c r="H6" s="37">
        <v>4807.6015</v>
      </c>
      <c r="I6" s="37">
        <f t="shared" ref="I6:I39" si="0">SUM(D6:H6)</f>
        <v>25008.208</v>
      </c>
      <c r="J6" s="37">
        <v>230.1575</v>
      </c>
      <c r="K6" s="37">
        <v>13196.7554</v>
      </c>
      <c r="L6" s="37">
        <v>142.0495</v>
      </c>
      <c r="M6" s="37">
        <v>4786.7782</v>
      </c>
      <c r="N6" s="37">
        <v>1372.8612</v>
      </c>
      <c r="O6" s="37">
        <v>19728.6018</v>
      </c>
      <c r="P6" s="37">
        <v>0</v>
      </c>
      <c r="Q6" s="37">
        <v>4964.3049</v>
      </c>
      <c r="R6" s="37">
        <f t="shared" ref="R6:R39" si="1">SUM(AI6:AP6)</f>
        <v>0.6029</v>
      </c>
      <c r="S6" s="37">
        <f t="shared" ref="S6:S39" si="2">SUM(O6)+SUM(P6,Q6)+SUM(R6)</f>
        <v>24693.5096</v>
      </c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I6" s="37">
        <v>0.2682</v>
      </c>
      <c r="AJ6" s="37">
        <v>0.1269</v>
      </c>
      <c r="AK6" s="37">
        <v>0</v>
      </c>
      <c r="AL6" s="37">
        <v>0</v>
      </c>
      <c r="AM6" s="37">
        <v>0.0501</v>
      </c>
      <c r="AN6" s="37">
        <v>0.0174</v>
      </c>
      <c r="AO6" s="37">
        <v>0.0442</v>
      </c>
      <c r="AP6" s="37">
        <v>0.0961</v>
      </c>
    </row>
    <row r="7" ht="19.05" customHeight="1" spans="1:42">
      <c r="A7" s="36" t="s">
        <v>102</v>
      </c>
      <c r="B7" s="63"/>
      <c r="C7" s="63"/>
      <c r="D7" s="37">
        <v>2949.0343</v>
      </c>
      <c r="E7" s="37"/>
      <c r="F7" s="37">
        <v>2786.5112</v>
      </c>
      <c r="G7" s="37">
        <v>14465.061</v>
      </c>
      <c r="H7" s="37">
        <v>4807.6015</v>
      </c>
      <c r="I7" s="37">
        <f t="shared" si="0"/>
        <v>25008.208</v>
      </c>
      <c r="J7" s="37">
        <v>230.1575</v>
      </c>
      <c r="K7" s="37">
        <v>13196.7554</v>
      </c>
      <c r="L7" s="37">
        <v>142.0495</v>
      </c>
      <c r="M7" s="37">
        <v>4786.7782</v>
      </c>
      <c r="N7" s="37">
        <v>1372.8612</v>
      </c>
      <c r="O7" s="37">
        <v>19728.6018</v>
      </c>
      <c r="P7" s="37">
        <v>0</v>
      </c>
      <c r="Q7" s="37">
        <v>4964.3049</v>
      </c>
      <c r="R7" s="37">
        <f t="shared" si="1"/>
        <v>0.6029</v>
      </c>
      <c r="S7" s="37">
        <f t="shared" si="2"/>
        <v>24693.5096</v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I7" s="37">
        <v>0.2682</v>
      </c>
      <c r="AJ7" s="37">
        <v>0.1269</v>
      </c>
      <c r="AK7" s="37">
        <v>0</v>
      </c>
      <c r="AL7" s="37">
        <v>0</v>
      </c>
      <c r="AM7" s="37">
        <v>0.0501</v>
      </c>
      <c r="AN7" s="37">
        <v>0.0174</v>
      </c>
      <c r="AO7" s="37">
        <v>0.0442</v>
      </c>
      <c r="AP7" s="37">
        <v>0.0961</v>
      </c>
    </row>
    <row r="8" ht="19.9" customHeight="1" spans="1:42">
      <c r="A8" s="10" t="s">
        <v>15</v>
      </c>
      <c r="B8" s="38">
        <f t="shared" ref="B8:B39" si="3">I8-S8</f>
        <v>224.1754</v>
      </c>
      <c r="C8" s="38">
        <f t="shared" ref="C8:C39" si="4">B8-AE8</f>
        <v>108.025585209554</v>
      </c>
      <c r="D8" s="38">
        <v>0</v>
      </c>
      <c r="E8" s="38"/>
      <c r="F8" s="38">
        <v>29.7408</v>
      </c>
      <c r="G8" s="38">
        <v>901.143</v>
      </c>
      <c r="H8" s="38">
        <v>158.2198</v>
      </c>
      <c r="I8" s="38">
        <f t="shared" si="0"/>
        <v>1089.1036</v>
      </c>
      <c r="J8" s="38">
        <v>9.0117</v>
      </c>
      <c r="K8" s="38">
        <v>479.2901</v>
      </c>
      <c r="L8" s="38">
        <v>0</v>
      </c>
      <c r="M8" s="38">
        <v>142.7349</v>
      </c>
      <c r="N8" s="38">
        <v>56.9237</v>
      </c>
      <c r="O8" s="38">
        <v>687.9604</v>
      </c>
      <c r="P8" s="38">
        <v>0</v>
      </c>
      <c r="Q8" s="38">
        <v>176.9639</v>
      </c>
      <c r="R8" s="38">
        <f t="shared" si="1"/>
        <v>0.0039</v>
      </c>
      <c r="S8" s="38">
        <f t="shared" si="2"/>
        <v>864.9282</v>
      </c>
      <c r="T8" s="61">
        <v>102.414</v>
      </c>
      <c r="U8" s="61">
        <v>52.681069072912</v>
      </c>
      <c r="V8" s="38">
        <v>9.606851951139</v>
      </c>
      <c r="W8" s="38">
        <v>4869.28517598875</v>
      </c>
      <c r="X8" s="38">
        <v>504.59191573335</v>
      </c>
      <c r="Y8" s="38">
        <v>0</v>
      </c>
      <c r="Z8" s="38">
        <v>80.673092302115</v>
      </c>
      <c r="AA8" s="38">
        <v>828.130610407561</v>
      </c>
      <c r="AB8" s="38">
        <v>0</v>
      </c>
      <c r="AC8" s="38">
        <v>0</v>
      </c>
      <c r="AD8" s="38">
        <f t="shared" ref="AD8:AD39" si="5">SUM(V8,W8,X8,Y8,Z8,AA8,AB8,AC8)</f>
        <v>6292.28764638292</v>
      </c>
      <c r="AE8" s="38">
        <v>116.149814790446</v>
      </c>
      <c r="AF8" s="46"/>
      <c r="AG8" s="46"/>
      <c r="AH8" s="46"/>
      <c r="AI8" s="38">
        <v>0</v>
      </c>
      <c r="AJ8" s="38">
        <v>0.0024</v>
      </c>
      <c r="AK8" s="38">
        <v>0</v>
      </c>
      <c r="AL8" s="38">
        <v>0</v>
      </c>
      <c r="AM8" s="38">
        <v>0</v>
      </c>
      <c r="AN8" s="38">
        <v>0.0004</v>
      </c>
      <c r="AO8" s="38">
        <v>0</v>
      </c>
      <c r="AP8" s="38">
        <v>0.0011</v>
      </c>
    </row>
    <row r="9" ht="19.9" customHeight="1" spans="1:42">
      <c r="A9" s="10" t="s">
        <v>16</v>
      </c>
      <c r="B9" s="38">
        <f t="shared" si="3"/>
        <v>226.376</v>
      </c>
      <c r="C9" s="39">
        <f t="shared" si="4"/>
        <v>-0.479587154504202</v>
      </c>
      <c r="D9" s="38">
        <v>0</v>
      </c>
      <c r="E9" s="38"/>
      <c r="F9" s="38">
        <v>29.8727</v>
      </c>
      <c r="G9" s="38">
        <v>900.218</v>
      </c>
      <c r="H9" s="38">
        <v>169.1966</v>
      </c>
      <c r="I9" s="38">
        <f t="shared" si="0"/>
        <v>1099.2873</v>
      </c>
      <c r="J9" s="38">
        <v>9.036</v>
      </c>
      <c r="K9" s="38">
        <v>456.4531</v>
      </c>
      <c r="L9" s="38">
        <v>0</v>
      </c>
      <c r="M9" s="38">
        <v>168.5053</v>
      </c>
      <c r="N9" s="38">
        <v>53.3869</v>
      </c>
      <c r="O9" s="38">
        <v>687.3813</v>
      </c>
      <c r="P9" s="38">
        <v>0</v>
      </c>
      <c r="Q9" s="38">
        <v>185.526</v>
      </c>
      <c r="R9" s="38">
        <f t="shared" si="1"/>
        <v>0.004</v>
      </c>
      <c r="S9" s="38">
        <f t="shared" si="2"/>
        <v>872.9113</v>
      </c>
      <c r="T9" s="61">
        <v>0</v>
      </c>
      <c r="U9" s="61">
        <v>52.776019695503</v>
      </c>
      <c r="V9" s="38">
        <v>10.062774837534</v>
      </c>
      <c r="W9" s="38">
        <v>5066.3599692081</v>
      </c>
      <c r="X9" s="38">
        <v>519.085451848086</v>
      </c>
      <c r="Y9" s="38">
        <v>0</v>
      </c>
      <c r="Z9" s="38">
        <v>80.849936430403</v>
      </c>
      <c r="AA9" s="38">
        <v>842.785101213304</v>
      </c>
      <c r="AB9" s="38">
        <v>0</v>
      </c>
      <c r="AC9" s="38">
        <v>0</v>
      </c>
      <c r="AD9" s="38">
        <f t="shared" si="5"/>
        <v>6519.14323353742</v>
      </c>
      <c r="AE9" s="38">
        <v>226.855587154504</v>
      </c>
      <c r="AF9" s="46"/>
      <c r="AG9" s="46"/>
      <c r="AH9" s="46"/>
      <c r="AI9" s="38">
        <v>0</v>
      </c>
      <c r="AJ9" s="38">
        <v>0.0025</v>
      </c>
      <c r="AK9" s="38">
        <v>0</v>
      </c>
      <c r="AL9" s="38">
        <v>0</v>
      </c>
      <c r="AM9" s="38">
        <v>0</v>
      </c>
      <c r="AN9" s="38">
        <v>0.0004</v>
      </c>
      <c r="AO9" s="38">
        <v>0</v>
      </c>
      <c r="AP9" s="38">
        <v>0.0011</v>
      </c>
    </row>
    <row r="10" ht="19.9" customHeight="1" spans="1:42">
      <c r="A10" s="10" t="s">
        <v>17</v>
      </c>
      <c r="B10" s="38">
        <f t="shared" si="3"/>
        <v>214.2109</v>
      </c>
      <c r="C10" s="38">
        <f t="shared" si="4"/>
        <v>9.1682701785968</v>
      </c>
      <c r="D10" s="38">
        <v>0</v>
      </c>
      <c r="E10" s="38"/>
      <c r="F10" s="38">
        <v>29.8028</v>
      </c>
      <c r="G10" s="38">
        <v>900.951</v>
      </c>
      <c r="H10" s="38">
        <v>157.9817</v>
      </c>
      <c r="I10" s="38">
        <f t="shared" si="0"/>
        <v>1088.7355</v>
      </c>
      <c r="J10" s="38">
        <v>8.5896</v>
      </c>
      <c r="K10" s="38">
        <v>484.5846</v>
      </c>
      <c r="L10" s="38">
        <v>0</v>
      </c>
      <c r="M10" s="38">
        <v>155.5949</v>
      </c>
      <c r="N10" s="38">
        <v>53.0214</v>
      </c>
      <c r="O10" s="38">
        <v>701.7905</v>
      </c>
      <c r="P10" s="38">
        <v>0</v>
      </c>
      <c r="Q10" s="38">
        <v>172.7299</v>
      </c>
      <c r="R10" s="38">
        <f t="shared" si="1"/>
        <v>0.0042</v>
      </c>
      <c r="S10" s="38">
        <f t="shared" si="2"/>
        <v>874.5246</v>
      </c>
      <c r="T10" s="61">
        <v>0</v>
      </c>
      <c r="U10" s="61">
        <v>52.924266349128</v>
      </c>
      <c r="V10" s="38">
        <v>10.402903974126</v>
      </c>
      <c r="W10" s="38">
        <v>5253.20610963</v>
      </c>
      <c r="X10" s="38">
        <v>542.059637599039</v>
      </c>
      <c r="Y10" s="38">
        <v>0</v>
      </c>
      <c r="Z10" s="38">
        <v>80.758658874436</v>
      </c>
      <c r="AA10" s="38">
        <v>837.758553281225</v>
      </c>
      <c r="AB10" s="38">
        <v>0</v>
      </c>
      <c r="AC10" s="38">
        <v>0</v>
      </c>
      <c r="AD10" s="38">
        <f t="shared" si="5"/>
        <v>6724.18586335883</v>
      </c>
      <c r="AE10" s="38">
        <v>205.042629821403</v>
      </c>
      <c r="AF10" s="46"/>
      <c r="AG10" s="46"/>
      <c r="AH10" s="46"/>
      <c r="AI10" s="38">
        <v>0</v>
      </c>
      <c r="AJ10" s="38">
        <v>0.0025</v>
      </c>
      <c r="AK10" s="38">
        <v>0</v>
      </c>
      <c r="AL10" s="38">
        <v>0</v>
      </c>
      <c r="AM10" s="38">
        <v>0</v>
      </c>
      <c r="AN10" s="38">
        <v>0.0004</v>
      </c>
      <c r="AO10" s="38">
        <v>0</v>
      </c>
      <c r="AP10" s="38">
        <v>0.0013</v>
      </c>
    </row>
    <row r="11" ht="19.9" customHeight="1" spans="1:42">
      <c r="A11" s="10" t="s">
        <v>18</v>
      </c>
      <c r="B11" s="38">
        <f t="shared" si="3"/>
        <v>115.4869</v>
      </c>
      <c r="C11" s="38">
        <f t="shared" si="4"/>
        <v>114.421975241871</v>
      </c>
      <c r="D11" s="38">
        <v>0</v>
      </c>
      <c r="E11" s="38"/>
      <c r="F11" s="38">
        <v>29.8197</v>
      </c>
      <c r="G11" s="38">
        <v>951.856</v>
      </c>
      <c r="H11" s="38">
        <v>169.4385</v>
      </c>
      <c r="I11" s="38">
        <f t="shared" si="0"/>
        <v>1151.1142</v>
      </c>
      <c r="J11" s="38">
        <v>8.9412</v>
      </c>
      <c r="K11" s="38">
        <v>618.4211</v>
      </c>
      <c r="L11" s="38">
        <v>0</v>
      </c>
      <c r="M11" s="38">
        <v>168.2654</v>
      </c>
      <c r="N11" s="38">
        <v>53.6228</v>
      </c>
      <c r="O11" s="38">
        <v>849.2505</v>
      </c>
      <c r="P11" s="38">
        <v>0</v>
      </c>
      <c r="Q11" s="38">
        <v>186.3586</v>
      </c>
      <c r="R11" s="38">
        <f t="shared" si="1"/>
        <v>0.0182</v>
      </c>
      <c r="S11" s="38">
        <f t="shared" si="2"/>
        <v>1035.6273</v>
      </c>
      <c r="T11" s="61">
        <v>103.1923</v>
      </c>
      <c r="U11" s="61">
        <v>53.011191074115</v>
      </c>
      <c r="V11" s="38">
        <v>10.377072091529</v>
      </c>
      <c r="W11" s="38">
        <v>5253.9446355008</v>
      </c>
      <c r="X11" s="38">
        <v>548.920599798618</v>
      </c>
      <c r="Y11" s="38">
        <v>0</v>
      </c>
      <c r="Z11" s="38">
        <v>80.844756726006</v>
      </c>
      <c r="AA11" s="38">
        <v>831.163724</v>
      </c>
      <c r="AB11" s="38">
        <v>0</v>
      </c>
      <c r="AC11" s="38">
        <v>0</v>
      </c>
      <c r="AD11" s="38">
        <f t="shared" si="5"/>
        <v>6725.25078811696</v>
      </c>
      <c r="AE11" s="38">
        <v>1.06492475812865</v>
      </c>
      <c r="AF11" s="46"/>
      <c r="AG11" s="46"/>
      <c r="AH11" s="46"/>
      <c r="AI11" s="38">
        <v>0</v>
      </c>
      <c r="AJ11" s="38">
        <v>0.0075</v>
      </c>
      <c r="AK11" s="38">
        <v>0</v>
      </c>
      <c r="AL11" s="38">
        <v>0</v>
      </c>
      <c r="AM11" s="38">
        <v>0</v>
      </c>
      <c r="AN11" s="38">
        <v>0.0016</v>
      </c>
      <c r="AO11" s="38">
        <v>0</v>
      </c>
      <c r="AP11" s="38">
        <v>0.0091</v>
      </c>
    </row>
    <row r="12" ht="19.9" customHeight="1" spans="1:42">
      <c r="A12" s="10" t="s">
        <v>19</v>
      </c>
      <c r="B12" s="39">
        <f t="shared" si="3"/>
        <v>-51.4493999999997</v>
      </c>
      <c r="C12" s="38">
        <f t="shared" si="4"/>
        <v>0.79422619581851</v>
      </c>
      <c r="D12" s="38">
        <v>0</v>
      </c>
      <c r="E12" s="38"/>
      <c r="F12" s="38">
        <v>29.9085</v>
      </c>
      <c r="G12" s="38">
        <v>811.36</v>
      </c>
      <c r="H12" s="38">
        <v>172.7231</v>
      </c>
      <c r="I12" s="38">
        <f t="shared" si="0"/>
        <v>1013.9916</v>
      </c>
      <c r="J12" s="38">
        <v>9.477</v>
      </c>
      <c r="K12" s="38">
        <v>642.0903</v>
      </c>
      <c r="L12" s="38">
        <v>0</v>
      </c>
      <c r="M12" s="38">
        <v>165.5706</v>
      </c>
      <c r="N12" s="38">
        <v>57.9293</v>
      </c>
      <c r="O12" s="38">
        <v>875.0672</v>
      </c>
      <c r="P12" s="38">
        <v>0</v>
      </c>
      <c r="Q12" s="38">
        <v>190.3646</v>
      </c>
      <c r="R12" s="38">
        <f t="shared" si="1"/>
        <v>0.0092</v>
      </c>
      <c r="S12" s="38">
        <f t="shared" si="2"/>
        <v>1065.441</v>
      </c>
      <c r="T12" s="61">
        <v>0</v>
      </c>
      <c r="U12" s="61">
        <v>53.342059006825</v>
      </c>
      <c r="V12" s="38">
        <v>10.29519325592</v>
      </c>
      <c r="W12" s="38">
        <v>5191.8257187504</v>
      </c>
      <c r="X12" s="38">
        <v>546.476106067764</v>
      </c>
      <c r="Y12" s="38">
        <v>0</v>
      </c>
      <c r="Z12" s="38">
        <v>80.78876423243</v>
      </c>
      <c r="AA12" s="38">
        <v>843.621379614627</v>
      </c>
      <c r="AB12" s="38">
        <v>0</v>
      </c>
      <c r="AC12" s="38">
        <v>0</v>
      </c>
      <c r="AD12" s="38">
        <f t="shared" si="5"/>
        <v>6673.00716192114</v>
      </c>
      <c r="AE12" s="39">
        <v>-52.2436261958183</v>
      </c>
      <c r="AF12" s="46"/>
      <c r="AG12" s="46"/>
      <c r="AH12" s="46"/>
      <c r="AI12" s="38">
        <v>0</v>
      </c>
      <c r="AJ12" s="38">
        <v>0.0056</v>
      </c>
      <c r="AK12" s="38">
        <v>0</v>
      </c>
      <c r="AL12" s="38">
        <v>0</v>
      </c>
      <c r="AM12" s="38">
        <v>0</v>
      </c>
      <c r="AN12" s="38">
        <v>0.0004</v>
      </c>
      <c r="AO12" s="38">
        <v>0</v>
      </c>
      <c r="AP12" s="38">
        <v>0.0032</v>
      </c>
    </row>
    <row r="13" ht="19.9" customHeight="1" spans="1:42">
      <c r="A13" s="10" t="s">
        <v>20</v>
      </c>
      <c r="B13" s="38">
        <f t="shared" si="3"/>
        <v>2.64179999999988</v>
      </c>
      <c r="C13" s="38">
        <f t="shared" si="4"/>
        <v>21.8312491557758</v>
      </c>
      <c r="D13" s="38">
        <v>0</v>
      </c>
      <c r="E13" s="38"/>
      <c r="F13" s="38">
        <v>29.8358</v>
      </c>
      <c r="G13" s="38">
        <v>862.184</v>
      </c>
      <c r="H13" s="38">
        <v>170.9344</v>
      </c>
      <c r="I13" s="38">
        <f t="shared" si="0"/>
        <v>1062.9542</v>
      </c>
      <c r="J13" s="38">
        <v>9.2055</v>
      </c>
      <c r="K13" s="38">
        <v>637.2668</v>
      </c>
      <c r="L13" s="38">
        <v>0</v>
      </c>
      <c r="M13" s="38">
        <v>170.7037</v>
      </c>
      <c r="N13" s="38">
        <v>56.3395</v>
      </c>
      <c r="O13" s="38">
        <v>873.5155</v>
      </c>
      <c r="P13" s="38">
        <v>0</v>
      </c>
      <c r="Q13" s="38">
        <v>186.7923</v>
      </c>
      <c r="R13" s="38">
        <f t="shared" si="1"/>
        <v>0.0046</v>
      </c>
      <c r="S13" s="38">
        <f t="shared" si="2"/>
        <v>1060.3124</v>
      </c>
      <c r="T13" s="61">
        <v>0</v>
      </c>
      <c r="U13" s="61">
        <v>53.249461605291</v>
      </c>
      <c r="V13" s="38">
        <v>10.256975341173</v>
      </c>
      <c r="W13" s="38">
        <v>5189.6475853032</v>
      </c>
      <c r="X13" s="38">
        <v>531.815362238322</v>
      </c>
      <c r="Y13" s="38">
        <v>0</v>
      </c>
      <c r="Z13" s="38">
        <v>80.878610971016</v>
      </c>
      <c r="AA13" s="38">
        <v>841.219178911647</v>
      </c>
      <c r="AB13" s="38">
        <v>0</v>
      </c>
      <c r="AC13" s="38">
        <v>0</v>
      </c>
      <c r="AD13" s="38">
        <f t="shared" si="5"/>
        <v>6653.81771276536</v>
      </c>
      <c r="AE13" s="39">
        <v>-19.1894491557759</v>
      </c>
      <c r="AF13" s="46"/>
      <c r="AG13" s="46"/>
      <c r="AH13" s="46"/>
      <c r="AI13" s="38">
        <v>0</v>
      </c>
      <c r="AJ13" s="38">
        <v>0.0032</v>
      </c>
      <c r="AK13" s="38">
        <v>0</v>
      </c>
      <c r="AL13" s="38">
        <v>0</v>
      </c>
      <c r="AM13" s="38">
        <v>0</v>
      </c>
      <c r="AN13" s="38">
        <v>0.0004</v>
      </c>
      <c r="AO13" s="38">
        <v>0</v>
      </c>
      <c r="AP13" s="38">
        <v>0.001</v>
      </c>
    </row>
    <row r="14" ht="19.9" customHeight="1" spans="1:42">
      <c r="A14" s="10" t="s">
        <v>21</v>
      </c>
      <c r="B14" s="39">
        <f t="shared" si="3"/>
        <v>-299.2053</v>
      </c>
      <c r="C14" s="39">
        <f t="shared" si="4"/>
        <v>-11.0327331297024</v>
      </c>
      <c r="D14" s="38">
        <v>0</v>
      </c>
      <c r="E14" s="38"/>
      <c r="F14" s="38">
        <v>29.863</v>
      </c>
      <c r="G14" s="38">
        <v>553.565</v>
      </c>
      <c r="H14" s="38">
        <v>178.954</v>
      </c>
      <c r="I14" s="38">
        <f t="shared" si="0"/>
        <v>762.382</v>
      </c>
      <c r="J14" s="38">
        <v>9.2052</v>
      </c>
      <c r="K14" s="38">
        <v>622.2062</v>
      </c>
      <c r="L14" s="38">
        <v>0</v>
      </c>
      <c r="M14" s="38">
        <v>178.9801</v>
      </c>
      <c r="N14" s="38">
        <v>57.3147</v>
      </c>
      <c r="O14" s="38">
        <v>867.7062</v>
      </c>
      <c r="P14" s="38">
        <v>0</v>
      </c>
      <c r="Q14" s="38">
        <v>193.8744</v>
      </c>
      <c r="R14" s="38">
        <f t="shared" si="1"/>
        <v>0.0067</v>
      </c>
      <c r="S14" s="38">
        <f t="shared" si="2"/>
        <v>1061.5873</v>
      </c>
      <c r="T14" s="61">
        <v>0</v>
      </c>
      <c r="U14" s="61">
        <v>52.999872133895</v>
      </c>
      <c r="V14" s="38">
        <v>9.772711909973</v>
      </c>
      <c r="W14" s="38">
        <v>4919.50671907629</v>
      </c>
      <c r="X14" s="38">
        <v>513.347360740339</v>
      </c>
      <c r="Y14" s="38">
        <v>0</v>
      </c>
      <c r="Z14" s="38">
        <v>80.901222237805</v>
      </c>
      <c r="AA14" s="38">
        <v>842.117131930656</v>
      </c>
      <c r="AB14" s="38">
        <v>0</v>
      </c>
      <c r="AC14" s="38">
        <v>0</v>
      </c>
      <c r="AD14" s="38">
        <f t="shared" si="5"/>
        <v>6365.64514589506</v>
      </c>
      <c r="AE14" s="39">
        <v>-288.172566870297</v>
      </c>
      <c r="AF14" s="46"/>
      <c r="AG14" s="46"/>
      <c r="AH14" s="46"/>
      <c r="AI14" s="38">
        <v>0</v>
      </c>
      <c r="AJ14" s="38">
        <v>0.0041</v>
      </c>
      <c r="AK14" s="38">
        <v>0</v>
      </c>
      <c r="AL14" s="38">
        <v>0</v>
      </c>
      <c r="AM14" s="38">
        <v>0</v>
      </c>
      <c r="AN14" s="38">
        <v>0.0004</v>
      </c>
      <c r="AO14" s="38">
        <v>0</v>
      </c>
      <c r="AP14" s="38">
        <v>0.0022</v>
      </c>
    </row>
    <row r="15" ht="19.9" customHeight="1" spans="1:42">
      <c r="A15" s="10" t="s">
        <v>22</v>
      </c>
      <c r="B15" s="38">
        <f t="shared" si="3"/>
        <v>199.4837</v>
      </c>
      <c r="C15" s="38">
        <f t="shared" si="4"/>
        <v>76.7059562275783</v>
      </c>
      <c r="D15" s="38">
        <v>0</v>
      </c>
      <c r="E15" s="38"/>
      <c r="F15" s="38">
        <v>299.2642</v>
      </c>
      <c r="G15" s="38">
        <v>797.618</v>
      </c>
      <c r="H15" s="38">
        <v>165.2699</v>
      </c>
      <c r="I15" s="38">
        <f t="shared" si="0"/>
        <v>1262.1521</v>
      </c>
      <c r="J15" s="38">
        <v>9.164</v>
      </c>
      <c r="K15" s="38">
        <v>652.7652</v>
      </c>
      <c r="L15" s="38">
        <v>0</v>
      </c>
      <c r="M15" s="38">
        <v>164.0479</v>
      </c>
      <c r="N15" s="38">
        <v>56.75</v>
      </c>
      <c r="O15" s="38">
        <v>882.7271</v>
      </c>
      <c r="P15" s="38">
        <v>0</v>
      </c>
      <c r="Q15" s="38">
        <v>179.9366</v>
      </c>
      <c r="R15" s="38">
        <f t="shared" si="1"/>
        <v>0.0047</v>
      </c>
      <c r="S15" s="38">
        <f t="shared" si="2"/>
        <v>1062.6684</v>
      </c>
      <c r="T15" s="61">
        <v>54.4521</v>
      </c>
      <c r="U15" s="61">
        <v>53.509945847182</v>
      </c>
      <c r="V15" s="38">
        <v>10.011678629547</v>
      </c>
      <c r="W15" s="38">
        <v>5017.21332481097</v>
      </c>
      <c r="X15" s="38">
        <v>533.778472577782</v>
      </c>
      <c r="Y15" s="38">
        <v>0</v>
      </c>
      <c r="Z15" s="38">
        <v>80.940739227824</v>
      </c>
      <c r="AA15" s="38">
        <v>846.478674421363</v>
      </c>
      <c r="AB15" s="38">
        <v>0</v>
      </c>
      <c r="AC15" s="38">
        <v>0</v>
      </c>
      <c r="AD15" s="38">
        <f t="shared" si="5"/>
        <v>6488.42288966748</v>
      </c>
      <c r="AE15" s="38">
        <v>122.777743772422</v>
      </c>
      <c r="AF15" s="46"/>
      <c r="AG15" s="46"/>
      <c r="AH15" s="46"/>
      <c r="AI15" s="38">
        <v>0</v>
      </c>
      <c r="AJ15" s="38">
        <v>0.0024</v>
      </c>
      <c r="AK15" s="38">
        <v>0</v>
      </c>
      <c r="AL15" s="38">
        <v>0</v>
      </c>
      <c r="AM15" s="38">
        <v>0</v>
      </c>
      <c r="AN15" s="38">
        <v>0.0004</v>
      </c>
      <c r="AO15" s="38">
        <v>0</v>
      </c>
      <c r="AP15" s="38">
        <v>0.0019</v>
      </c>
    </row>
    <row r="16" ht="19.9" customHeight="1" spans="1:42">
      <c r="A16" s="10" t="s">
        <v>23</v>
      </c>
      <c r="B16" s="38">
        <f t="shared" si="3"/>
        <v>268.5186</v>
      </c>
      <c r="C16" s="38">
        <f t="shared" si="4"/>
        <v>50.0580344554171</v>
      </c>
      <c r="D16" s="38">
        <v>0</v>
      </c>
      <c r="E16" s="38"/>
      <c r="F16" s="38">
        <v>827.5083</v>
      </c>
      <c r="G16" s="38">
        <v>306.225</v>
      </c>
      <c r="H16" s="38">
        <v>166.2949</v>
      </c>
      <c r="I16" s="38">
        <f t="shared" si="0"/>
        <v>1300.0282</v>
      </c>
      <c r="J16" s="38">
        <v>9.0391</v>
      </c>
      <c r="K16" s="38">
        <v>619.8122</v>
      </c>
      <c r="L16" s="38">
        <v>0</v>
      </c>
      <c r="M16" s="38">
        <v>165.357</v>
      </c>
      <c r="N16" s="38">
        <v>58.6352</v>
      </c>
      <c r="O16" s="38">
        <v>852.8435</v>
      </c>
      <c r="P16" s="38">
        <v>0</v>
      </c>
      <c r="Q16" s="38">
        <v>178.6622</v>
      </c>
      <c r="R16" s="38">
        <f t="shared" si="1"/>
        <v>0.0039</v>
      </c>
      <c r="S16" s="38">
        <f t="shared" si="2"/>
        <v>1031.5096</v>
      </c>
      <c r="T16" s="61">
        <v>0</v>
      </c>
      <c r="U16" s="61">
        <v>53.466969726547</v>
      </c>
      <c r="V16" s="38">
        <v>10.475904399374</v>
      </c>
      <c r="W16" s="38">
        <v>5217.94271461029</v>
      </c>
      <c r="X16" s="38">
        <v>550.500343841967</v>
      </c>
      <c r="Y16" s="38">
        <v>0</v>
      </c>
      <c r="Z16" s="38">
        <v>80.915859163369</v>
      </c>
      <c r="AA16" s="38">
        <v>847.04863319707</v>
      </c>
      <c r="AB16" s="38">
        <v>0</v>
      </c>
      <c r="AC16" s="38">
        <v>0</v>
      </c>
      <c r="AD16" s="38">
        <f t="shared" si="5"/>
        <v>6706.88345521207</v>
      </c>
      <c r="AE16" s="38">
        <v>218.460565544583</v>
      </c>
      <c r="AF16" s="46"/>
      <c r="AG16" s="46"/>
      <c r="AH16" s="46"/>
      <c r="AI16" s="38">
        <v>0</v>
      </c>
      <c r="AJ16" s="38">
        <v>0.0029</v>
      </c>
      <c r="AK16" s="38">
        <v>0</v>
      </c>
      <c r="AL16" s="38">
        <v>0</v>
      </c>
      <c r="AM16" s="38">
        <v>0</v>
      </c>
      <c r="AN16" s="38">
        <v>0.0004</v>
      </c>
      <c r="AO16" s="38">
        <v>0</v>
      </c>
      <c r="AP16" s="38">
        <v>0.0006</v>
      </c>
    </row>
    <row r="17" ht="19.9" customHeight="1" spans="1:42">
      <c r="A17" s="10" t="s">
        <v>24</v>
      </c>
      <c r="B17" s="39">
        <f t="shared" si="3"/>
        <v>-142.8697</v>
      </c>
      <c r="C17" s="39">
        <f t="shared" si="4"/>
        <v>-0.855915199157494</v>
      </c>
      <c r="D17" s="38">
        <v>0</v>
      </c>
      <c r="E17" s="38"/>
      <c r="F17" s="38">
        <v>29.8224</v>
      </c>
      <c r="G17" s="38">
        <v>652.843</v>
      </c>
      <c r="H17" s="38">
        <v>171.2327</v>
      </c>
      <c r="I17" s="38">
        <f t="shared" si="0"/>
        <v>853.8981</v>
      </c>
      <c r="J17" s="38">
        <v>9.0419</v>
      </c>
      <c r="K17" s="38">
        <v>571.6348</v>
      </c>
      <c r="L17" s="38">
        <v>4.3931</v>
      </c>
      <c r="M17" s="38">
        <v>171.2012</v>
      </c>
      <c r="N17" s="38">
        <v>57.939</v>
      </c>
      <c r="O17" s="38">
        <v>814.21</v>
      </c>
      <c r="P17" s="38">
        <v>0</v>
      </c>
      <c r="Q17" s="38">
        <v>182.5417</v>
      </c>
      <c r="R17" s="38">
        <f t="shared" si="1"/>
        <v>0.0161</v>
      </c>
      <c r="S17" s="38">
        <f t="shared" si="2"/>
        <v>996.7678</v>
      </c>
      <c r="T17" s="61">
        <v>0.0281</v>
      </c>
      <c r="U17" s="61">
        <v>53.611874158366</v>
      </c>
      <c r="V17" s="38">
        <v>10.238223986164</v>
      </c>
      <c r="W17" s="38">
        <v>5095.56724158337</v>
      </c>
      <c r="X17" s="38">
        <v>536.337806811565</v>
      </c>
      <c r="Y17" s="38">
        <v>0</v>
      </c>
      <c r="Z17" s="38">
        <v>81.001711849544</v>
      </c>
      <c r="AA17" s="38">
        <v>841.724686180586</v>
      </c>
      <c r="AB17" s="38">
        <v>0</v>
      </c>
      <c r="AC17" s="38">
        <v>0</v>
      </c>
      <c r="AD17" s="38">
        <f t="shared" si="5"/>
        <v>6564.86967041123</v>
      </c>
      <c r="AE17" s="39">
        <v>-142.013784800843</v>
      </c>
      <c r="AF17" s="46"/>
      <c r="AG17" s="46"/>
      <c r="AH17" s="46"/>
      <c r="AI17" s="38">
        <v>0</v>
      </c>
      <c r="AJ17" s="38">
        <v>0.0055</v>
      </c>
      <c r="AK17" s="38">
        <v>0</v>
      </c>
      <c r="AL17" s="38">
        <v>0</v>
      </c>
      <c r="AM17" s="38">
        <v>0</v>
      </c>
      <c r="AN17" s="38">
        <v>0.0015</v>
      </c>
      <c r="AO17" s="38">
        <v>0</v>
      </c>
      <c r="AP17" s="38">
        <v>0.0091</v>
      </c>
    </row>
    <row r="18" ht="19.9" customHeight="1" spans="1:42">
      <c r="A18" s="10" t="s">
        <v>25</v>
      </c>
      <c r="B18" s="39">
        <f t="shared" si="3"/>
        <v>-457.2687</v>
      </c>
      <c r="C18" s="39">
        <f t="shared" si="4"/>
        <v>-46.8006933530354</v>
      </c>
      <c r="D18" s="38">
        <v>0</v>
      </c>
      <c r="E18" s="38"/>
      <c r="F18" s="38">
        <v>29.7204</v>
      </c>
      <c r="G18" s="38">
        <v>345.132</v>
      </c>
      <c r="H18" s="38">
        <v>166.0396</v>
      </c>
      <c r="I18" s="38">
        <f t="shared" si="0"/>
        <v>540.892</v>
      </c>
      <c r="J18" s="38">
        <v>8.9465</v>
      </c>
      <c r="K18" s="38">
        <v>586.8067</v>
      </c>
      <c r="L18" s="38">
        <v>5.6004</v>
      </c>
      <c r="M18" s="38">
        <v>164.9774</v>
      </c>
      <c r="N18" s="38">
        <v>55.4285</v>
      </c>
      <c r="O18" s="38">
        <v>821.7595</v>
      </c>
      <c r="P18" s="38">
        <v>0</v>
      </c>
      <c r="Q18" s="38">
        <v>176.3921</v>
      </c>
      <c r="R18" s="38">
        <f t="shared" si="1"/>
        <v>0.0091</v>
      </c>
      <c r="S18" s="38">
        <f t="shared" si="2"/>
        <v>998.1607</v>
      </c>
      <c r="T18" s="61">
        <v>0</v>
      </c>
      <c r="U18" s="61">
        <v>53.333038656777</v>
      </c>
      <c r="V18" s="38">
        <v>9.389281061432</v>
      </c>
      <c r="W18" s="38">
        <v>4725.70754255532</v>
      </c>
      <c r="X18" s="38">
        <v>488.215862567103</v>
      </c>
      <c r="Y18" s="38">
        <v>0</v>
      </c>
      <c r="Z18" s="38">
        <v>80.850082900835</v>
      </c>
      <c r="AA18" s="38">
        <v>850.238894679572</v>
      </c>
      <c r="AB18" s="38">
        <v>0</v>
      </c>
      <c r="AC18" s="38">
        <v>0</v>
      </c>
      <c r="AD18" s="38">
        <f t="shared" si="5"/>
        <v>6154.40166376426</v>
      </c>
      <c r="AE18" s="39">
        <v>-410.468006646965</v>
      </c>
      <c r="AF18" s="46"/>
      <c r="AG18" s="46"/>
      <c r="AH18" s="46"/>
      <c r="AI18" s="38">
        <v>0</v>
      </c>
      <c r="AJ18" s="38">
        <v>0.0051</v>
      </c>
      <c r="AK18" s="38">
        <v>0</v>
      </c>
      <c r="AL18" s="38">
        <v>0</v>
      </c>
      <c r="AM18" s="38">
        <v>0</v>
      </c>
      <c r="AN18" s="38">
        <v>0.0004</v>
      </c>
      <c r="AO18" s="38">
        <v>0</v>
      </c>
      <c r="AP18" s="38">
        <v>0.0036</v>
      </c>
    </row>
    <row r="19" ht="19.9" customHeight="1" spans="1:42">
      <c r="A19" s="10" t="s">
        <v>26</v>
      </c>
      <c r="B19" s="38">
        <f t="shared" si="3"/>
        <v>186.9953</v>
      </c>
      <c r="C19" s="39">
        <f t="shared" si="4"/>
        <v>-5.96097213898645</v>
      </c>
      <c r="D19" s="38">
        <v>0</v>
      </c>
      <c r="E19" s="38"/>
      <c r="F19" s="38">
        <v>427.7384</v>
      </c>
      <c r="G19" s="38">
        <v>604.476</v>
      </c>
      <c r="H19" s="38">
        <v>170.5018</v>
      </c>
      <c r="I19" s="38">
        <f t="shared" si="0"/>
        <v>1202.7162</v>
      </c>
      <c r="J19" s="38">
        <v>8.8166</v>
      </c>
      <c r="K19" s="38">
        <v>592.4138</v>
      </c>
      <c r="L19" s="38">
        <v>6.6048</v>
      </c>
      <c r="M19" s="38">
        <v>171.282</v>
      </c>
      <c r="N19" s="38">
        <v>54.5028</v>
      </c>
      <c r="O19" s="38">
        <v>833.62</v>
      </c>
      <c r="P19" s="38">
        <v>0</v>
      </c>
      <c r="Q19" s="38">
        <v>182.0922</v>
      </c>
      <c r="R19" s="38">
        <f t="shared" si="1"/>
        <v>0.0087</v>
      </c>
      <c r="S19" s="38">
        <f t="shared" si="2"/>
        <v>1015.7209</v>
      </c>
      <c r="T19" s="61">
        <v>0</v>
      </c>
      <c r="U19" s="61">
        <v>53.621010721999</v>
      </c>
      <c r="V19" s="38">
        <v>9.747591787343</v>
      </c>
      <c r="W19" s="38">
        <v>4881.22428333559</v>
      </c>
      <c r="X19" s="38">
        <v>525.089324895089</v>
      </c>
      <c r="Y19" s="38">
        <v>0</v>
      </c>
      <c r="Z19" s="38">
        <v>81.123395943004</v>
      </c>
      <c r="AA19" s="38">
        <v>850.173339942224</v>
      </c>
      <c r="AB19" s="38">
        <v>0</v>
      </c>
      <c r="AC19" s="38">
        <v>0</v>
      </c>
      <c r="AD19" s="38">
        <f t="shared" si="5"/>
        <v>6347.35793590325</v>
      </c>
      <c r="AE19" s="38">
        <v>192.956272138987</v>
      </c>
      <c r="AF19" s="46"/>
      <c r="AG19" s="46"/>
      <c r="AH19" s="46"/>
      <c r="AI19" s="38">
        <v>0</v>
      </c>
      <c r="AJ19" s="38">
        <v>0.0035</v>
      </c>
      <c r="AK19" s="38">
        <v>0</v>
      </c>
      <c r="AL19" s="38">
        <v>0</v>
      </c>
      <c r="AM19" s="38">
        <v>0</v>
      </c>
      <c r="AN19" s="38">
        <v>0.0004</v>
      </c>
      <c r="AO19" s="38">
        <v>0</v>
      </c>
      <c r="AP19" s="38">
        <v>0.0048</v>
      </c>
    </row>
    <row r="20" ht="19.9" customHeight="1" spans="1:42">
      <c r="A20" s="10" t="s">
        <v>27</v>
      </c>
      <c r="B20" s="38">
        <f t="shared" si="3"/>
        <v>346.7006</v>
      </c>
      <c r="C20" s="39">
        <f t="shared" si="4"/>
        <v>-9.28999666976347</v>
      </c>
      <c r="D20" s="38">
        <v>185.1292</v>
      </c>
      <c r="E20" s="38"/>
      <c r="F20" s="38">
        <v>426.4616</v>
      </c>
      <c r="G20" s="38">
        <v>555.084</v>
      </c>
      <c r="H20" s="38">
        <v>185.1292</v>
      </c>
      <c r="I20" s="38">
        <f t="shared" si="0"/>
        <v>1351.804</v>
      </c>
      <c r="J20" s="38">
        <v>8.9722</v>
      </c>
      <c r="K20" s="38">
        <v>570.513</v>
      </c>
      <c r="L20" s="38">
        <v>7.0237</v>
      </c>
      <c r="M20" s="38">
        <v>177.2317</v>
      </c>
      <c r="N20" s="38">
        <v>56.229</v>
      </c>
      <c r="O20" s="38">
        <v>819.9696</v>
      </c>
      <c r="P20" s="38">
        <v>0</v>
      </c>
      <c r="Q20" s="38">
        <v>185.1292</v>
      </c>
      <c r="R20" s="38">
        <f t="shared" si="1"/>
        <v>0.0046</v>
      </c>
      <c r="S20" s="38">
        <f t="shared" si="2"/>
        <v>1005.1034</v>
      </c>
      <c r="T20" s="61">
        <v>0</v>
      </c>
      <c r="U20" s="61">
        <v>54.678263589178</v>
      </c>
      <c r="V20" s="38">
        <v>10.457798796247</v>
      </c>
      <c r="W20" s="38">
        <v>5196.51935684364</v>
      </c>
      <c r="X20" s="38">
        <v>557.435049535304</v>
      </c>
      <c r="Y20" s="38">
        <v>0</v>
      </c>
      <c r="Z20" s="38">
        <v>81.224572682832</v>
      </c>
      <c r="AA20" s="38">
        <v>857.711754714991</v>
      </c>
      <c r="AB20" s="38">
        <v>0</v>
      </c>
      <c r="AC20" s="38">
        <v>0</v>
      </c>
      <c r="AD20" s="38">
        <f t="shared" si="5"/>
        <v>6703.34853257301</v>
      </c>
      <c r="AE20" s="38">
        <v>355.990596669763</v>
      </c>
      <c r="AF20" s="46"/>
      <c r="AG20" s="46"/>
      <c r="AH20" s="46"/>
      <c r="AI20" s="38">
        <v>0</v>
      </c>
      <c r="AJ20" s="38">
        <v>0.0032</v>
      </c>
      <c r="AK20" s="38">
        <v>0</v>
      </c>
      <c r="AL20" s="38">
        <v>0</v>
      </c>
      <c r="AM20" s="38">
        <v>0</v>
      </c>
      <c r="AN20" s="38">
        <v>0.0004</v>
      </c>
      <c r="AO20" s="38">
        <v>0</v>
      </c>
      <c r="AP20" s="38">
        <v>0.001</v>
      </c>
    </row>
    <row r="21" ht="19.9" customHeight="1" spans="1:42">
      <c r="A21" s="10" t="s">
        <v>28</v>
      </c>
      <c r="B21" s="39">
        <f t="shared" si="3"/>
        <v>-160.0281</v>
      </c>
      <c r="C21" s="38">
        <f t="shared" si="4"/>
        <v>10.2147423869843</v>
      </c>
      <c r="D21" s="38">
        <v>160.3179</v>
      </c>
      <c r="E21" s="38"/>
      <c r="F21" s="38">
        <v>29.8369</v>
      </c>
      <c r="G21" s="38">
        <v>468.43</v>
      </c>
      <c r="H21" s="38">
        <v>160.3179</v>
      </c>
      <c r="I21" s="38">
        <f t="shared" si="0"/>
        <v>818.9027</v>
      </c>
      <c r="J21" s="38">
        <v>9.0068</v>
      </c>
      <c r="K21" s="38">
        <v>576.9517</v>
      </c>
      <c r="L21" s="38">
        <v>6.5706</v>
      </c>
      <c r="M21" s="38">
        <v>168.7882</v>
      </c>
      <c r="N21" s="38">
        <v>57.2873</v>
      </c>
      <c r="O21" s="38">
        <v>818.6046</v>
      </c>
      <c r="P21" s="38">
        <v>0</v>
      </c>
      <c r="Q21" s="38">
        <v>160.3179</v>
      </c>
      <c r="R21" s="38">
        <f t="shared" si="1"/>
        <v>0.0083</v>
      </c>
      <c r="S21" s="38">
        <f t="shared" si="2"/>
        <v>978.9308</v>
      </c>
      <c r="T21" s="61">
        <v>0</v>
      </c>
      <c r="U21" s="61">
        <v>54.402783598035</v>
      </c>
      <c r="V21" s="38">
        <v>10.130039006789</v>
      </c>
      <c r="W21" s="38">
        <v>5058.50396465334</v>
      </c>
      <c r="X21" s="38">
        <v>538.934619318836</v>
      </c>
      <c r="Y21" s="38">
        <v>0</v>
      </c>
      <c r="Z21" s="38">
        <v>81.07107562184</v>
      </c>
      <c r="AA21" s="38">
        <v>844.465991585219</v>
      </c>
      <c r="AB21" s="38">
        <v>0</v>
      </c>
      <c r="AC21" s="38">
        <v>0</v>
      </c>
      <c r="AD21" s="38">
        <f t="shared" si="5"/>
        <v>6533.10569018603</v>
      </c>
      <c r="AE21" s="39">
        <v>-170.242842386984</v>
      </c>
      <c r="AF21" s="46"/>
      <c r="AG21" s="46"/>
      <c r="AH21" s="46"/>
      <c r="AI21" s="38">
        <v>0</v>
      </c>
      <c r="AJ21" s="38">
        <v>0.0063</v>
      </c>
      <c r="AK21" s="38">
        <v>0</v>
      </c>
      <c r="AL21" s="38">
        <v>0</v>
      </c>
      <c r="AM21" s="38">
        <v>0</v>
      </c>
      <c r="AN21" s="38">
        <v>0.0004</v>
      </c>
      <c r="AO21" s="38">
        <v>0</v>
      </c>
      <c r="AP21" s="38">
        <v>0.0016</v>
      </c>
    </row>
    <row r="22" ht="19.9" customHeight="1" spans="1:42">
      <c r="A22" s="10" t="s">
        <v>29</v>
      </c>
      <c r="B22" s="39">
        <f t="shared" si="3"/>
        <v>-43.4857999999999</v>
      </c>
      <c r="C22" s="38">
        <f t="shared" si="4"/>
        <v>4.74602102123436</v>
      </c>
      <c r="D22" s="38">
        <v>165.9225</v>
      </c>
      <c r="E22" s="38"/>
      <c r="F22" s="38">
        <v>29.7877</v>
      </c>
      <c r="G22" s="38">
        <v>562.945</v>
      </c>
      <c r="H22" s="38">
        <v>165.9225</v>
      </c>
      <c r="I22" s="38">
        <f t="shared" si="0"/>
        <v>924.5777</v>
      </c>
      <c r="J22" s="38">
        <v>8.5471</v>
      </c>
      <c r="K22" s="38">
        <v>567.4974</v>
      </c>
      <c r="L22" s="38">
        <v>7.6069</v>
      </c>
      <c r="M22" s="38">
        <v>164.6063</v>
      </c>
      <c r="N22" s="38">
        <v>53.8792</v>
      </c>
      <c r="O22" s="38">
        <v>802.1369</v>
      </c>
      <c r="P22" s="38">
        <v>0</v>
      </c>
      <c r="Q22" s="38">
        <v>165.9225</v>
      </c>
      <c r="R22" s="38">
        <f t="shared" si="1"/>
        <v>0.0041</v>
      </c>
      <c r="S22" s="38">
        <f t="shared" si="2"/>
        <v>968.0635</v>
      </c>
      <c r="T22" s="61">
        <v>0</v>
      </c>
      <c r="U22" s="61">
        <v>54.487149757222</v>
      </c>
      <c r="V22" s="38">
        <v>10.08709250738</v>
      </c>
      <c r="W22" s="38">
        <v>5024.8438318389</v>
      </c>
      <c r="X22" s="38">
        <v>524.530856322201</v>
      </c>
      <c r="Y22" s="38">
        <v>0</v>
      </c>
      <c r="Z22" s="38">
        <v>81.061230789497</v>
      </c>
      <c r="AA22" s="38">
        <v>844.350857706812</v>
      </c>
      <c r="AB22" s="38">
        <v>0</v>
      </c>
      <c r="AC22" s="38">
        <v>0</v>
      </c>
      <c r="AD22" s="38">
        <f t="shared" si="5"/>
        <v>6484.87386916479</v>
      </c>
      <c r="AE22" s="39">
        <v>-48.2318210212343</v>
      </c>
      <c r="AF22" s="46"/>
      <c r="AG22" s="46"/>
      <c r="AH22" s="46"/>
      <c r="AI22" s="38">
        <v>0</v>
      </c>
      <c r="AJ22" s="38">
        <v>0.0025</v>
      </c>
      <c r="AK22" s="38">
        <v>0</v>
      </c>
      <c r="AL22" s="38">
        <v>0</v>
      </c>
      <c r="AM22" s="38">
        <v>0</v>
      </c>
      <c r="AN22" s="38">
        <v>0.0004</v>
      </c>
      <c r="AO22" s="38">
        <v>0</v>
      </c>
      <c r="AP22" s="38">
        <v>0.0012</v>
      </c>
    </row>
    <row r="23" ht="19.9" customHeight="1" spans="1:42">
      <c r="A23" s="10" t="s">
        <v>30</v>
      </c>
      <c r="B23" s="39">
        <f t="shared" si="3"/>
        <v>-19.3715000000001</v>
      </c>
      <c r="C23" s="38">
        <f t="shared" si="4"/>
        <v>0.38207327390694</v>
      </c>
      <c r="D23" s="38">
        <v>170.4381</v>
      </c>
      <c r="E23" s="38"/>
      <c r="F23" s="38">
        <v>29.8011</v>
      </c>
      <c r="G23" s="38">
        <v>506.991</v>
      </c>
      <c r="H23" s="38">
        <v>170.4381</v>
      </c>
      <c r="I23" s="38">
        <f t="shared" si="0"/>
        <v>877.6683</v>
      </c>
      <c r="J23" s="38">
        <v>9.0812</v>
      </c>
      <c r="K23" s="38">
        <v>489.4715</v>
      </c>
      <c r="L23" s="38">
        <v>7.9159</v>
      </c>
      <c r="M23" s="38">
        <v>165.4689</v>
      </c>
      <c r="N23" s="38">
        <v>54.6575</v>
      </c>
      <c r="O23" s="38">
        <v>726.595</v>
      </c>
      <c r="P23" s="38">
        <v>0</v>
      </c>
      <c r="Q23" s="38">
        <v>170.4381</v>
      </c>
      <c r="R23" s="38">
        <f t="shared" si="1"/>
        <v>0.0067</v>
      </c>
      <c r="S23" s="38">
        <f t="shared" si="2"/>
        <v>897.0398</v>
      </c>
      <c r="T23" s="61">
        <v>0</v>
      </c>
      <c r="U23" s="61">
        <v>53.878371921439</v>
      </c>
      <c r="V23" s="38">
        <v>10.054653410117</v>
      </c>
      <c r="W23" s="38">
        <v>5009.44281121819</v>
      </c>
      <c r="X23" s="38">
        <v>512.179139493189</v>
      </c>
      <c r="Y23" s="38">
        <v>0</v>
      </c>
      <c r="Z23" s="38">
        <v>81.090802739366</v>
      </c>
      <c r="AA23" s="38">
        <v>852.352889030021</v>
      </c>
      <c r="AB23" s="38">
        <v>0</v>
      </c>
      <c r="AC23" s="38">
        <v>0</v>
      </c>
      <c r="AD23" s="38">
        <f t="shared" si="5"/>
        <v>6465.12029589089</v>
      </c>
      <c r="AE23" s="39">
        <v>-19.753573273907</v>
      </c>
      <c r="AF23" s="46"/>
      <c r="AG23" s="46"/>
      <c r="AH23" s="46"/>
      <c r="AI23" s="38">
        <v>0</v>
      </c>
      <c r="AJ23" s="38">
        <v>0.0051</v>
      </c>
      <c r="AK23" s="38">
        <v>0</v>
      </c>
      <c r="AL23" s="38">
        <v>0</v>
      </c>
      <c r="AM23" s="38">
        <v>0</v>
      </c>
      <c r="AN23" s="38">
        <v>0.0004</v>
      </c>
      <c r="AO23" s="38">
        <v>0</v>
      </c>
      <c r="AP23" s="38">
        <v>0.0012</v>
      </c>
    </row>
    <row r="24" ht="19.9" customHeight="1" spans="1:42">
      <c r="A24" s="10" t="s">
        <v>31</v>
      </c>
      <c r="B24" s="39">
        <f t="shared" si="3"/>
        <v>-54.9629</v>
      </c>
      <c r="C24" s="39">
        <f t="shared" si="4"/>
        <v>-20.7406748065891</v>
      </c>
      <c r="D24" s="38">
        <v>148.8962</v>
      </c>
      <c r="E24" s="38"/>
      <c r="F24" s="38">
        <v>29.8052</v>
      </c>
      <c r="G24" s="38">
        <v>505.563</v>
      </c>
      <c r="H24" s="38">
        <v>148.8962</v>
      </c>
      <c r="I24" s="38">
        <f t="shared" si="0"/>
        <v>833.1606</v>
      </c>
      <c r="J24" s="38">
        <v>9.4154</v>
      </c>
      <c r="K24" s="38">
        <v>502.3699</v>
      </c>
      <c r="L24" s="38">
        <v>7.601</v>
      </c>
      <c r="M24" s="38">
        <v>164.6419</v>
      </c>
      <c r="N24" s="38">
        <v>55.1866</v>
      </c>
      <c r="O24" s="38">
        <v>739.2148</v>
      </c>
      <c r="P24" s="38">
        <v>0</v>
      </c>
      <c r="Q24" s="38">
        <v>148.8962</v>
      </c>
      <c r="R24" s="38">
        <f t="shared" si="1"/>
        <v>0.0125</v>
      </c>
      <c r="S24" s="38">
        <f t="shared" si="2"/>
        <v>888.1235</v>
      </c>
      <c r="T24" s="61">
        <v>0</v>
      </c>
      <c r="U24" s="61">
        <v>53.970242686134</v>
      </c>
      <c r="V24" s="38">
        <v>10.010449639242</v>
      </c>
      <c r="W24" s="38">
        <v>4988.16281833832</v>
      </c>
      <c r="X24" s="38">
        <v>523.0055470884</v>
      </c>
      <c r="Y24" s="38">
        <v>0</v>
      </c>
      <c r="Z24" s="38">
        <v>81.093249069851</v>
      </c>
      <c r="AA24" s="38">
        <v>828.626006561664</v>
      </c>
      <c r="AB24" s="38">
        <v>0</v>
      </c>
      <c r="AC24" s="38">
        <v>0</v>
      </c>
      <c r="AD24" s="38">
        <f t="shared" si="5"/>
        <v>6430.89807069747</v>
      </c>
      <c r="AE24" s="39">
        <v>-34.2222251934108</v>
      </c>
      <c r="AF24" s="46"/>
      <c r="AG24" s="46"/>
      <c r="AH24" s="46"/>
      <c r="AI24" s="38">
        <v>0</v>
      </c>
      <c r="AJ24" s="38">
        <v>0.0044</v>
      </c>
      <c r="AK24" s="38">
        <v>0</v>
      </c>
      <c r="AL24" s="38">
        <v>0</v>
      </c>
      <c r="AM24" s="38">
        <v>0</v>
      </c>
      <c r="AN24" s="38">
        <v>0.0018</v>
      </c>
      <c r="AO24" s="38">
        <v>0</v>
      </c>
      <c r="AP24" s="38">
        <v>0.0063</v>
      </c>
    </row>
    <row r="25" ht="19.9" customHeight="1" spans="1:42">
      <c r="A25" s="10" t="s">
        <v>32</v>
      </c>
      <c r="B25" s="39">
        <f t="shared" si="3"/>
        <v>-18.879</v>
      </c>
      <c r="C25" s="39">
        <f t="shared" si="4"/>
        <v>-18.2319067730015</v>
      </c>
      <c r="D25" s="38">
        <v>153.3047</v>
      </c>
      <c r="E25" s="38"/>
      <c r="F25" s="38">
        <v>29.8975</v>
      </c>
      <c r="G25" s="38">
        <v>506.224</v>
      </c>
      <c r="H25" s="38">
        <v>153.3047</v>
      </c>
      <c r="I25" s="38">
        <f t="shared" si="0"/>
        <v>842.7309</v>
      </c>
      <c r="J25" s="38">
        <v>9.6093</v>
      </c>
      <c r="K25" s="38">
        <v>471.7804</v>
      </c>
      <c r="L25" s="38">
        <v>6.8846</v>
      </c>
      <c r="M25" s="38">
        <v>165.3449</v>
      </c>
      <c r="N25" s="38">
        <v>54.6742</v>
      </c>
      <c r="O25" s="38">
        <v>708.2934</v>
      </c>
      <c r="P25" s="38">
        <v>0</v>
      </c>
      <c r="Q25" s="38">
        <v>153.3047</v>
      </c>
      <c r="R25" s="38">
        <f t="shared" si="1"/>
        <v>0.0118</v>
      </c>
      <c r="S25" s="38">
        <f t="shared" si="2"/>
        <v>861.6099</v>
      </c>
      <c r="T25" s="61">
        <v>0</v>
      </c>
      <c r="U25" s="61">
        <v>53.907682849033</v>
      </c>
      <c r="V25" s="38">
        <v>10.029531807872</v>
      </c>
      <c r="W25" s="38">
        <v>4989.85458519612</v>
      </c>
      <c r="X25" s="38">
        <v>528.771142060657</v>
      </c>
      <c r="Y25" s="38">
        <v>0</v>
      </c>
      <c r="Z25" s="38">
        <v>81.140847183897</v>
      </c>
      <c r="AA25" s="38">
        <v>820.454871221935</v>
      </c>
      <c r="AB25" s="38">
        <v>0</v>
      </c>
      <c r="AC25" s="38">
        <v>0</v>
      </c>
      <c r="AD25" s="38">
        <f t="shared" si="5"/>
        <v>6430.25097747048</v>
      </c>
      <c r="AE25" s="39">
        <v>-0.64709322699855</v>
      </c>
      <c r="AF25" s="46"/>
      <c r="AG25" s="46"/>
      <c r="AH25" s="46"/>
      <c r="AI25" s="38">
        <v>0</v>
      </c>
      <c r="AJ25" s="38">
        <v>0.0039</v>
      </c>
      <c r="AK25" s="38">
        <v>0</v>
      </c>
      <c r="AL25" s="38">
        <v>0</v>
      </c>
      <c r="AM25" s="38">
        <v>0</v>
      </c>
      <c r="AN25" s="38">
        <v>0.0004</v>
      </c>
      <c r="AO25" s="38">
        <v>0</v>
      </c>
      <c r="AP25" s="38">
        <v>0.0075</v>
      </c>
    </row>
    <row r="26" ht="19.9" customHeight="1" spans="1:42">
      <c r="A26" s="10" t="s">
        <v>33</v>
      </c>
      <c r="B26" s="39">
        <f t="shared" si="3"/>
        <v>-1.39579999999989</v>
      </c>
      <c r="C26" s="39">
        <f t="shared" si="4"/>
        <v>-3.84866242430473</v>
      </c>
      <c r="D26" s="38">
        <v>165.2455</v>
      </c>
      <c r="E26" s="38"/>
      <c r="F26" s="38">
        <v>29.8313</v>
      </c>
      <c r="G26" s="38">
        <v>484.319</v>
      </c>
      <c r="H26" s="38">
        <v>165.2455</v>
      </c>
      <c r="I26" s="38">
        <f t="shared" si="0"/>
        <v>844.6413</v>
      </c>
      <c r="J26" s="38">
        <v>9.6119</v>
      </c>
      <c r="K26" s="38">
        <v>442.2106</v>
      </c>
      <c r="L26" s="38">
        <v>14.9194</v>
      </c>
      <c r="M26" s="38">
        <v>161.6856</v>
      </c>
      <c r="N26" s="38">
        <v>52.3526</v>
      </c>
      <c r="O26" s="38">
        <v>680.7801</v>
      </c>
      <c r="P26" s="38">
        <v>0</v>
      </c>
      <c r="Q26" s="38">
        <v>165.2455</v>
      </c>
      <c r="R26" s="38">
        <f t="shared" si="1"/>
        <v>0.0115</v>
      </c>
      <c r="S26" s="38">
        <f t="shared" si="2"/>
        <v>846.0371</v>
      </c>
      <c r="T26" s="61">
        <v>0</v>
      </c>
      <c r="U26" s="61">
        <v>53.845222692873</v>
      </c>
      <c r="V26" s="38">
        <v>10.013607086724</v>
      </c>
      <c r="W26" s="38">
        <v>4998.83174549374</v>
      </c>
      <c r="X26" s="38">
        <v>520.018511998032</v>
      </c>
      <c r="Y26" s="38">
        <v>0</v>
      </c>
      <c r="Z26" s="38">
        <v>81.411914250014</v>
      </c>
      <c r="AA26" s="38">
        <v>822.428061066269</v>
      </c>
      <c r="AB26" s="38">
        <v>0</v>
      </c>
      <c r="AC26" s="38">
        <v>0</v>
      </c>
      <c r="AD26" s="38">
        <f t="shared" si="5"/>
        <v>6432.70383989478</v>
      </c>
      <c r="AE26" s="38">
        <v>2.45286242430484</v>
      </c>
      <c r="AF26" s="46"/>
      <c r="AG26" s="46"/>
      <c r="AH26" s="46"/>
      <c r="AI26" s="38">
        <v>0</v>
      </c>
      <c r="AJ26" s="38">
        <v>0.0049</v>
      </c>
      <c r="AK26" s="38">
        <v>0</v>
      </c>
      <c r="AL26" s="38">
        <v>0</v>
      </c>
      <c r="AM26" s="38">
        <v>0</v>
      </c>
      <c r="AN26" s="38">
        <v>0.0004</v>
      </c>
      <c r="AO26" s="38">
        <v>0</v>
      </c>
      <c r="AP26" s="38">
        <v>0.0062</v>
      </c>
    </row>
    <row r="27" ht="19.9" customHeight="1" spans="1:42">
      <c r="A27" s="10" t="s">
        <v>34</v>
      </c>
      <c r="B27" s="39">
        <f t="shared" si="3"/>
        <v>-31.0875</v>
      </c>
      <c r="C27" s="38">
        <f t="shared" si="4"/>
        <v>6.4212087748798</v>
      </c>
      <c r="D27" s="38">
        <v>167.4723</v>
      </c>
      <c r="E27" s="38"/>
      <c r="F27" s="38">
        <v>29.7855</v>
      </c>
      <c r="G27" s="38">
        <v>409.08</v>
      </c>
      <c r="H27" s="38">
        <v>167.4723</v>
      </c>
      <c r="I27" s="38">
        <f t="shared" si="0"/>
        <v>773.8101</v>
      </c>
      <c r="J27" s="38">
        <v>9.6112</v>
      </c>
      <c r="K27" s="38">
        <v>400.3711</v>
      </c>
      <c r="L27" s="38">
        <v>8.1256</v>
      </c>
      <c r="M27" s="38">
        <v>165.9789</v>
      </c>
      <c r="N27" s="38">
        <v>53.334</v>
      </c>
      <c r="O27" s="38">
        <v>637.4208</v>
      </c>
      <c r="P27" s="38">
        <v>0</v>
      </c>
      <c r="Q27" s="38">
        <v>167.4723</v>
      </c>
      <c r="R27" s="38">
        <f t="shared" si="1"/>
        <v>0.0045</v>
      </c>
      <c r="S27" s="38">
        <f t="shared" si="2"/>
        <v>804.8976</v>
      </c>
      <c r="T27" s="61">
        <v>0</v>
      </c>
      <c r="U27" s="61">
        <v>53.469573973734</v>
      </c>
      <c r="V27" s="38">
        <v>9.989986754745</v>
      </c>
      <c r="W27" s="38">
        <v>4963.91442149225</v>
      </c>
      <c r="X27" s="38">
        <v>518.101738081392</v>
      </c>
      <c r="Y27" s="38">
        <v>0</v>
      </c>
      <c r="Z27" s="38">
        <v>81.604348519886</v>
      </c>
      <c r="AA27" s="38">
        <v>821.584636271632</v>
      </c>
      <c r="AB27" s="38">
        <v>0</v>
      </c>
      <c r="AC27" s="38">
        <v>0</v>
      </c>
      <c r="AD27" s="38">
        <f t="shared" si="5"/>
        <v>6395.1951311199</v>
      </c>
      <c r="AE27" s="39">
        <v>-37.5087087748798</v>
      </c>
      <c r="AF27" s="46"/>
      <c r="AG27" s="46"/>
      <c r="AH27" s="46"/>
      <c r="AI27" s="38">
        <v>0</v>
      </c>
      <c r="AJ27" s="38">
        <v>0.0032</v>
      </c>
      <c r="AK27" s="38">
        <v>0</v>
      </c>
      <c r="AL27" s="38">
        <v>0</v>
      </c>
      <c r="AM27" s="38">
        <v>0</v>
      </c>
      <c r="AN27" s="38">
        <v>0.0004</v>
      </c>
      <c r="AO27" s="38">
        <v>0</v>
      </c>
      <c r="AP27" s="38">
        <v>0.0009</v>
      </c>
    </row>
    <row r="28" ht="19.9" customHeight="1" spans="1:42">
      <c r="A28" s="10" t="s">
        <v>35</v>
      </c>
      <c r="B28" s="39">
        <f t="shared" si="3"/>
        <v>-59.5788</v>
      </c>
      <c r="C28" s="39">
        <f t="shared" si="4"/>
        <v>-12.2612732282848</v>
      </c>
      <c r="D28" s="38">
        <v>166.9979</v>
      </c>
      <c r="E28" s="38"/>
      <c r="F28" s="38">
        <v>29.9225</v>
      </c>
      <c r="G28" s="38">
        <v>299.613</v>
      </c>
      <c r="H28" s="38">
        <v>166.9979</v>
      </c>
      <c r="I28" s="38">
        <f t="shared" si="0"/>
        <v>663.5313</v>
      </c>
      <c r="J28" s="38">
        <v>8.925</v>
      </c>
      <c r="K28" s="38">
        <v>331.6262</v>
      </c>
      <c r="L28" s="38">
        <v>6.4818</v>
      </c>
      <c r="M28" s="38">
        <v>158.2787</v>
      </c>
      <c r="N28" s="38">
        <v>50.7925</v>
      </c>
      <c r="O28" s="38">
        <v>556.1042</v>
      </c>
      <c r="P28" s="38">
        <v>0</v>
      </c>
      <c r="Q28" s="38">
        <v>166.9979</v>
      </c>
      <c r="R28" s="38">
        <f t="shared" si="1"/>
        <v>0.008</v>
      </c>
      <c r="S28" s="38">
        <f t="shared" si="2"/>
        <v>723.1101</v>
      </c>
      <c r="T28" s="61">
        <v>0</v>
      </c>
      <c r="U28" s="61">
        <v>54.266977321565</v>
      </c>
      <c r="V28" s="38">
        <v>9.913857156599</v>
      </c>
      <c r="W28" s="38">
        <v>4908.53648157238</v>
      </c>
      <c r="X28" s="38">
        <v>513.547917779028</v>
      </c>
      <c r="Y28" s="38">
        <v>0</v>
      </c>
      <c r="Z28" s="38">
        <v>81.523378099542</v>
      </c>
      <c r="AA28" s="38">
        <v>834.355969740641</v>
      </c>
      <c r="AB28" s="38">
        <v>0</v>
      </c>
      <c r="AC28" s="38">
        <v>0</v>
      </c>
      <c r="AD28" s="38">
        <f t="shared" si="5"/>
        <v>6347.87760434819</v>
      </c>
      <c r="AE28" s="39">
        <v>-47.3175267717152</v>
      </c>
      <c r="AF28" s="46"/>
      <c r="AG28" s="46"/>
      <c r="AH28" s="46"/>
      <c r="AI28" s="38">
        <v>0</v>
      </c>
      <c r="AJ28" s="38">
        <v>0.005</v>
      </c>
      <c r="AK28" s="38">
        <v>0</v>
      </c>
      <c r="AL28" s="38">
        <v>0</v>
      </c>
      <c r="AM28" s="38">
        <v>0</v>
      </c>
      <c r="AN28" s="38">
        <v>0.0004</v>
      </c>
      <c r="AO28" s="38">
        <v>0</v>
      </c>
      <c r="AP28" s="38">
        <v>0.0026</v>
      </c>
    </row>
    <row r="29" ht="19.9" customHeight="1" spans="1:42">
      <c r="A29" s="10" t="s">
        <v>36</v>
      </c>
      <c r="B29" s="39">
        <f t="shared" si="3"/>
        <v>-15.5765999999999</v>
      </c>
      <c r="C29" s="39">
        <f t="shared" si="4"/>
        <v>-13.973423954541</v>
      </c>
      <c r="D29" s="38">
        <v>166.6874</v>
      </c>
      <c r="E29" s="38"/>
      <c r="F29" s="38">
        <v>29.8539</v>
      </c>
      <c r="G29" s="38">
        <v>303.906</v>
      </c>
      <c r="H29" s="38">
        <v>166.6874</v>
      </c>
      <c r="I29" s="38">
        <f t="shared" si="0"/>
        <v>667.1347</v>
      </c>
      <c r="J29" s="38">
        <v>8.6726</v>
      </c>
      <c r="K29" s="38">
        <v>303.8727</v>
      </c>
      <c r="L29" s="38">
        <v>6.5891</v>
      </c>
      <c r="M29" s="38">
        <v>148.6511</v>
      </c>
      <c r="N29" s="38">
        <v>48.2342</v>
      </c>
      <c r="O29" s="38">
        <v>516.0197</v>
      </c>
      <c r="P29" s="38">
        <v>0</v>
      </c>
      <c r="Q29" s="38">
        <v>166.6874</v>
      </c>
      <c r="R29" s="38">
        <f t="shared" si="1"/>
        <v>0.0042</v>
      </c>
      <c r="S29" s="38">
        <f t="shared" si="2"/>
        <v>682.7113</v>
      </c>
      <c r="T29" s="61">
        <v>0</v>
      </c>
      <c r="U29" s="61">
        <v>55.042206409598</v>
      </c>
      <c r="V29" s="38">
        <v>9.886399879898</v>
      </c>
      <c r="W29" s="38">
        <v>4884.41913236106</v>
      </c>
      <c r="X29" s="38">
        <v>511.838457107484</v>
      </c>
      <c r="Y29" s="38">
        <v>0</v>
      </c>
      <c r="Z29" s="38">
        <v>81.721720720928</v>
      </c>
      <c r="AA29" s="38">
        <v>858.408718233357</v>
      </c>
      <c r="AB29" s="38">
        <v>0</v>
      </c>
      <c r="AC29" s="38">
        <v>0</v>
      </c>
      <c r="AD29" s="38">
        <f t="shared" si="5"/>
        <v>6346.27442830273</v>
      </c>
      <c r="AE29" s="39">
        <v>-1.60317604545889</v>
      </c>
      <c r="AF29" s="46"/>
      <c r="AG29" s="46"/>
      <c r="AH29" s="46"/>
      <c r="AI29" s="38">
        <v>0</v>
      </c>
      <c r="AJ29" s="38">
        <v>0.0024</v>
      </c>
      <c r="AK29" s="38">
        <v>0</v>
      </c>
      <c r="AL29" s="38">
        <v>0</v>
      </c>
      <c r="AM29" s="38">
        <v>0</v>
      </c>
      <c r="AN29" s="38">
        <v>0.0004</v>
      </c>
      <c r="AO29" s="38">
        <v>0</v>
      </c>
      <c r="AP29" s="38">
        <v>0.0014</v>
      </c>
    </row>
    <row r="30" ht="19.9" customHeight="1" spans="1:42">
      <c r="A30" s="10" t="s">
        <v>37</v>
      </c>
      <c r="B30" s="38">
        <f t="shared" si="3"/>
        <v>147.2325</v>
      </c>
      <c r="C30" s="38">
        <f t="shared" si="4"/>
        <v>33.7301077853278</v>
      </c>
      <c r="D30" s="38">
        <v>141.9577</v>
      </c>
      <c r="E30" s="38"/>
      <c r="F30" s="38">
        <v>29.8921</v>
      </c>
      <c r="G30" s="38">
        <v>458.019</v>
      </c>
      <c r="H30" s="38">
        <v>141.9577</v>
      </c>
      <c r="I30" s="38">
        <f t="shared" si="0"/>
        <v>771.8265</v>
      </c>
      <c r="J30" s="38">
        <v>8.7934</v>
      </c>
      <c r="K30" s="38">
        <v>275.0774</v>
      </c>
      <c r="L30" s="38">
        <v>8.6208</v>
      </c>
      <c r="M30" s="38">
        <v>146.9222</v>
      </c>
      <c r="N30" s="38">
        <v>43.2159</v>
      </c>
      <c r="O30" s="38">
        <v>482.6297</v>
      </c>
      <c r="P30" s="38">
        <v>0</v>
      </c>
      <c r="Q30" s="38">
        <v>141.9577</v>
      </c>
      <c r="R30" s="38">
        <f t="shared" si="1"/>
        <v>0.0066</v>
      </c>
      <c r="S30" s="38">
        <f t="shared" si="2"/>
        <v>624.594</v>
      </c>
      <c r="T30" s="61">
        <v>29.3686</v>
      </c>
      <c r="U30" s="61">
        <v>53.940848688954</v>
      </c>
      <c r="V30" s="38">
        <v>10.092252212635</v>
      </c>
      <c r="W30" s="38">
        <v>5010.6188519369</v>
      </c>
      <c r="X30" s="38">
        <v>511.536256587157</v>
      </c>
      <c r="Y30" s="38">
        <v>0</v>
      </c>
      <c r="Z30" s="38">
        <v>81.506292509848</v>
      </c>
      <c r="AA30" s="38">
        <v>846.023167270856</v>
      </c>
      <c r="AB30" s="38">
        <v>0</v>
      </c>
      <c r="AC30" s="38">
        <v>0</v>
      </c>
      <c r="AD30" s="38">
        <f t="shared" si="5"/>
        <v>6459.7768205174</v>
      </c>
      <c r="AE30" s="38">
        <v>113.502392214672</v>
      </c>
      <c r="AF30" s="46"/>
      <c r="AG30" s="46"/>
      <c r="AH30" s="46"/>
      <c r="AI30" s="38">
        <v>0</v>
      </c>
      <c r="AJ30" s="38">
        <v>0.0048</v>
      </c>
      <c r="AK30" s="38">
        <v>0</v>
      </c>
      <c r="AL30" s="38">
        <v>0</v>
      </c>
      <c r="AM30" s="38">
        <v>0</v>
      </c>
      <c r="AN30" s="38">
        <v>0.0004</v>
      </c>
      <c r="AO30" s="38">
        <v>0</v>
      </c>
      <c r="AP30" s="38">
        <v>0.0014</v>
      </c>
    </row>
    <row r="31" ht="19.9" customHeight="1" spans="1:42">
      <c r="A31" s="10" t="s">
        <v>38</v>
      </c>
      <c r="B31" s="39">
        <f t="shared" si="3"/>
        <v>-56.6769</v>
      </c>
      <c r="C31" s="39">
        <f t="shared" si="4"/>
        <v>-14.5572212745625</v>
      </c>
      <c r="D31" s="38">
        <v>147.4553</v>
      </c>
      <c r="E31" s="38"/>
      <c r="F31" s="38">
        <v>29.805</v>
      </c>
      <c r="G31" s="38">
        <v>213.373</v>
      </c>
      <c r="H31" s="38">
        <v>147.4553</v>
      </c>
      <c r="I31" s="38">
        <f t="shared" si="0"/>
        <v>538.0886</v>
      </c>
      <c r="J31" s="38">
        <v>7.9653</v>
      </c>
      <c r="K31" s="38">
        <v>243.3294</v>
      </c>
      <c r="L31" s="38">
        <v>5.7619</v>
      </c>
      <c r="M31" s="38">
        <v>148.8842</v>
      </c>
      <c r="N31" s="38">
        <v>41.3577</v>
      </c>
      <c r="O31" s="38">
        <v>447.2985</v>
      </c>
      <c r="P31" s="38">
        <v>0</v>
      </c>
      <c r="Q31" s="38">
        <v>147.4553</v>
      </c>
      <c r="R31" s="38">
        <f t="shared" si="1"/>
        <v>0.0117</v>
      </c>
      <c r="S31" s="38">
        <f t="shared" si="2"/>
        <v>594.7655</v>
      </c>
      <c r="T31" s="61">
        <v>0</v>
      </c>
      <c r="U31" s="61">
        <v>54.416263836345</v>
      </c>
      <c r="V31" s="38">
        <v>10.054838709589</v>
      </c>
      <c r="W31" s="38">
        <v>4974.46553450159</v>
      </c>
      <c r="X31" s="38">
        <v>509.30968377917</v>
      </c>
      <c r="Y31" s="38">
        <v>0</v>
      </c>
      <c r="Z31" s="38">
        <v>81.866611368375</v>
      </c>
      <c r="AA31" s="38">
        <v>841.960473433236</v>
      </c>
      <c r="AB31" s="38">
        <v>0</v>
      </c>
      <c r="AC31" s="38">
        <v>0</v>
      </c>
      <c r="AD31" s="38">
        <f t="shared" si="5"/>
        <v>6417.65714179196</v>
      </c>
      <c r="AE31" s="39">
        <v>-42.1196787254376</v>
      </c>
      <c r="AF31" s="46"/>
      <c r="AG31" s="46"/>
      <c r="AH31" s="46"/>
      <c r="AI31" s="38">
        <v>0</v>
      </c>
      <c r="AJ31" s="38">
        <v>0.0032</v>
      </c>
      <c r="AK31" s="38">
        <v>0</v>
      </c>
      <c r="AL31" s="38">
        <v>0</v>
      </c>
      <c r="AM31" s="38">
        <v>0</v>
      </c>
      <c r="AN31" s="38">
        <v>0.0004</v>
      </c>
      <c r="AO31" s="38">
        <v>0</v>
      </c>
      <c r="AP31" s="38">
        <v>0.0081</v>
      </c>
    </row>
    <row r="32" ht="19.9" customHeight="1" spans="1:42">
      <c r="A32" s="10" t="s">
        <v>39</v>
      </c>
      <c r="B32" s="38">
        <f t="shared" si="3"/>
        <v>191.0176</v>
      </c>
      <c r="C32" s="38">
        <f t="shared" si="4"/>
        <v>3.02492484121103</v>
      </c>
      <c r="D32" s="38">
        <v>137.5515</v>
      </c>
      <c r="E32" s="38"/>
      <c r="F32" s="38">
        <v>29.7964</v>
      </c>
      <c r="G32" s="38">
        <v>439.718</v>
      </c>
      <c r="H32" s="38">
        <v>137.5515</v>
      </c>
      <c r="I32" s="38">
        <f t="shared" si="0"/>
        <v>744.6174</v>
      </c>
      <c r="J32" s="38">
        <v>6.401</v>
      </c>
      <c r="K32" s="38">
        <v>233.464</v>
      </c>
      <c r="L32" s="38">
        <v>5.58</v>
      </c>
      <c r="M32" s="38">
        <v>133.4736</v>
      </c>
      <c r="N32" s="38">
        <v>36.756</v>
      </c>
      <c r="O32" s="38">
        <v>415.6746</v>
      </c>
      <c r="P32" s="38">
        <v>0</v>
      </c>
      <c r="Q32" s="38">
        <v>137.5515</v>
      </c>
      <c r="R32" s="38">
        <f t="shared" si="1"/>
        <v>0.3737</v>
      </c>
      <c r="S32" s="38">
        <f t="shared" si="2"/>
        <v>553.5998</v>
      </c>
      <c r="T32" s="61">
        <v>0</v>
      </c>
      <c r="U32" s="61">
        <v>54.034825594187</v>
      </c>
      <c r="V32" s="38">
        <v>10.42035541754</v>
      </c>
      <c r="W32" s="38">
        <v>5139.71075633032</v>
      </c>
      <c r="X32" s="38">
        <v>525.754367638802</v>
      </c>
      <c r="Y32" s="38">
        <v>0</v>
      </c>
      <c r="Z32" s="38">
        <v>81.78486674871</v>
      </c>
      <c r="AA32" s="38">
        <v>847.979470815381</v>
      </c>
      <c r="AB32" s="38">
        <v>0</v>
      </c>
      <c r="AC32" s="38">
        <v>0</v>
      </c>
      <c r="AD32" s="38">
        <f t="shared" si="5"/>
        <v>6605.64981695075</v>
      </c>
      <c r="AE32" s="38">
        <v>187.992675158789</v>
      </c>
      <c r="AF32" s="46"/>
      <c r="AG32" s="46"/>
      <c r="AH32" s="46"/>
      <c r="AI32" s="38">
        <v>0.2682</v>
      </c>
      <c r="AJ32" s="38">
        <v>0.0066</v>
      </c>
      <c r="AK32" s="38">
        <v>0</v>
      </c>
      <c r="AL32" s="38">
        <v>0</v>
      </c>
      <c r="AM32" s="38">
        <v>0.0501</v>
      </c>
      <c r="AN32" s="38">
        <v>0.0004</v>
      </c>
      <c r="AO32" s="38">
        <v>0.0442</v>
      </c>
      <c r="AP32" s="38">
        <v>0.0042</v>
      </c>
    </row>
    <row r="33" ht="19.9" customHeight="1" spans="1:42">
      <c r="A33" s="10" t="s">
        <v>40</v>
      </c>
      <c r="B33" s="38">
        <f t="shared" si="3"/>
        <v>204.2867</v>
      </c>
      <c r="C33" s="38">
        <f t="shared" si="4"/>
        <v>48.4137849521633</v>
      </c>
      <c r="D33" s="38">
        <v>124.2556</v>
      </c>
      <c r="E33" s="38"/>
      <c r="F33" s="38">
        <v>29.7495</v>
      </c>
      <c r="G33" s="38">
        <v>428.075</v>
      </c>
      <c r="H33" s="38">
        <v>124.2556</v>
      </c>
      <c r="I33" s="38">
        <f t="shared" si="0"/>
        <v>706.3357</v>
      </c>
      <c r="J33" s="38">
        <v>5.2583</v>
      </c>
      <c r="K33" s="38">
        <v>209.3982</v>
      </c>
      <c r="L33" s="38">
        <v>5.681</v>
      </c>
      <c r="M33" s="38">
        <v>127.0371</v>
      </c>
      <c r="N33" s="38">
        <v>30.4105</v>
      </c>
      <c r="O33" s="38">
        <v>377.7851</v>
      </c>
      <c r="P33" s="38">
        <v>0</v>
      </c>
      <c r="Q33" s="38">
        <v>124.2556</v>
      </c>
      <c r="R33" s="38">
        <f t="shared" si="1"/>
        <v>0.0083</v>
      </c>
      <c r="S33" s="38">
        <f t="shared" si="2"/>
        <v>502.049</v>
      </c>
      <c r="T33" s="61">
        <v>28.0205</v>
      </c>
      <c r="U33" s="61">
        <v>54.109190339786</v>
      </c>
      <c r="V33" s="38">
        <v>10.783191933269</v>
      </c>
      <c r="W33" s="38">
        <v>5281.97157798496</v>
      </c>
      <c r="X33" s="38">
        <v>543.087321837753</v>
      </c>
      <c r="Y33" s="38">
        <v>0</v>
      </c>
      <c r="Z33" s="38">
        <v>81.721690862023</v>
      </c>
      <c r="AA33" s="38">
        <v>843.958949380578</v>
      </c>
      <c r="AB33" s="38">
        <v>0</v>
      </c>
      <c r="AC33" s="38">
        <v>0</v>
      </c>
      <c r="AD33" s="38">
        <f t="shared" si="5"/>
        <v>6761.52273199859</v>
      </c>
      <c r="AE33" s="38">
        <v>155.872915047837</v>
      </c>
      <c r="AF33" s="46"/>
      <c r="AG33" s="46"/>
      <c r="AH33" s="46"/>
      <c r="AI33" s="38">
        <v>0</v>
      </c>
      <c r="AJ33" s="38">
        <v>0.0055</v>
      </c>
      <c r="AK33" s="38">
        <v>0</v>
      </c>
      <c r="AL33" s="38">
        <v>0</v>
      </c>
      <c r="AM33" s="38">
        <v>0</v>
      </c>
      <c r="AN33" s="38">
        <v>0.0004</v>
      </c>
      <c r="AO33" s="38">
        <v>0</v>
      </c>
      <c r="AP33" s="38">
        <v>0.0024</v>
      </c>
    </row>
    <row r="34" ht="19.9" customHeight="1" spans="1:42">
      <c r="A34" s="10" t="s">
        <v>41</v>
      </c>
      <c r="B34" s="38">
        <f t="shared" si="3"/>
        <v>83.6525</v>
      </c>
      <c r="C34" s="39">
        <f t="shared" si="4"/>
        <v>-50.5975642346685</v>
      </c>
      <c r="D34" s="38">
        <v>122.4424</v>
      </c>
      <c r="E34" s="38"/>
      <c r="F34" s="38">
        <v>29.7701</v>
      </c>
      <c r="G34" s="38">
        <v>278.406</v>
      </c>
      <c r="H34" s="38">
        <v>122.4424</v>
      </c>
      <c r="I34" s="38">
        <f t="shared" si="0"/>
        <v>553.0609</v>
      </c>
      <c r="J34" s="38">
        <v>5.0795</v>
      </c>
      <c r="K34" s="38">
        <v>195.9215</v>
      </c>
      <c r="L34" s="38">
        <v>4.8626</v>
      </c>
      <c r="M34" s="38">
        <v>121.2793</v>
      </c>
      <c r="N34" s="38">
        <v>19.8111</v>
      </c>
      <c r="O34" s="38">
        <v>346.954</v>
      </c>
      <c r="P34" s="38">
        <v>0</v>
      </c>
      <c r="Q34" s="38">
        <v>122.4424</v>
      </c>
      <c r="R34" s="38">
        <f t="shared" si="1"/>
        <v>0.012</v>
      </c>
      <c r="S34" s="38">
        <f t="shared" si="2"/>
        <v>469.4084</v>
      </c>
      <c r="T34" s="61">
        <v>0</v>
      </c>
      <c r="U34" s="61">
        <v>54.105248140363</v>
      </c>
      <c r="V34" s="38">
        <v>11.072680108047</v>
      </c>
      <c r="W34" s="38">
        <v>5403.10575748383</v>
      </c>
      <c r="X34" s="38">
        <v>551.07717866974</v>
      </c>
      <c r="Y34" s="38">
        <v>0</v>
      </c>
      <c r="Z34" s="38">
        <v>82.014925124548</v>
      </c>
      <c r="AA34" s="38">
        <v>848.502254847094</v>
      </c>
      <c r="AB34" s="38">
        <v>0</v>
      </c>
      <c r="AC34" s="38">
        <v>0</v>
      </c>
      <c r="AD34" s="38">
        <f t="shared" si="5"/>
        <v>6895.77279623326</v>
      </c>
      <c r="AE34" s="38">
        <v>134.250064234669</v>
      </c>
      <c r="AF34" s="46"/>
      <c r="AG34" s="46"/>
      <c r="AH34" s="46"/>
      <c r="AI34" s="38">
        <v>0</v>
      </c>
      <c r="AJ34" s="38">
        <v>0.0068</v>
      </c>
      <c r="AK34" s="38">
        <v>0</v>
      </c>
      <c r="AL34" s="38">
        <v>0</v>
      </c>
      <c r="AM34" s="38">
        <v>0</v>
      </c>
      <c r="AN34" s="38">
        <v>0.0017</v>
      </c>
      <c r="AO34" s="38">
        <v>0</v>
      </c>
      <c r="AP34" s="38">
        <v>0.0035</v>
      </c>
    </row>
    <row r="35" ht="19.9" customHeight="1" spans="1:42">
      <c r="A35" s="10" t="s">
        <v>42</v>
      </c>
      <c r="B35" s="39">
        <f t="shared" si="3"/>
        <v>-137.5013</v>
      </c>
      <c r="C35" s="39">
        <f t="shared" si="4"/>
        <v>-31.7119292516073</v>
      </c>
      <c r="D35" s="38">
        <v>124.7857</v>
      </c>
      <c r="E35" s="38"/>
      <c r="F35" s="38">
        <v>29.799</v>
      </c>
      <c r="G35" s="38">
        <v>41.116</v>
      </c>
      <c r="H35" s="38">
        <v>124.7857</v>
      </c>
      <c r="I35" s="38">
        <f t="shared" si="0"/>
        <v>320.4864</v>
      </c>
      <c r="J35" s="38">
        <v>2.5342</v>
      </c>
      <c r="K35" s="38">
        <v>186.5866</v>
      </c>
      <c r="L35" s="38">
        <v>3.7669</v>
      </c>
      <c r="M35" s="38">
        <v>126.9539</v>
      </c>
      <c r="N35" s="38">
        <v>13.3537</v>
      </c>
      <c r="O35" s="38">
        <v>333.1953</v>
      </c>
      <c r="P35" s="38">
        <v>0</v>
      </c>
      <c r="Q35" s="38">
        <v>124.7857</v>
      </c>
      <c r="R35" s="38">
        <f t="shared" si="1"/>
        <v>0.0067</v>
      </c>
      <c r="S35" s="38">
        <f t="shared" si="2"/>
        <v>457.9877</v>
      </c>
      <c r="T35" s="61">
        <v>0</v>
      </c>
      <c r="U35" s="61">
        <v>54.543396332555</v>
      </c>
      <c r="V35" s="38">
        <v>11.032247586903</v>
      </c>
      <c r="W35" s="38">
        <v>5287.42016657916</v>
      </c>
      <c r="X35" s="38">
        <v>557.482727932826</v>
      </c>
      <c r="Y35" s="38">
        <v>0</v>
      </c>
      <c r="Z35" s="38">
        <v>82.385055426724</v>
      </c>
      <c r="AA35" s="38">
        <v>851.663227959248</v>
      </c>
      <c r="AB35" s="38">
        <v>0</v>
      </c>
      <c r="AC35" s="38">
        <v>0</v>
      </c>
      <c r="AD35" s="38">
        <f t="shared" si="5"/>
        <v>6789.98342548486</v>
      </c>
      <c r="AE35" s="39">
        <v>-105.789370748393</v>
      </c>
      <c r="AF35" s="46"/>
      <c r="AG35" s="46"/>
      <c r="AH35" s="46"/>
      <c r="AI35" s="38">
        <v>0</v>
      </c>
      <c r="AJ35" s="38">
        <v>0.0033</v>
      </c>
      <c r="AK35" s="38">
        <v>0</v>
      </c>
      <c r="AL35" s="38">
        <v>0</v>
      </c>
      <c r="AM35" s="38">
        <v>0</v>
      </c>
      <c r="AN35" s="38">
        <v>0.0004</v>
      </c>
      <c r="AO35" s="38">
        <v>0</v>
      </c>
      <c r="AP35" s="38">
        <v>0.003</v>
      </c>
    </row>
    <row r="36" ht="19.9" customHeight="1" spans="1:42">
      <c r="A36" s="10" t="s">
        <v>43</v>
      </c>
      <c r="B36" s="38">
        <f t="shared" si="3"/>
        <v>38.1146</v>
      </c>
      <c r="C36" s="38">
        <f t="shared" si="4"/>
        <v>32.996924259981</v>
      </c>
      <c r="D36" s="38">
        <v>122.9303</v>
      </c>
      <c r="E36" s="38"/>
      <c r="F36" s="38">
        <v>29.8798</v>
      </c>
      <c r="G36" s="38">
        <v>205.616</v>
      </c>
      <c r="H36" s="38">
        <v>122.9303</v>
      </c>
      <c r="I36" s="38">
        <f t="shared" si="0"/>
        <v>481.3564</v>
      </c>
      <c r="J36" s="38">
        <v>1.2668</v>
      </c>
      <c r="K36" s="38">
        <v>183.1495</v>
      </c>
      <c r="L36" s="38">
        <v>3.032</v>
      </c>
      <c r="M36" s="38">
        <v>121.7113</v>
      </c>
      <c r="N36" s="38">
        <v>11.1461</v>
      </c>
      <c r="O36" s="38">
        <v>320.3057</v>
      </c>
      <c r="P36" s="38">
        <v>0</v>
      </c>
      <c r="Q36" s="38">
        <v>122.9303</v>
      </c>
      <c r="R36" s="38">
        <f t="shared" si="1"/>
        <v>0.0058</v>
      </c>
      <c r="S36" s="38">
        <f t="shared" si="2"/>
        <v>443.2418</v>
      </c>
      <c r="T36" s="61">
        <v>0</v>
      </c>
      <c r="U36" s="61">
        <v>55.288312607546</v>
      </c>
      <c r="V36" s="38">
        <v>10.996676732814</v>
      </c>
      <c r="W36" s="38">
        <v>5288.73464932414</v>
      </c>
      <c r="X36" s="38">
        <v>561.897185628819</v>
      </c>
      <c r="Y36" s="38">
        <v>0</v>
      </c>
      <c r="Z36" s="38">
        <v>81.86112842952</v>
      </c>
      <c r="AA36" s="38">
        <v>851.611461109592</v>
      </c>
      <c r="AB36" s="38">
        <v>0</v>
      </c>
      <c r="AC36" s="38">
        <v>0</v>
      </c>
      <c r="AD36" s="38">
        <f t="shared" si="5"/>
        <v>6795.10110122488</v>
      </c>
      <c r="AE36" s="38">
        <v>5.11767574001897</v>
      </c>
      <c r="AF36" s="46"/>
      <c r="AG36" s="46"/>
      <c r="AH36" s="46"/>
      <c r="AI36" s="38">
        <v>0</v>
      </c>
      <c r="AJ36" s="38">
        <v>0.0035</v>
      </c>
      <c r="AK36" s="38">
        <v>0</v>
      </c>
      <c r="AL36" s="38">
        <v>0</v>
      </c>
      <c r="AM36" s="38">
        <v>0</v>
      </c>
      <c r="AN36" s="38">
        <v>0.0004</v>
      </c>
      <c r="AO36" s="38">
        <v>0</v>
      </c>
      <c r="AP36" s="38">
        <v>0.0019</v>
      </c>
    </row>
    <row r="37" ht="19.9" customHeight="1" spans="1:42">
      <c r="A37" s="10" t="s">
        <v>44</v>
      </c>
      <c r="B37" s="39">
        <f t="shared" si="3"/>
        <v>-72.6448</v>
      </c>
      <c r="C37" s="38">
        <f t="shared" si="4"/>
        <v>13.2069315025155</v>
      </c>
      <c r="D37" s="38">
        <v>130.9436</v>
      </c>
      <c r="E37" s="38"/>
      <c r="F37" s="38">
        <v>29.8716</v>
      </c>
      <c r="G37" s="38">
        <v>111.317</v>
      </c>
      <c r="H37" s="38">
        <v>130.9436</v>
      </c>
      <c r="I37" s="38">
        <f t="shared" si="0"/>
        <v>403.0758</v>
      </c>
      <c r="J37" s="38">
        <v>0.8472</v>
      </c>
      <c r="K37" s="38">
        <v>199.1349</v>
      </c>
      <c r="L37" s="38">
        <v>2.9284</v>
      </c>
      <c r="M37" s="38">
        <v>130.6622</v>
      </c>
      <c r="N37" s="38">
        <v>11.2003</v>
      </c>
      <c r="O37" s="38">
        <v>344.773</v>
      </c>
      <c r="P37" s="38">
        <v>0</v>
      </c>
      <c r="Q37" s="38">
        <v>130.9436</v>
      </c>
      <c r="R37" s="38">
        <f t="shared" si="1"/>
        <v>0.004</v>
      </c>
      <c r="S37" s="38">
        <f t="shared" si="2"/>
        <v>475.7206</v>
      </c>
      <c r="T37" s="61">
        <v>0</v>
      </c>
      <c r="U37" s="61">
        <v>55.237904733185</v>
      </c>
      <c r="V37" s="38">
        <v>11.006663919407</v>
      </c>
      <c r="W37" s="38">
        <v>5204.60147579711</v>
      </c>
      <c r="X37" s="38">
        <v>558.204811351579</v>
      </c>
      <c r="Y37" s="38">
        <v>0</v>
      </c>
      <c r="Z37" s="38">
        <v>82.185373038949</v>
      </c>
      <c r="AA37" s="38">
        <v>853.251045615317</v>
      </c>
      <c r="AB37" s="38">
        <v>0</v>
      </c>
      <c r="AC37" s="38">
        <v>0</v>
      </c>
      <c r="AD37" s="38">
        <f t="shared" si="5"/>
        <v>6709.24936972237</v>
      </c>
      <c r="AE37" s="39">
        <v>-85.8517315025156</v>
      </c>
      <c r="AF37" s="46"/>
      <c r="AG37" s="46"/>
      <c r="AH37" s="46"/>
      <c r="AI37" s="38">
        <v>0</v>
      </c>
      <c r="AJ37" s="38">
        <v>0.0025</v>
      </c>
      <c r="AK37" s="38">
        <v>0</v>
      </c>
      <c r="AL37" s="38">
        <v>0</v>
      </c>
      <c r="AM37" s="38">
        <v>0</v>
      </c>
      <c r="AN37" s="38">
        <v>0.0004</v>
      </c>
      <c r="AO37" s="38">
        <v>0</v>
      </c>
      <c r="AP37" s="38">
        <v>0.0011</v>
      </c>
    </row>
    <row r="38" ht="19.9" customHeight="1" spans="1:42">
      <c r="A38" s="10" t="s">
        <v>45</v>
      </c>
      <c r="B38" s="39">
        <f t="shared" si="3"/>
        <v>-142.7418</v>
      </c>
      <c r="C38" s="38">
        <f t="shared" si="4"/>
        <v>11.7120379570204</v>
      </c>
      <c r="D38" s="38">
        <v>125.3251</v>
      </c>
      <c r="E38" s="38"/>
      <c r="F38" s="38">
        <v>29.8895</v>
      </c>
      <c r="G38" s="38">
        <v>0.401</v>
      </c>
      <c r="H38" s="38">
        <v>125.3251</v>
      </c>
      <c r="I38" s="38">
        <f t="shared" si="0"/>
        <v>280.9407</v>
      </c>
      <c r="J38" s="38">
        <v>0.5339</v>
      </c>
      <c r="K38" s="38">
        <v>164.324</v>
      </c>
      <c r="L38" s="38">
        <v>2.66</v>
      </c>
      <c r="M38" s="38">
        <v>124.2972</v>
      </c>
      <c r="N38" s="38">
        <v>6.5381</v>
      </c>
      <c r="O38" s="38">
        <v>298.3532</v>
      </c>
      <c r="P38" s="38">
        <v>0</v>
      </c>
      <c r="Q38" s="38">
        <v>125.3251</v>
      </c>
      <c r="R38" s="38">
        <f t="shared" si="1"/>
        <v>0.0042</v>
      </c>
      <c r="S38" s="38">
        <f t="shared" si="2"/>
        <v>423.6825</v>
      </c>
      <c r="T38" s="61">
        <v>0</v>
      </c>
      <c r="U38" s="61">
        <v>54.642733949614</v>
      </c>
      <c r="V38" s="38">
        <v>10.629887956303</v>
      </c>
      <c r="W38" s="38">
        <v>5074.06146284293</v>
      </c>
      <c r="X38" s="38">
        <v>538.205565646245</v>
      </c>
      <c r="Y38" s="38">
        <v>0</v>
      </c>
      <c r="Z38" s="38">
        <v>82.103968935383</v>
      </c>
      <c r="AA38" s="38">
        <v>849.794646384488</v>
      </c>
      <c r="AB38" s="38">
        <v>0</v>
      </c>
      <c r="AC38" s="38">
        <v>0</v>
      </c>
      <c r="AD38" s="38">
        <f t="shared" si="5"/>
        <v>6554.79553176535</v>
      </c>
      <c r="AE38" s="39">
        <v>-154.45383795702</v>
      </c>
      <c r="AF38" s="46"/>
      <c r="AG38" s="46"/>
      <c r="AH38" s="46"/>
      <c r="AI38" s="38">
        <v>0</v>
      </c>
      <c r="AJ38" s="38">
        <v>0.0025</v>
      </c>
      <c r="AK38" s="38">
        <v>0</v>
      </c>
      <c r="AL38" s="38">
        <v>0</v>
      </c>
      <c r="AM38" s="38">
        <v>0</v>
      </c>
      <c r="AN38" s="38">
        <v>0.0004</v>
      </c>
      <c r="AO38" s="38">
        <v>0</v>
      </c>
      <c r="AP38" s="38">
        <v>0.0013</v>
      </c>
    </row>
    <row r="39" ht="19.9" customHeight="1" spans="1:42">
      <c r="A39" s="10" t="s">
        <v>46</v>
      </c>
      <c r="B39" s="39">
        <f t="shared" si="3"/>
        <v>-145.2954</v>
      </c>
      <c r="C39" s="38">
        <f t="shared" si="4"/>
        <v>14.8930975244266</v>
      </c>
      <c r="D39" s="38">
        <v>120.9754</v>
      </c>
      <c r="E39" s="38"/>
      <c r="F39" s="38">
        <v>29.9188</v>
      </c>
      <c r="G39" s="38">
        <v>0.437</v>
      </c>
      <c r="H39" s="38">
        <v>120.9754</v>
      </c>
      <c r="I39" s="38">
        <f t="shared" si="0"/>
        <v>272.3066</v>
      </c>
      <c r="J39" s="38">
        <v>0.5626</v>
      </c>
      <c r="K39" s="38">
        <v>165.2506</v>
      </c>
      <c r="L39" s="38">
        <v>2.839</v>
      </c>
      <c r="M39" s="38">
        <v>120.3955</v>
      </c>
      <c r="N39" s="38">
        <v>7.5746</v>
      </c>
      <c r="O39" s="38">
        <v>296.6223</v>
      </c>
      <c r="P39" s="38">
        <v>0</v>
      </c>
      <c r="Q39" s="38">
        <v>120.9754</v>
      </c>
      <c r="R39" s="38">
        <f t="shared" si="1"/>
        <v>0.0043</v>
      </c>
      <c r="S39" s="38">
        <f t="shared" si="2"/>
        <v>417.602</v>
      </c>
      <c r="T39" s="61">
        <v>18.037</v>
      </c>
      <c r="U39" s="61">
        <v>54.193173368528</v>
      </c>
      <c r="V39" s="38">
        <v>10.220643763221</v>
      </c>
      <c r="W39" s="38">
        <v>4938.28733764708</v>
      </c>
      <c r="X39" s="38">
        <v>518.584481133865</v>
      </c>
      <c r="Y39" s="38">
        <v>0</v>
      </c>
      <c r="Z39" s="38">
        <v>82.477629314996</v>
      </c>
      <c r="AA39" s="38">
        <v>845.036942381762</v>
      </c>
      <c r="AB39" s="38">
        <v>0</v>
      </c>
      <c r="AC39" s="38">
        <v>0</v>
      </c>
      <c r="AD39" s="38">
        <f t="shared" si="5"/>
        <v>6394.60703424092</v>
      </c>
      <c r="AE39" s="39">
        <v>-160.188497524427</v>
      </c>
      <c r="AF39" s="46"/>
      <c r="AG39" s="46"/>
      <c r="AH39" s="46"/>
      <c r="AI39" s="38">
        <v>0</v>
      </c>
      <c r="AJ39" s="38">
        <v>0.0025</v>
      </c>
      <c r="AK39" s="38">
        <v>0</v>
      </c>
      <c r="AL39" s="38">
        <v>0</v>
      </c>
      <c r="AM39" s="38">
        <v>0</v>
      </c>
      <c r="AN39" s="38">
        <v>0.0004</v>
      </c>
      <c r="AO39" s="38">
        <v>0</v>
      </c>
      <c r="AP39" s="38">
        <v>0.0014</v>
      </c>
    </row>
    <row r="40" ht="22.75" customHeight="1" spans="32:33">
      <c r="AF40" s="47">
        <v>45656</v>
      </c>
      <c r="AG40" s="59">
        <v>6176.13783159247</v>
      </c>
    </row>
    <row r="41" ht="22.75" customHeight="1" spans="5:33">
      <c r="E41" s="13"/>
      <c r="AG41" s="13"/>
    </row>
  </sheetData>
  <mergeCells count="35">
    <mergeCell ref="A1:D1"/>
    <mergeCell ref="A2:C2"/>
    <mergeCell ref="AI2:AP2"/>
    <mergeCell ref="D3:I3"/>
    <mergeCell ref="J3:S3"/>
    <mergeCell ref="U3:AE3"/>
    <mergeCell ref="AI3:AJ3"/>
    <mergeCell ref="AK3:AL3"/>
    <mergeCell ref="AM3:AN3"/>
    <mergeCell ref="AO3:AP3"/>
    <mergeCell ref="G4:H4"/>
    <mergeCell ref="J4:O4"/>
    <mergeCell ref="P4:Q4"/>
    <mergeCell ref="V4:X4"/>
    <mergeCell ref="Y4:AC4"/>
    <mergeCell ref="A3:A5"/>
    <mergeCell ref="B3:B5"/>
    <mergeCell ref="C3:C5"/>
    <mergeCell ref="D4:D5"/>
    <mergeCell ref="E4:E5"/>
    <mergeCell ref="F4:F5"/>
    <mergeCell ref="I4:I5"/>
    <mergeCell ref="R4:R5"/>
    <mergeCell ref="S4:S5"/>
    <mergeCell ref="T4:T5"/>
    <mergeCell ref="AD4:AD5"/>
    <mergeCell ref="AE4:AE5"/>
    <mergeCell ref="AI4:AI5"/>
    <mergeCell ref="AJ4:AJ5"/>
    <mergeCell ref="AK4:AK5"/>
    <mergeCell ref="AL4:AL5"/>
    <mergeCell ref="AM4:AM5"/>
    <mergeCell ref="AN4:AN5"/>
    <mergeCell ref="AO4:AO5"/>
    <mergeCell ref="AP4:AP5"/>
  </mergeCells>
  <pageMargins left="0.75" right="0.75" top="0.270000010728836" bottom="0.270000010728836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3"/>
  <sheetViews>
    <sheetView workbookViewId="0">
      <selection activeCell="A1" sqref="A1:C1"/>
    </sheetView>
  </sheetViews>
  <sheetFormatPr defaultColWidth="10" defaultRowHeight="13.5"/>
  <cols>
    <col min="1" max="1" width="16.4083333333333" customWidth="1"/>
    <col min="2" max="6" width="11.2833333333333" customWidth="1"/>
    <col min="7" max="7" width="10.2583333333333" customWidth="1"/>
    <col min="8" max="20" width="11.2833333333333" customWidth="1"/>
    <col min="21" max="21" width="10.2583333333333" customWidth="1"/>
    <col min="22" max="42" width="11.2833333333333" customWidth="1"/>
    <col min="43" max="44" width="9" hidden="1"/>
    <col min="45" max="49" width="9.76666666666667" customWidth="1"/>
  </cols>
  <sheetData>
    <row r="1" ht="31.65" customHeight="1" spans="1:3">
      <c r="A1" s="7" t="s">
        <v>125</v>
      </c>
      <c r="B1" s="7"/>
      <c r="C1" s="7"/>
    </row>
    <row r="2" ht="17.05" customHeight="1" spans="1:47">
      <c r="A2" s="16" t="s">
        <v>46</v>
      </c>
      <c r="B2" s="16"/>
      <c r="C2" s="16"/>
      <c r="AU2" s="13"/>
    </row>
    <row r="3" ht="17.05" customHeight="1" spans="1:47">
      <c r="A3" s="32" t="s">
        <v>1</v>
      </c>
      <c r="B3" s="32" t="s">
        <v>2</v>
      </c>
      <c r="C3" s="33" t="s">
        <v>3</v>
      </c>
      <c r="D3" s="34" t="s">
        <v>48</v>
      </c>
      <c r="E3" s="34"/>
      <c r="F3" s="34"/>
      <c r="G3" s="34"/>
      <c r="H3" s="34"/>
      <c r="I3" s="34"/>
      <c r="J3" s="34"/>
      <c r="K3" s="34"/>
      <c r="L3" s="34"/>
      <c r="M3" s="40" t="s">
        <v>49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4" t="s">
        <v>50</v>
      </c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T3" s="35" t="s">
        <v>51</v>
      </c>
      <c r="AU3" s="35"/>
    </row>
    <row r="4" ht="22.75" customHeight="1" spans="1:47">
      <c r="A4" s="32"/>
      <c r="B4" s="32"/>
      <c r="C4" s="33"/>
      <c r="D4" s="8" t="s">
        <v>126</v>
      </c>
      <c r="E4" s="8"/>
      <c r="F4" s="8"/>
      <c r="G4" s="35" t="s">
        <v>127</v>
      </c>
      <c r="H4" s="8" t="s">
        <v>53</v>
      </c>
      <c r="I4" s="8"/>
      <c r="J4" s="8"/>
      <c r="K4" s="8"/>
      <c r="L4" s="42" t="s">
        <v>54</v>
      </c>
      <c r="M4" s="8" t="s">
        <v>55</v>
      </c>
      <c r="N4" s="8"/>
      <c r="O4" s="8"/>
      <c r="P4" s="8"/>
      <c r="Q4" s="8"/>
      <c r="R4" s="8"/>
      <c r="S4" s="8"/>
      <c r="T4" s="8"/>
      <c r="U4" s="35" t="s">
        <v>128</v>
      </c>
      <c r="V4" s="8" t="s">
        <v>53</v>
      </c>
      <c r="W4" s="8"/>
      <c r="X4" s="8"/>
      <c r="Y4" s="8"/>
      <c r="Z4" s="8"/>
      <c r="AA4" s="8"/>
      <c r="AB4" s="35" t="s">
        <v>56</v>
      </c>
      <c r="AC4" s="40" t="s">
        <v>57</v>
      </c>
      <c r="AD4" s="35" t="s">
        <v>129</v>
      </c>
      <c r="AE4" s="35" t="s">
        <v>130</v>
      </c>
      <c r="AF4" s="35" t="s">
        <v>131</v>
      </c>
      <c r="AG4" s="35" t="s">
        <v>132</v>
      </c>
      <c r="AH4" s="35" t="s">
        <v>133</v>
      </c>
      <c r="AI4" s="35" t="s">
        <v>134</v>
      </c>
      <c r="AJ4" s="35" t="s">
        <v>135</v>
      </c>
      <c r="AK4" s="35" t="s">
        <v>136</v>
      </c>
      <c r="AL4" s="35" t="s">
        <v>137</v>
      </c>
      <c r="AM4" s="44" t="s">
        <v>138</v>
      </c>
      <c r="AN4" s="35" t="s">
        <v>139</v>
      </c>
      <c r="AO4" s="44" t="s">
        <v>60</v>
      </c>
      <c r="AP4" s="44" t="s">
        <v>61</v>
      </c>
      <c r="AT4" s="35" t="s">
        <v>62</v>
      </c>
      <c r="AU4" s="35" t="s">
        <v>63</v>
      </c>
    </row>
    <row r="5" ht="42.95" customHeight="1" spans="1:49">
      <c r="A5" s="32"/>
      <c r="B5" s="32"/>
      <c r="C5" s="33"/>
      <c r="D5" s="35" t="s">
        <v>140</v>
      </c>
      <c r="E5" s="35" t="s">
        <v>141</v>
      </c>
      <c r="F5" s="35" t="s">
        <v>142</v>
      </c>
      <c r="G5" s="35"/>
      <c r="H5" s="35" t="s">
        <v>143</v>
      </c>
      <c r="I5" s="35" t="s">
        <v>144</v>
      </c>
      <c r="J5" s="35" t="s">
        <v>145</v>
      </c>
      <c r="K5" s="35" t="s">
        <v>146</v>
      </c>
      <c r="L5" s="42"/>
      <c r="M5" s="35" t="s">
        <v>130</v>
      </c>
      <c r="N5" s="35" t="s">
        <v>131</v>
      </c>
      <c r="O5" s="35" t="s">
        <v>136</v>
      </c>
      <c r="P5" s="35" t="s">
        <v>139</v>
      </c>
      <c r="Q5" s="35" t="s">
        <v>134</v>
      </c>
      <c r="R5" s="35" t="s">
        <v>133</v>
      </c>
      <c r="S5" s="35" t="s">
        <v>129</v>
      </c>
      <c r="T5" s="40" t="s">
        <v>89</v>
      </c>
      <c r="U5" s="35"/>
      <c r="V5" s="35" t="s">
        <v>147</v>
      </c>
      <c r="W5" s="35" t="s">
        <v>148</v>
      </c>
      <c r="X5" s="35" t="s">
        <v>149</v>
      </c>
      <c r="Y5" s="35" t="s">
        <v>144</v>
      </c>
      <c r="Z5" s="35" t="s">
        <v>145</v>
      </c>
      <c r="AA5" s="35" t="s">
        <v>146</v>
      </c>
      <c r="AB5" s="35"/>
      <c r="AC5" s="40"/>
      <c r="AD5" s="35"/>
      <c r="AE5" s="35"/>
      <c r="AF5" s="35"/>
      <c r="AG5" s="35"/>
      <c r="AH5" s="35"/>
      <c r="AI5" s="35"/>
      <c r="AJ5" s="35"/>
      <c r="AK5" s="35"/>
      <c r="AL5" s="35"/>
      <c r="AM5" s="44"/>
      <c r="AN5" s="35"/>
      <c r="AO5" s="44"/>
      <c r="AP5" s="44"/>
      <c r="AT5" s="35" t="s">
        <v>150</v>
      </c>
      <c r="AU5" s="35" t="s">
        <v>150</v>
      </c>
      <c r="AV5" s="50"/>
      <c r="AW5" s="50"/>
    </row>
    <row r="6" ht="21.6" customHeight="1" spans="1:47">
      <c r="A6" s="36" t="s">
        <v>101</v>
      </c>
      <c r="B6" s="37"/>
      <c r="C6" s="37"/>
      <c r="D6" s="37">
        <v>25218.7476</v>
      </c>
      <c r="E6" s="37">
        <v>41819.2276</v>
      </c>
      <c r="F6" s="37">
        <v>24182.0254</v>
      </c>
      <c r="G6" s="37">
        <v>67159.0447</v>
      </c>
      <c r="H6" s="37">
        <v>0</v>
      </c>
      <c r="I6" s="37">
        <v>8717.2293</v>
      </c>
      <c r="J6" s="37">
        <v>0</v>
      </c>
      <c r="K6" s="37">
        <v>4323.2018</v>
      </c>
      <c r="L6" s="37">
        <f t="shared" ref="L6:L39" si="0">SUM(D6:K6)</f>
        <v>171419.4764</v>
      </c>
      <c r="M6" s="37">
        <v>39990.0862</v>
      </c>
      <c r="N6" s="37">
        <v>0</v>
      </c>
      <c r="O6" s="37">
        <v>2091.4752</v>
      </c>
      <c r="P6" s="37">
        <v>0</v>
      </c>
      <c r="Q6" s="37">
        <v>0</v>
      </c>
      <c r="R6" s="37">
        <v>227.185</v>
      </c>
      <c r="S6" s="37">
        <v>1102.2252</v>
      </c>
      <c r="T6" s="37">
        <f t="shared" ref="T6:T39" si="1">SUM(M6,N6,O6,P6,Q6,R6,S6)</f>
        <v>43410.9716</v>
      </c>
      <c r="U6" s="37">
        <v>0</v>
      </c>
      <c r="V6" s="37">
        <v>6813.1096</v>
      </c>
      <c r="W6" s="37">
        <v>65297.5768</v>
      </c>
      <c r="X6" s="37">
        <v>0</v>
      </c>
      <c r="Y6" s="37">
        <v>0</v>
      </c>
      <c r="Z6" s="37">
        <v>0</v>
      </c>
      <c r="AA6" s="37">
        <v>56823.0488</v>
      </c>
      <c r="AB6" s="37">
        <f t="shared" ref="AB6:AB39" si="2">SUM(AT6,AU6)</f>
        <v>10.933</v>
      </c>
      <c r="AC6" s="37">
        <f t="shared" ref="AC6:AC39" si="3">SUM(T6:AB6)</f>
        <v>172355.6398</v>
      </c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T6" s="37">
        <v>2.7406</v>
      </c>
      <c r="AU6" s="37">
        <v>8.1924</v>
      </c>
    </row>
    <row r="7" ht="21.6" customHeight="1" spans="1:47">
      <c r="A7" s="36" t="s">
        <v>102</v>
      </c>
      <c r="B7" s="37"/>
      <c r="C7" s="37"/>
      <c r="D7" s="37">
        <v>25218.7476</v>
      </c>
      <c r="E7" s="37">
        <v>41819.2276</v>
      </c>
      <c r="F7" s="37">
        <v>24182.0254</v>
      </c>
      <c r="G7" s="37">
        <v>67159.0447</v>
      </c>
      <c r="H7" s="37">
        <v>0</v>
      </c>
      <c r="I7" s="37">
        <v>8717.2293</v>
      </c>
      <c r="J7" s="37">
        <v>0</v>
      </c>
      <c r="K7" s="37">
        <v>4323.2018</v>
      </c>
      <c r="L7" s="37">
        <f t="shared" si="0"/>
        <v>171419.4764</v>
      </c>
      <c r="M7" s="37">
        <v>39990.0862</v>
      </c>
      <c r="N7" s="37">
        <v>0</v>
      </c>
      <c r="O7" s="37">
        <v>2091.4752</v>
      </c>
      <c r="P7" s="37">
        <v>0</v>
      </c>
      <c r="Q7" s="37">
        <v>0</v>
      </c>
      <c r="R7" s="37">
        <v>227.185</v>
      </c>
      <c r="S7" s="37">
        <v>1102.2252</v>
      </c>
      <c r="T7" s="37">
        <f t="shared" si="1"/>
        <v>43410.9716</v>
      </c>
      <c r="U7" s="37">
        <v>0</v>
      </c>
      <c r="V7" s="37">
        <v>6813.1096</v>
      </c>
      <c r="W7" s="37">
        <v>65297.5768</v>
      </c>
      <c r="X7" s="37">
        <v>0</v>
      </c>
      <c r="Y7" s="37">
        <v>0</v>
      </c>
      <c r="Z7" s="37">
        <v>0</v>
      </c>
      <c r="AA7" s="37">
        <v>56823.0488</v>
      </c>
      <c r="AB7" s="37">
        <f t="shared" si="2"/>
        <v>10.933</v>
      </c>
      <c r="AC7" s="37">
        <f t="shared" si="3"/>
        <v>172355.6398</v>
      </c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T7" s="37">
        <v>2.7406</v>
      </c>
      <c r="AU7" s="37">
        <v>8.1924</v>
      </c>
    </row>
    <row r="8" ht="21.6" customHeight="1" spans="1:49">
      <c r="A8" s="10" t="s">
        <v>15</v>
      </c>
      <c r="B8" s="39">
        <f t="shared" ref="B8:B39" si="4">L8-AC8</f>
        <v>-298.1747</v>
      </c>
      <c r="C8" s="39">
        <f t="shared" ref="C8:C39" si="5">B8-AP8</f>
        <v>-170.754227499851</v>
      </c>
      <c r="D8" s="38">
        <v>899.7088</v>
      </c>
      <c r="E8" s="38">
        <v>1373.8475</v>
      </c>
      <c r="F8" s="38">
        <v>897.9633</v>
      </c>
      <c r="G8" s="38">
        <v>2977.8025</v>
      </c>
      <c r="H8" s="38">
        <v>0</v>
      </c>
      <c r="I8" s="38">
        <v>0</v>
      </c>
      <c r="J8" s="38">
        <v>0</v>
      </c>
      <c r="K8" s="38">
        <v>205.8458</v>
      </c>
      <c r="L8" s="38">
        <f t="shared" si="0"/>
        <v>6355.1679</v>
      </c>
      <c r="M8" s="38">
        <v>1478.6092</v>
      </c>
      <c r="N8" s="38">
        <v>0</v>
      </c>
      <c r="O8" s="38">
        <v>68.1078</v>
      </c>
      <c r="P8" s="38">
        <v>0</v>
      </c>
      <c r="Q8" s="38">
        <v>0</v>
      </c>
      <c r="R8" s="38">
        <v>4.5466</v>
      </c>
      <c r="S8" s="38">
        <v>36.0856</v>
      </c>
      <c r="T8" s="38">
        <f t="shared" si="1"/>
        <v>1587.3492</v>
      </c>
      <c r="U8" s="38">
        <v>0</v>
      </c>
      <c r="V8" s="38">
        <v>0</v>
      </c>
      <c r="W8" s="38">
        <v>2409.5512</v>
      </c>
      <c r="X8" s="38">
        <v>0</v>
      </c>
      <c r="Y8" s="38">
        <v>0</v>
      </c>
      <c r="Z8" s="38">
        <v>0</v>
      </c>
      <c r="AA8" s="38">
        <v>2656.176</v>
      </c>
      <c r="AB8" s="38">
        <f t="shared" si="2"/>
        <v>0.2662</v>
      </c>
      <c r="AC8" s="38">
        <f t="shared" si="3"/>
        <v>6653.3426</v>
      </c>
      <c r="AD8" s="38">
        <v>18.276224400331</v>
      </c>
      <c r="AE8" s="38">
        <v>10916.0444461404</v>
      </c>
      <c r="AF8" s="38">
        <v>12.595019094085</v>
      </c>
      <c r="AG8" s="38">
        <v>0</v>
      </c>
      <c r="AH8" s="38">
        <v>6.833198205556</v>
      </c>
      <c r="AI8" s="38">
        <v>0</v>
      </c>
      <c r="AJ8" s="38">
        <v>7.097917872063</v>
      </c>
      <c r="AK8" s="38">
        <v>10.433306841238</v>
      </c>
      <c r="AL8" s="38">
        <v>120.817332857982</v>
      </c>
      <c r="AM8" s="38">
        <f t="shared" ref="AM8:AM39" si="6">SUM(AD8,AE8,AF8,AG8,AH8,AI8,AJ8,AK8,AL8)</f>
        <v>11092.0974454116</v>
      </c>
      <c r="AN8" s="38">
        <v>0</v>
      </c>
      <c r="AO8" s="38">
        <f t="shared" ref="AO8:AO39" si="7">SUM(AM8:AN8)</f>
        <v>11092.0974454116</v>
      </c>
      <c r="AP8" s="39">
        <v>-127.420472500149</v>
      </c>
      <c r="AQ8" s="38"/>
      <c r="AR8" s="38"/>
      <c r="AS8" s="38"/>
      <c r="AT8" s="38">
        <v>0</v>
      </c>
      <c r="AU8" s="38">
        <v>0.2662</v>
      </c>
      <c r="AV8" s="50"/>
      <c r="AW8" s="50"/>
    </row>
    <row r="9" ht="21.6" customHeight="1" spans="1:49">
      <c r="A9" s="10" t="s">
        <v>16</v>
      </c>
      <c r="B9" s="38">
        <f t="shared" si="4"/>
        <v>61.0369999999994</v>
      </c>
      <c r="C9" s="38">
        <f t="shared" si="5"/>
        <v>157.605838043574</v>
      </c>
      <c r="D9" s="38">
        <v>896.7676</v>
      </c>
      <c r="E9" s="38">
        <v>1637.0825</v>
      </c>
      <c r="F9" s="38">
        <v>1047.4212</v>
      </c>
      <c r="G9" s="38">
        <v>2736.5384</v>
      </c>
      <c r="H9" s="38">
        <v>0</v>
      </c>
      <c r="I9" s="38">
        <v>0</v>
      </c>
      <c r="J9" s="38">
        <v>0</v>
      </c>
      <c r="K9" s="38">
        <v>243.4646</v>
      </c>
      <c r="L9" s="38">
        <f t="shared" si="0"/>
        <v>6561.2743</v>
      </c>
      <c r="M9" s="38">
        <v>1229.5599</v>
      </c>
      <c r="N9" s="38">
        <v>0</v>
      </c>
      <c r="O9" s="38">
        <v>66.861</v>
      </c>
      <c r="P9" s="38">
        <v>0</v>
      </c>
      <c r="Q9" s="38">
        <v>0</v>
      </c>
      <c r="R9" s="38">
        <v>7.0159</v>
      </c>
      <c r="S9" s="38">
        <v>35.3506</v>
      </c>
      <c r="T9" s="38">
        <f t="shared" si="1"/>
        <v>1338.7874</v>
      </c>
      <c r="U9" s="38">
        <v>0</v>
      </c>
      <c r="V9" s="38">
        <v>0</v>
      </c>
      <c r="W9" s="38">
        <v>2365.0127</v>
      </c>
      <c r="X9" s="38">
        <v>0</v>
      </c>
      <c r="Y9" s="38">
        <v>0</v>
      </c>
      <c r="Z9" s="38">
        <v>0</v>
      </c>
      <c r="AA9" s="38">
        <v>2796.1781</v>
      </c>
      <c r="AB9" s="38">
        <f t="shared" si="2"/>
        <v>0.2591</v>
      </c>
      <c r="AC9" s="38">
        <f t="shared" si="3"/>
        <v>6500.2373</v>
      </c>
      <c r="AD9" s="38">
        <v>18.410779932704</v>
      </c>
      <c r="AE9" s="38">
        <v>10825.5039505631</v>
      </c>
      <c r="AF9" s="38">
        <v>12.577782080271</v>
      </c>
      <c r="AG9" s="38">
        <v>0</v>
      </c>
      <c r="AH9" s="38">
        <v>7.048996041571</v>
      </c>
      <c r="AI9" s="38">
        <v>0</v>
      </c>
      <c r="AJ9" s="38">
        <v>6.456823741883</v>
      </c>
      <c r="AK9" s="38">
        <v>10.647232487347</v>
      </c>
      <c r="AL9" s="38">
        <v>114.88304252115</v>
      </c>
      <c r="AM9" s="38">
        <f t="shared" si="6"/>
        <v>10995.5286073681</v>
      </c>
      <c r="AN9" s="38">
        <v>0</v>
      </c>
      <c r="AO9" s="38">
        <f t="shared" si="7"/>
        <v>10995.5286073681</v>
      </c>
      <c r="AP9" s="39">
        <v>-96.5688380435749</v>
      </c>
      <c r="AQ9" s="38"/>
      <c r="AR9" s="38"/>
      <c r="AS9" s="38"/>
      <c r="AT9" s="38">
        <v>0</v>
      </c>
      <c r="AU9" s="38">
        <v>0.2591</v>
      </c>
      <c r="AV9" s="50"/>
      <c r="AW9" s="50"/>
    </row>
    <row r="10" ht="21.6" customHeight="1" spans="1:49">
      <c r="A10" s="10" t="s">
        <v>17</v>
      </c>
      <c r="B10" s="39">
        <f t="shared" si="4"/>
        <v>-26.2609000000002</v>
      </c>
      <c r="C10" s="38">
        <f t="shared" si="5"/>
        <v>202.251037865201</v>
      </c>
      <c r="D10" s="38">
        <v>899.3078</v>
      </c>
      <c r="E10" s="38">
        <v>1760.7187</v>
      </c>
      <c r="F10" s="38">
        <v>1206.9382</v>
      </c>
      <c r="G10" s="38">
        <v>2441.9756</v>
      </c>
      <c r="H10" s="38">
        <v>0</v>
      </c>
      <c r="I10" s="38">
        <v>27.4549</v>
      </c>
      <c r="J10" s="38">
        <v>0</v>
      </c>
      <c r="K10" s="38">
        <v>64.0455</v>
      </c>
      <c r="L10" s="38">
        <f t="shared" si="0"/>
        <v>6400.4407</v>
      </c>
      <c r="M10" s="38">
        <v>1135.5771</v>
      </c>
      <c r="N10" s="38">
        <v>0</v>
      </c>
      <c r="O10" s="38">
        <v>65.9837</v>
      </c>
      <c r="P10" s="38">
        <v>0</v>
      </c>
      <c r="Q10" s="38">
        <v>0</v>
      </c>
      <c r="R10" s="38">
        <v>7.4173</v>
      </c>
      <c r="S10" s="38">
        <v>36.011</v>
      </c>
      <c r="T10" s="38">
        <f t="shared" si="1"/>
        <v>1244.9891</v>
      </c>
      <c r="U10" s="38">
        <v>0</v>
      </c>
      <c r="V10" s="38">
        <v>0</v>
      </c>
      <c r="W10" s="38">
        <v>2547.5985</v>
      </c>
      <c r="X10" s="38">
        <v>0</v>
      </c>
      <c r="Y10" s="38">
        <v>0</v>
      </c>
      <c r="Z10" s="38">
        <v>0</v>
      </c>
      <c r="AA10" s="38">
        <v>2633.8458</v>
      </c>
      <c r="AB10" s="38">
        <f t="shared" si="2"/>
        <v>0.2682</v>
      </c>
      <c r="AC10" s="38">
        <f t="shared" si="3"/>
        <v>6426.7016</v>
      </c>
      <c r="AD10" s="38">
        <v>18.285370191229</v>
      </c>
      <c r="AE10" s="38">
        <v>10616.8303948146</v>
      </c>
      <c r="AF10" s="38">
        <v>12.619654546014</v>
      </c>
      <c r="AG10" s="38">
        <v>0</v>
      </c>
      <c r="AH10" s="38">
        <v>6.358543743893</v>
      </c>
      <c r="AI10" s="38">
        <v>0</v>
      </c>
      <c r="AJ10" s="38">
        <v>6.463924610492</v>
      </c>
      <c r="AK10" s="38">
        <v>10.507069550727</v>
      </c>
      <c r="AL10" s="38">
        <v>95.951712045869</v>
      </c>
      <c r="AM10" s="38">
        <f t="shared" si="6"/>
        <v>10767.0166695029</v>
      </c>
      <c r="AN10" s="38">
        <v>0</v>
      </c>
      <c r="AO10" s="38">
        <f t="shared" si="7"/>
        <v>10767.0166695029</v>
      </c>
      <c r="AP10" s="39">
        <v>-228.511937865202</v>
      </c>
      <c r="AQ10" s="38"/>
      <c r="AR10" s="38"/>
      <c r="AS10" s="38"/>
      <c r="AT10" s="38">
        <v>0</v>
      </c>
      <c r="AU10" s="38">
        <v>0.2682</v>
      </c>
      <c r="AV10" s="50"/>
      <c r="AW10" s="50"/>
    </row>
    <row r="11" ht="21.6" customHeight="1" spans="1:49">
      <c r="A11" s="10" t="s">
        <v>18</v>
      </c>
      <c r="B11" s="39">
        <f t="shared" si="4"/>
        <v>-451.6586</v>
      </c>
      <c r="C11" s="39">
        <f t="shared" si="5"/>
        <v>-36.1764394208049</v>
      </c>
      <c r="D11" s="38">
        <v>1098.0833</v>
      </c>
      <c r="E11" s="38">
        <v>1432.6046</v>
      </c>
      <c r="F11" s="38">
        <v>1252.216</v>
      </c>
      <c r="G11" s="38">
        <v>2433.7005</v>
      </c>
      <c r="H11" s="38">
        <v>0</v>
      </c>
      <c r="I11" s="38">
        <v>201.0616</v>
      </c>
      <c r="J11" s="38">
        <v>0</v>
      </c>
      <c r="K11" s="38">
        <v>0</v>
      </c>
      <c r="L11" s="38">
        <f t="shared" si="0"/>
        <v>6417.666</v>
      </c>
      <c r="M11" s="38">
        <v>1289.6279</v>
      </c>
      <c r="N11" s="38">
        <v>0</v>
      </c>
      <c r="O11" s="38">
        <v>65.5674</v>
      </c>
      <c r="P11" s="38">
        <v>0</v>
      </c>
      <c r="Q11" s="38">
        <v>0</v>
      </c>
      <c r="R11" s="38">
        <v>6.6517</v>
      </c>
      <c r="S11" s="38">
        <v>37.3896</v>
      </c>
      <c r="T11" s="38">
        <f t="shared" si="1"/>
        <v>1399.2366</v>
      </c>
      <c r="U11" s="38">
        <v>0</v>
      </c>
      <c r="V11" s="38">
        <v>0</v>
      </c>
      <c r="W11" s="38">
        <v>3025.6604</v>
      </c>
      <c r="X11" s="38">
        <v>0</v>
      </c>
      <c r="Y11" s="38">
        <v>0</v>
      </c>
      <c r="Z11" s="38">
        <v>0</v>
      </c>
      <c r="AA11" s="38">
        <v>2444.1624</v>
      </c>
      <c r="AB11" s="38">
        <f t="shared" si="2"/>
        <v>0.2652</v>
      </c>
      <c r="AC11" s="38">
        <f t="shared" si="3"/>
        <v>6869.3246</v>
      </c>
      <c r="AD11" s="38">
        <v>18.076504182522</v>
      </c>
      <c r="AE11" s="38">
        <v>10203.3859172404</v>
      </c>
      <c r="AF11" s="38">
        <v>12.589374603906</v>
      </c>
      <c r="AG11" s="38">
        <v>0</v>
      </c>
      <c r="AH11" s="38">
        <v>6.417897684964</v>
      </c>
      <c r="AI11" s="38">
        <v>0</v>
      </c>
      <c r="AJ11" s="38">
        <v>6.816542947953</v>
      </c>
      <c r="AK11" s="38">
        <v>10.479718934881</v>
      </c>
      <c r="AL11" s="38">
        <v>93.768553329027</v>
      </c>
      <c r="AM11" s="38">
        <f t="shared" si="6"/>
        <v>10351.5345089237</v>
      </c>
      <c r="AN11" s="38">
        <v>0</v>
      </c>
      <c r="AO11" s="38">
        <f t="shared" si="7"/>
        <v>10351.5345089237</v>
      </c>
      <c r="AP11" s="39">
        <v>-415.482160579195</v>
      </c>
      <c r="AQ11" s="38"/>
      <c r="AR11" s="38"/>
      <c r="AS11" s="38"/>
      <c r="AT11" s="38">
        <v>0</v>
      </c>
      <c r="AU11" s="38">
        <v>0.2652</v>
      </c>
      <c r="AV11" s="50"/>
      <c r="AW11" s="50"/>
    </row>
    <row r="12" ht="21.6" customHeight="1" spans="1:49">
      <c r="A12" s="10" t="s">
        <v>19</v>
      </c>
      <c r="B12" s="39">
        <f t="shared" si="4"/>
        <v>-229.322400000001</v>
      </c>
      <c r="C12" s="39">
        <f t="shared" si="5"/>
        <v>-3.8588672633141</v>
      </c>
      <c r="D12" s="38">
        <v>1099.4979</v>
      </c>
      <c r="E12" s="38">
        <v>1390.279</v>
      </c>
      <c r="F12" s="38">
        <v>1049.9161</v>
      </c>
      <c r="G12" s="38">
        <v>2791.4121</v>
      </c>
      <c r="H12" s="38">
        <v>0</v>
      </c>
      <c r="I12" s="38">
        <v>298.9526</v>
      </c>
      <c r="J12" s="38">
        <v>0</v>
      </c>
      <c r="K12" s="38">
        <v>0</v>
      </c>
      <c r="L12" s="38">
        <f t="shared" si="0"/>
        <v>6630.0577</v>
      </c>
      <c r="M12" s="38">
        <v>1210.974</v>
      </c>
      <c r="N12" s="38">
        <v>0</v>
      </c>
      <c r="O12" s="38">
        <v>68.3409</v>
      </c>
      <c r="P12" s="38">
        <v>0</v>
      </c>
      <c r="Q12" s="38">
        <v>0</v>
      </c>
      <c r="R12" s="38">
        <v>7.2172</v>
      </c>
      <c r="S12" s="38">
        <v>36.6582</v>
      </c>
      <c r="T12" s="38">
        <f t="shared" si="1"/>
        <v>1323.1903</v>
      </c>
      <c r="U12" s="38">
        <v>0</v>
      </c>
      <c r="V12" s="38">
        <v>0</v>
      </c>
      <c r="W12" s="38">
        <v>3090.0296</v>
      </c>
      <c r="X12" s="38">
        <v>0</v>
      </c>
      <c r="Y12" s="38">
        <v>0</v>
      </c>
      <c r="Z12" s="38">
        <v>0</v>
      </c>
      <c r="AA12" s="38">
        <v>2445.8975</v>
      </c>
      <c r="AB12" s="38">
        <f t="shared" si="2"/>
        <v>0.2627</v>
      </c>
      <c r="AC12" s="38">
        <f t="shared" si="3"/>
        <v>6859.3801</v>
      </c>
      <c r="AD12" s="38">
        <v>17.925242130576</v>
      </c>
      <c r="AE12" s="38">
        <v>9977.65094175649</v>
      </c>
      <c r="AF12" s="38">
        <v>12.634215085584</v>
      </c>
      <c r="AG12" s="38">
        <v>0</v>
      </c>
      <c r="AH12" s="38">
        <v>6.434851291534</v>
      </c>
      <c r="AI12" s="38">
        <v>0</v>
      </c>
      <c r="AJ12" s="38">
        <v>6.751931159528</v>
      </c>
      <c r="AK12" s="38">
        <v>10.633452074496</v>
      </c>
      <c r="AL12" s="38">
        <v>94.040342688786</v>
      </c>
      <c r="AM12" s="38">
        <f t="shared" si="6"/>
        <v>10126.070976187</v>
      </c>
      <c r="AN12" s="38">
        <v>0</v>
      </c>
      <c r="AO12" s="38">
        <f t="shared" si="7"/>
        <v>10126.070976187</v>
      </c>
      <c r="AP12" s="39">
        <v>-225.463532736687</v>
      </c>
      <c r="AQ12" s="38"/>
      <c r="AR12" s="38"/>
      <c r="AS12" s="38"/>
      <c r="AT12" s="38">
        <v>0</v>
      </c>
      <c r="AU12" s="38">
        <v>0.2627</v>
      </c>
      <c r="AV12" s="50"/>
      <c r="AW12" s="50"/>
    </row>
    <row r="13" ht="21.6" customHeight="1" spans="1:49">
      <c r="A13" s="10" t="s">
        <v>20</v>
      </c>
      <c r="B13" s="38">
        <f t="shared" si="4"/>
        <v>16.3651000000009</v>
      </c>
      <c r="C13" s="39">
        <f t="shared" si="5"/>
        <v>-108.73571470121</v>
      </c>
      <c r="D13" s="38">
        <v>1063.8444</v>
      </c>
      <c r="E13" s="38">
        <v>1398.4911</v>
      </c>
      <c r="F13" s="38">
        <v>1092.8414</v>
      </c>
      <c r="G13" s="38">
        <v>2768.3767</v>
      </c>
      <c r="H13" s="38">
        <v>0</v>
      </c>
      <c r="I13" s="38">
        <v>300.367</v>
      </c>
      <c r="J13" s="38">
        <v>0</v>
      </c>
      <c r="K13" s="38">
        <v>0</v>
      </c>
      <c r="L13" s="38">
        <f t="shared" si="0"/>
        <v>6623.9206</v>
      </c>
      <c r="M13" s="38">
        <v>1189.8648</v>
      </c>
      <c r="N13" s="38">
        <v>0</v>
      </c>
      <c r="O13" s="38">
        <v>68.3493</v>
      </c>
      <c r="P13" s="38">
        <v>0</v>
      </c>
      <c r="Q13" s="38">
        <v>0</v>
      </c>
      <c r="R13" s="38">
        <v>7.4006</v>
      </c>
      <c r="S13" s="38">
        <v>36.568</v>
      </c>
      <c r="T13" s="38">
        <f t="shared" si="1"/>
        <v>1302.1827</v>
      </c>
      <c r="U13" s="38">
        <v>0</v>
      </c>
      <c r="V13" s="38">
        <v>0</v>
      </c>
      <c r="W13" s="38">
        <v>2989.2047</v>
      </c>
      <c r="X13" s="38">
        <v>0</v>
      </c>
      <c r="Y13" s="38">
        <v>0</v>
      </c>
      <c r="Z13" s="38">
        <v>0</v>
      </c>
      <c r="AA13" s="38">
        <v>2315.8957</v>
      </c>
      <c r="AB13" s="38">
        <f t="shared" si="2"/>
        <v>0.2724</v>
      </c>
      <c r="AC13" s="38">
        <f t="shared" si="3"/>
        <v>6607.5555</v>
      </c>
      <c r="AD13" s="38">
        <v>18.292678082266</v>
      </c>
      <c r="AE13" s="38">
        <v>10103.9382072665</v>
      </c>
      <c r="AF13" s="38">
        <v>12.610291007702</v>
      </c>
      <c r="AG13" s="38">
        <v>0</v>
      </c>
      <c r="AH13" s="38">
        <v>6.778078266683</v>
      </c>
      <c r="AI13" s="38">
        <v>0</v>
      </c>
      <c r="AJ13" s="38">
        <v>6.384101434545</v>
      </c>
      <c r="AK13" s="38">
        <v>10.610712991864</v>
      </c>
      <c r="AL13" s="38">
        <v>92.557721838594</v>
      </c>
      <c r="AM13" s="38">
        <f t="shared" si="6"/>
        <v>10251.1717908882</v>
      </c>
      <c r="AN13" s="38">
        <v>0</v>
      </c>
      <c r="AO13" s="38">
        <f t="shared" si="7"/>
        <v>10251.1717908882</v>
      </c>
      <c r="AP13" s="38">
        <v>125.100814701211</v>
      </c>
      <c r="AQ13" s="38"/>
      <c r="AR13" s="38"/>
      <c r="AS13" s="38"/>
      <c r="AT13" s="38">
        <v>0</v>
      </c>
      <c r="AU13" s="38">
        <v>0.2724</v>
      </c>
      <c r="AV13" s="50"/>
      <c r="AW13" s="50"/>
    </row>
    <row r="14" ht="21.6" customHeight="1" spans="1:49">
      <c r="A14" s="10" t="s">
        <v>21</v>
      </c>
      <c r="B14" s="39">
        <f t="shared" si="4"/>
        <v>-82.7404999999999</v>
      </c>
      <c r="C14" s="38">
        <f t="shared" si="5"/>
        <v>117.547152362296</v>
      </c>
      <c r="D14" s="38">
        <v>998.329</v>
      </c>
      <c r="E14" s="38">
        <v>1366.2901</v>
      </c>
      <c r="F14" s="38">
        <v>1021.7043</v>
      </c>
      <c r="G14" s="38">
        <v>2786.0554</v>
      </c>
      <c r="H14" s="38">
        <v>0</v>
      </c>
      <c r="I14" s="38">
        <v>288.753</v>
      </c>
      <c r="J14" s="38">
        <v>0</v>
      </c>
      <c r="K14" s="38">
        <v>0</v>
      </c>
      <c r="L14" s="38">
        <f t="shared" si="0"/>
        <v>6461.1318</v>
      </c>
      <c r="M14" s="38">
        <v>1135.1467</v>
      </c>
      <c r="N14" s="38">
        <v>0</v>
      </c>
      <c r="O14" s="38">
        <v>68.671</v>
      </c>
      <c r="P14" s="38">
        <v>0</v>
      </c>
      <c r="Q14" s="38">
        <v>0</v>
      </c>
      <c r="R14" s="38">
        <v>7.7949</v>
      </c>
      <c r="S14" s="38">
        <v>36.9562</v>
      </c>
      <c r="T14" s="38">
        <f t="shared" si="1"/>
        <v>1248.5688</v>
      </c>
      <c r="U14" s="38">
        <v>0</v>
      </c>
      <c r="V14" s="38">
        <v>0</v>
      </c>
      <c r="W14" s="38">
        <v>3022.9873</v>
      </c>
      <c r="X14" s="38">
        <v>0</v>
      </c>
      <c r="Y14" s="38">
        <v>0</v>
      </c>
      <c r="Z14" s="38">
        <v>0</v>
      </c>
      <c r="AA14" s="38">
        <v>2272.0475</v>
      </c>
      <c r="AB14" s="38">
        <f t="shared" si="2"/>
        <v>0.2687</v>
      </c>
      <c r="AC14" s="38">
        <f t="shared" si="3"/>
        <v>6543.8723</v>
      </c>
      <c r="AD14" s="38">
        <v>17.826175397262</v>
      </c>
      <c r="AE14" s="38">
        <v>9902.18356529065</v>
      </c>
      <c r="AF14" s="38">
        <v>12.593057149865</v>
      </c>
      <c r="AG14" s="38">
        <v>0</v>
      </c>
      <c r="AH14" s="38">
        <v>6.853855323345</v>
      </c>
      <c r="AI14" s="38">
        <v>0</v>
      </c>
      <c r="AJ14" s="38">
        <v>6.055553779398</v>
      </c>
      <c r="AK14" s="38">
        <v>10.42779697764</v>
      </c>
      <c r="AL14" s="38">
        <v>94.944134607748</v>
      </c>
      <c r="AM14" s="38">
        <f t="shared" si="6"/>
        <v>10050.8841385259</v>
      </c>
      <c r="AN14" s="38">
        <v>0</v>
      </c>
      <c r="AO14" s="38">
        <f t="shared" si="7"/>
        <v>10050.8841385259</v>
      </c>
      <c r="AP14" s="39">
        <v>-200.287652362296</v>
      </c>
      <c r="AQ14" s="38"/>
      <c r="AR14" s="38"/>
      <c r="AS14" s="38"/>
      <c r="AT14" s="38">
        <v>0</v>
      </c>
      <c r="AU14" s="38">
        <v>0.2687</v>
      </c>
      <c r="AV14" s="50"/>
      <c r="AW14" s="50"/>
    </row>
    <row r="15" ht="21.6" customHeight="1" spans="1:49">
      <c r="A15" s="10" t="s">
        <v>22</v>
      </c>
      <c r="B15" s="39">
        <f t="shared" si="4"/>
        <v>-176.340299999999</v>
      </c>
      <c r="C15" s="39">
        <f t="shared" si="5"/>
        <v>-51.3279720015771</v>
      </c>
      <c r="D15" s="38">
        <v>802.2735</v>
      </c>
      <c r="E15" s="38">
        <v>1164.7331</v>
      </c>
      <c r="F15" s="38">
        <v>809.5192</v>
      </c>
      <c r="G15" s="38">
        <v>2669.1478</v>
      </c>
      <c r="H15" s="38">
        <v>0</v>
      </c>
      <c r="I15" s="38">
        <v>289.862</v>
      </c>
      <c r="J15" s="38">
        <v>0</v>
      </c>
      <c r="K15" s="38">
        <v>0</v>
      </c>
      <c r="L15" s="38">
        <f t="shared" si="0"/>
        <v>5735.5356</v>
      </c>
      <c r="M15" s="38">
        <v>1351.4674</v>
      </c>
      <c r="N15" s="38">
        <v>0</v>
      </c>
      <c r="O15" s="38">
        <v>68.2848</v>
      </c>
      <c r="P15" s="38">
        <v>0</v>
      </c>
      <c r="Q15" s="38">
        <v>0</v>
      </c>
      <c r="R15" s="38">
        <v>7.5958</v>
      </c>
      <c r="S15" s="38">
        <v>36.9192</v>
      </c>
      <c r="T15" s="38">
        <f t="shared" si="1"/>
        <v>1464.2672</v>
      </c>
      <c r="U15" s="38">
        <v>0</v>
      </c>
      <c r="V15" s="38">
        <v>0</v>
      </c>
      <c r="W15" s="38">
        <v>2528.2362</v>
      </c>
      <c r="X15" s="38">
        <v>0</v>
      </c>
      <c r="Y15" s="38">
        <v>0</v>
      </c>
      <c r="Z15" s="38">
        <v>0</v>
      </c>
      <c r="AA15" s="38">
        <v>1918.0749</v>
      </c>
      <c r="AB15" s="38">
        <f t="shared" si="2"/>
        <v>1.2976</v>
      </c>
      <c r="AC15" s="38">
        <f t="shared" si="3"/>
        <v>5911.8759</v>
      </c>
      <c r="AD15" s="38">
        <v>18.128621200042</v>
      </c>
      <c r="AE15" s="38">
        <v>9777.54155126288</v>
      </c>
      <c r="AF15" s="38">
        <v>12.603931802832</v>
      </c>
      <c r="AG15" s="38">
        <v>0</v>
      </c>
      <c r="AH15" s="38">
        <v>6.293872685527</v>
      </c>
      <c r="AI15" s="38">
        <v>0</v>
      </c>
      <c r="AJ15" s="38">
        <v>5.860155680481</v>
      </c>
      <c r="AK15" s="38">
        <v>10.410561736137</v>
      </c>
      <c r="AL15" s="38">
        <v>95.033116159583</v>
      </c>
      <c r="AM15" s="38">
        <f t="shared" si="6"/>
        <v>9925.87181052748</v>
      </c>
      <c r="AN15" s="38">
        <v>0</v>
      </c>
      <c r="AO15" s="38">
        <f t="shared" si="7"/>
        <v>9925.87181052748</v>
      </c>
      <c r="AP15" s="39">
        <v>-125.012327998422</v>
      </c>
      <c r="AQ15" s="38"/>
      <c r="AR15" s="38"/>
      <c r="AS15" s="38"/>
      <c r="AT15" s="38">
        <v>1.0245</v>
      </c>
      <c r="AU15" s="38">
        <v>0.2731</v>
      </c>
      <c r="AV15" s="50"/>
      <c r="AW15" s="50"/>
    </row>
    <row r="16" ht="21.6" customHeight="1" spans="1:49">
      <c r="A16" s="10" t="s">
        <v>23</v>
      </c>
      <c r="B16" s="39">
        <f t="shared" si="4"/>
        <v>-36.4704000000002</v>
      </c>
      <c r="C16" s="38">
        <f t="shared" si="5"/>
        <v>5.75836340614296</v>
      </c>
      <c r="D16" s="38">
        <v>799.9099</v>
      </c>
      <c r="E16" s="38">
        <v>1020.807</v>
      </c>
      <c r="F16" s="38">
        <v>701.2025</v>
      </c>
      <c r="G16" s="38">
        <v>2613.656</v>
      </c>
      <c r="H16" s="38">
        <v>0</v>
      </c>
      <c r="I16" s="38">
        <v>200.3907</v>
      </c>
      <c r="J16" s="38">
        <v>0</v>
      </c>
      <c r="K16" s="38">
        <v>0</v>
      </c>
      <c r="L16" s="38">
        <f t="shared" si="0"/>
        <v>5335.9661</v>
      </c>
      <c r="M16" s="38">
        <v>1481.4524</v>
      </c>
      <c r="N16" s="38">
        <v>0</v>
      </c>
      <c r="O16" s="38">
        <v>69.0578</v>
      </c>
      <c r="P16" s="38">
        <v>0</v>
      </c>
      <c r="Q16" s="38">
        <v>0</v>
      </c>
      <c r="R16" s="38">
        <v>7.7013</v>
      </c>
      <c r="S16" s="38">
        <v>35.96</v>
      </c>
      <c r="T16" s="38">
        <f t="shared" si="1"/>
        <v>1594.1715</v>
      </c>
      <c r="U16" s="38">
        <v>0</v>
      </c>
      <c r="V16" s="38">
        <v>0</v>
      </c>
      <c r="W16" s="38">
        <v>2374.5291</v>
      </c>
      <c r="X16" s="38">
        <v>0</v>
      </c>
      <c r="Y16" s="38">
        <v>0</v>
      </c>
      <c r="Z16" s="38">
        <v>0</v>
      </c>
      <c r="AA16" s="38">
        <v>1403.4669</v>
      </c>
      <c r="AB16" s="38">
        <f t="shared" si="2"/>
        <v>0.269</v>
      </c>
      <c r="AC16" s="38">
        <f t="shared" si="3"/>
        <v>5372.4365</v>
      </c>
      <c r="AD16" s="38">
        <v>18.335730438719</v>
      </c>
      <c r="AE16" s="38">
        <v>9732.95828407524</v>
      </c>
      <c r="AF16" s="38">
        <v>12.580217560408</v>
      </c>
      <c r="AG16" s="38">
        <v>0</v>
      </c>
      <c r="AH16" s="38">
        <v>6.856036452798</v>
      </c>
      <c r="AI16" s="38">
        <v>0</v>
      </c>
      <c r="AJ16" s="38">
        <v>6.272416171149</v>
      </c>
      <c r="AK16" s="38">
        <v>10.467515375837</v>
      </c>
      <c r="AL16" s="38">
        <v>96.17284704719</v>
      </c>
      <c r="AM16" s="38">
        <f t="shared" si="6"/>
        <v>9883.64304712134</v>
      </c>
      <c r="AN16" s="38">
        <v>0</v>
      </c>
      <c r="AO16" s="38">
        <f t="shared" si="7"/>
        <v>9883.64304712134</v>
      </c>
      <c r="AP16" s="39">
        <v>-42.2287634061431</v>
      </c>
      <c r="AQ16" s="38"/>
      <c r="AR16" s="38"/>
      <c r="AS16" s="38"/>
      <c r="AT16" s="38">
        <v>0</v>
      </c>
      <c r="AU16" s="38">
        <v>0.269</v>
      </c>
      <c r="AV16" s="50"/>
      <c r="AW16" s="50"/>
    </row>
    <row r="17" ht="21.6" customHeight="1" spans="1:49">
      <c r="A17" s="10" t="s">
        <v>24</v>
      </c>
      <c r="B17" s="39">
        <f t="shared" si="4"/>
        <v>-74.6311999999998</v>
      </c>
      <c r="C17" s="39">
        <f t="shared" si="5"/>
        <v>-39.3661587935258</v>
      </c>
      <c r="D17" s="38">
        <v>796.881</v>
      </c>
      <c r="E17" s="38">
        <v>1006.1788</v>
      </c>
      <c r="F17" s="38">
        <v>613.0257</v>
      </c>
      <c r="G17" s="38">
        <v>2622.2492</v>
      </c>
      <c r="H17" s="38">
        <v>0</v>
      </c>
      <c r="I17" s="38">
        <v>198.0849</v>
      </c>
      <c r="J17" s="38">
        <v>0</v>
      </c>
      <c r="K17" s="38">
        <v>130.4104</v>
      </c>
      <c r="L17" s="38">
        <f t="shared" si="0"/>
        <v>5366.83</v>
      </c>
      <c r="M17" s="38">
        <v>1542.7305</v>
      </c>
      <c r="N17" s="38">
        <v>0</v>
      </c>
      <c r="O17" s="38">
        <v>68.7295</v>
      </c>
      <c r="P17" s="38">
        <v>0</v>
      </c>
      <c r="Q17" s="38">
        <v>0</v>
      </c>
      <c r="R17" s="38">
        <v>7.2823</v>
      </c>
      <c r="S17" s="38">
        <v>35.63</v>
      </c>
      <c r="T17" s="38">
        <f t="shared" si="1"/>
        <v>1654.3723</v>
      </c>
      <c r="U17" s="38">
        <v>0</v>
      </c>
      <c r="V17" s="38">
        <v>0</v>
      </c>
      <c r="W17" s="38">
        <v>2323.0927</v>
      </c>
      <c r="X17" s="38">
        <v>0</v>
      </c>
      <c r="Y17" s="38">
        <v>0</v>
      </c>
      <c r="Z17" s="38">
        <v>0</v>
      </c>
      <c r="AA17" s="38">
        <v>1463.7287</v>
      </c>
      <c r="AB17" s="38">
        <f t="shared" si="2"/>
        <v>0.2675</v>
      </c>
      <c r="AC17" s="38">
        <f t="shared" si="3"/>
        <v>5441.4612</v>
      </c>
      <c r="AD17" s="38">
        <v>18.388328149946</v>
      </c>
      <c r="AE17" s="38">
        <v>9698.30838579944</v>
      </c>
      <c r="AF17" s="38">
        <v>12.572786770546</v>
      </c>
      <c r="AG17" s="38">
        <v>0</v>
      </c>
      <c r="AH17" s="38">
        <v>6.376543141611</v>
      </c>
      <c r="AI17" s="38">
        <v>0</v>
      </c>
      <c r="AJ17" s="38">
        <v>6.755278501354</v>
      </c>
      <c r="AK17" s="38">
        <v>10.443597978685</v>
      </c>
      <c r="AL17" s="38">
        <v>95.53308557328</v>
      </c>
      <c r="AM17" s="38">
        <f t="shared" si="6"/>
        <v>9848.37800591487</v>
      </c>
      <c r="AN17" s="38">
        <v>0</v>
      </c>
      <c r="AO17" s="38">
        <f t="shared" si="7"/>
        <v>9848.37800591487</v>
      </c>
      <c r="AP17" s="39">
        <v>-35.2650412064741</v>
      </c>
      <c r="AQ17" s="38"/>
      <c r="AR17" s="38"/>
      <c r="AS17" s="38"/>
      <c r="AT17" s="38">
        <v>0</v>
      </c>
      <c r="AU17" s="38">
        <v>0.2675</v>
      </c>
      <c r="AV17" s="50"/>
      <c r="AW17" s="50"/>
    </row>
    <row r="18" ht="21.6" customHeight="1" spans="1:49">
      <c r="A18" s="10" t="s">
        <v>25</v>
      </c>
      <c r="B18" s="39">
        <f t="shared" si="4"/>
        <v>-164.9249</v>
      </c>
      <c r="C18" s="38">
        <f t="shared" si="5"/>
        <v>20.6346848030335</v>
      </c>
      <c r="D18" s="38">
        <v>696.7559</v>
      </c>
      <c r="E18" s="38">
        <v>950.5451</v>
      </c>
      <c r="F18" s="38">
        <v>600.5645</v>
      </c>
      <c r="G18" s="38">
        <v>2617.9492</v>
      </c>
      <c r="H18" s="38">
        <v>0</v>
      </c>
      <c r="I18" s="38">
        <v>199.4186</v>
      </c>
      <c r="J18" s="38">
        <v>0</v>
      </c>
      <c r="K18" s="38">
        <v>309.4858</v>
      </c>
      <c r="L18" s="38">
        <f t="shared" si="0"/>
        <v>5374.7191</v>
      </c>
      <c r="M18" s="38">
        <v>1563.8294</v>
      </c>
      <c r="N18" s="38">
        <v>0</v>
      </c>
      <c r="O18" s="38">
        <v>69.2166</v>
      </c>
      <c r="P18" s="38">
        <v>0</v>
      </c>
      <c r="Q18" s="38">
        <v>0</v>
      </c>
      <c r="R18" s="38">
        <v>7.2283</v>
      </c>
      <c r="S18" s="38">
        <v>36.3608</v>
      </c>
      <c r="T18" s="38">
        <f t="shared" si="1"/>
        <v>1676.6351</v>
      </c>
      <c r="U18" s="38">
        <v>0</v>
      </c>
      <c r="V18" s="38">
        <v>0</v>
      </c>
      <c r="W18" s="38">
        <v>2191.434</v>
      </c>
      <c r="X18" s="38">
        <v>0</v>
      </c>
      <c r="Y18" s="38">
        <v>0</v>
      </c>
      <c r="Z18" s="38">
        <v>0</v>
      </c>
      <c r="AA18" s="38">
        <v>1671.306</v>
      </c>
      <c r="AB18" s="38">
        <f t="shared" si="2"/>
        <v>0.2689</v>
      </c>
      <c r="AC18" s="38">
        <f t="shared" si="3"/>
        <v>5539.644</v>
      </c>
      <c r="AD18" s="38">
        <v>18.36469798663</v>
      </c>
      <c r="AE18" s="38">
        <v>9514.42662081701</v>
      </c>
      <c r="AF18" s="38">
        <v>12.563511943783</v>
      </c>
      <c r="AG18" s="38">
        <v>0</v>
      </c>
      <c r="AH18" s="38">
        <v>6.808310814954</v>
      </c>
      <c r="AI18" s="38">
        <v>0</v>
      </c>
      <c r="AJ18" s="38">
        <v>6.159484967609</v>
      </c>
      <c r="AK18" s="38">
        <v>10.46088711852</v>
      </c>
      <c r="AL18" s="38">
        <v>94.034907463327</v>
      </c>
      <c r="AM18" s="38">
        <f t="shared" si="6"/>
        <v>9662.81842111183</v>
      </c>
      <c r="AN18" s="38">
        <v>0</v>
      </c>
      <c r="AO18" s="38">
        <f t="shared" si="7"/>
        <v>9662.81842111183</v>
      </c>
      <c r="AP18" s="39">
        <v>-185.559584803033</v>
      </c>
      <c r="AQ18" s="38"/>
      <c r="AR18" s="38"/>
      <c r="AS18" s="38"/>
      <c r="AT18" s="38">
        <v>0</v>
      </c>
      <c r="AU18" s="38">
        <v>0.2689</v>
      </c>
      <c r="AV18" s="50"/>
      <c r="AW18" s="50"/>
    </row>
    <row r="19" ht="21.6" customHeight="1" spans="1:49">
      <c r="A19" s="10" t="s">
        <v>26</v>
      </c>
      <c r="B19" s="39">
        <f t="shared" si="4"/>
        <v>-16.9310000000005</v>
      </c>
      <c r="C19" s="38">
        <f t="shared" si="5"/>
        <v>77.788937515912</v>
      </c>
      <c r="D19" s="38">
        <v>595.9675</v>
      </c>
      <c r="E19" s="38">
        <v>861.6772</v>
      </c>
      <c r="F19" s="38">
        <v>502.9788</v>
      </c>
      <c r="G19" s="38">
        <v>2628.9818</v>
      </c>
      <c r="H19" s="38">
        <v>0</v>
      </c>
      <c r="I19" s="38">
        <v>199.9488</v>
      </c>
      <c r="J19" s="38">
        <v>0</v>
      </c>
      <c r="K19" s="38">
        <v>307.5308</v>
      </c>
      <c r="L19" s="38">
        <f t="shared" si="0"/>
        <v>5097.0849</v>
      </c>
      <c r="M19" s="38">
        <v>1532.3578</v>
      </c>
      <c r="N19" s="38">
        <v>0</v>
      </c>
      <c r="O19" s="38">
        <v>72.3901</v>
      </c>
      <c r="P19" s="38">
        <v>0</v>
      </c>
      <c r="Q19" s="38">
        <v>0</v>
      </c>
      <c r="R19" s="38">
        <v>7.7749</v>
      </c>
      <c r="S19" s="38">
        <v>37.6572</v>
      </c>
      <c r="T19" s="38">
        <f t="shared" si="1"/>
        <v>1650.18</v>
      </c>
      <c r="U19" s="38">
        <v>0</v>
      </c>
      <c r="V19" s="38">
        <v>0</v>
      </c>
      <c r="W19" s="38">
        <v>2212.057</v>
      </c>
      <c r="X19" s="38">
        <v>0</v>
      </c>
      <c r="Y19" s="38">
        <v>0</v>
      </c>
      <c r="Z19" s="38">
        <v>0</v>
      </c>
      <c r="AA19" s="38">
        <v>1251.5106</v>
      </c>
      <c r="AB19" s="38">
        <f t="shared" si="2"/>
        <v>0.2683</v>
      </c>
      <c r="AC19" s="38">
        <f t="shared" si="3"/>
        <v>5114.0159</v>
      </c>
      <c r="AD19" s="38">
        <v>18.374415793582</v>
      </c>
      <c r="AE19" s="38">
        <v>9427.86964985203</v>
      </c>
      <c r="AF19" s="38">
        <v>12.541205884438</v>
      </c>
      <c r="AG19" s="38">
        <v>0</v>
      </c>
      <c r="AH19" s="38">
        <v>6.765665124284</v>
      </c>
      <c r="AI19" s="38">
        <v>0</v>
      </c>
      <c r="AJ19" s="38">
        <v>6.315646086264</v>
      </c>
      <c r="AK19" s="38">
        <v>10.555758869294</v>
      </c>
      <c r="AL19" s="38">
        <v>85.676141986029</v>
      </c>
      <c r="AM19" s="38">
        <f t="shared" si="6"/>
        <v>9568.09848359592</v>
      </c>
      <c r="AN19" s="38">
        <v>0</v>
      </c>
      <c r="AO19" s="38">
        <f t="shared" si="7"/>
        <v>9568.09848359592</v>
      </c>
      <c r="AP19" s="39">
        <v>-94.7199375159125</v>
      </c>
      <c r="AQ19" s="38"/>
      <c r="AR19" s="38"/>
      <c r="AS19" s="38"/>
      <c r="AT19" s="38">
        <v>0</v>
      </c>
      <c r="AU19" s="38">
        <v>0.2683</v>
      </c>
      <c r="AV19" s="50"/>
      <c r="AW19" s="50"/>
    </row>
    <row r="20" ht="21.6" customHeight="1" spans="1:49">
      <c r="A20" s="10" t="s">
        <v>27</v>
      </c>
      <c r="B20" s="38">
        <f t="shared" si="4"/>
        <v>572.2894</v>
      </c>
      <c r="C20" s="39">
        <f t="shared" si="5"/>
        <v>-3.01392449645755</v>
      </c>
      <c r="D20" s="38">
        <v>599.8612</v>
      </c>
      <c r="E20" s="38">
        <v>942.0492</v>
      </c>
      <c r="F20" s="38">
        <v>498.6924</v>
      </c>
      <c r="G20" s="38">
        <v>2597.1027</v>
      </c>
      <c r="H20" s="38">
        <v>0</v>
      </c>
      <c r="I20" s="38">
        <v>299.1102</v>
      </c>
      <c r="J20" s="38">
        <v>0</v>
      </c>
      <c r="K20" s="38">
        <v>304.49</v>
      </c>
      <c r="L20" s="38">
        <f t="shared" si="0"/>
        <v>5241.3057</v>
      </c>
      <c r="M20" s="38">
        <v>1503.0217</v>
      </c>
      <c r="N20" s="38">
        <v>0</v>
      </c>
      <c r="O20" s="38">
        <v>69.0327</v>
      </c>
      <c r="P20" s="38">
        <v>0</v>
      </c>
      <c r="Q20" s="38">
        <v>0</v>
      </c>
      <c r="R20" s="38">
        <v>7.6655</v>
      </c>
      <c r="S20" s="38">
        <v>36.8252</v>
      </c>
      <c r="T20" s="38">
        <f t="shared" si="1"/>
        <v>1616.5451</v>
      </c>
      <c r="U20" s="38">
        <v>0</v>
      </c>
      <c r="V20" s="38">
        <v>0</v>
      </c>
      <c r="W20" s="38">
        <v>2059.1025</v>
      </c>
      <c r="X20" s="38">
        <v>0</v>
      </c>
      <c r="Y20" s="38">
        <v>0</v>
      </c>
      <c r="Z20" s="38">
        <v>0</v>
      </c>
      <c r="AA20" s="38">
        <v>993.106</v>
      </c>
      <c r="AB20" s="38">
        <f t="shared" si="2"/>
        <v>0.2627</v>
      </c>
      <c r="AC20" s="38">
        <f t="shared" si="3"/>
        <v>4669.0163</v>
      </c>
      <c r="AD20" s="38">
        <v>18.483142531961</v>
      </c>
      <c r="AE20" s="38">
        <v>9990.97838189417</v>
      </c>
      <c r="AF20" s="38">
        <v>12.514569173318</v>
      </c>
      <c r="AG20" s="38">
        <v>0</v>
      </c>
      <c r="AH20" s="38">
        <v>7.143478399554</v>
      </c>
      <c r="AI20" s="38">
        <v>0</v>
      </c>
      <c r="AJ20" s="38">
        <v>5.793347222826</v>
      </c>
      <c r="AK20" s="38">
        <v>10.603312186681</v>
      </c>
      <c r="AL20" s="38">
        <v>97.885576683873</v>
      </c>
      <c r="AM20" s="38">
        <f t="shared" si="6"/>
        <v>10143.4018080924</v>
      </c>
      <c r="AN20" s="38">
        <v>0</v>
      </c>
      <c r="AO20" s="38">
        <f t="shared" si="7"/>
        <v>10143.4018080924</v>
      </c>
      <c r="AP20" s="38">
        <v>575.303324496457</v>
      </c>
      <c r="AQ20" s="38"/>
      <c r="AR20" s="38"/>
      <c r="AS20" s="38"/>
      <c r="AT20" s="38">
        <v>0</v>
      </c>
      <c r="AU20" s="38">
        <v>0.2627</v>
      </c>
      <c r="AV20" s="50"/>
      <c r="AW20" s="50"/>
    </row>
    <row r="21" ht="21.6" customHeight="1" spans="1:49">
      <c r="A21" s="10" t="s">
        <v>28</v>
      </c>
      <c r="B21" s="38">
        <f t="shared" si="4"/>
        <v>712.3015</v>
      </c>
      <c r="C21" s="38">
        <f t="shared" si="5"/>
        <v>218.278958188112</v>
      </c>
      <c r="D21" s="38">
        <v>600.1276</v>
      </c>
      <c r="E21" s="38">
        <v>1138.7301</v>
      </c>
      <c r="F21" s="38">
        <v>597.8432</v>
      </c>
      <c r="G21" s="38">
        <v>2551.8775</v>
      </c>
      <c r="H21" s="38">
        <v>0</v>
      </c>
      <c r="I21" s="38">
        <v>229.8263</v>
      </c>
      <c r="J21" s="38">
        <v>0</v>
      </c>
      <c r="K21" s="38">
        <v>276.7537</v>
      </c>
      <c r="L21" s="38">
        <f t="shared" si="0"/>
        <v>5395.1584</v>
      </c>
      <c r="M21" s="38">
        <v>1422.6176</v>
      </c>
      <c r="N21" s="38">
        <v>0</v>
      </c>
      <c r="O21" s="38">
        <v>68.575</v>
      </c>
      <c r="P21" s="38">
        <v>0</v>
      </c>
      <c r="Q21" s="38">
        <v>0</v>
      </c>
      <c r="R21" s="38">
        <v>8.2147</v>
      </c>
      <c r="S21" s="38">
        <v>36.2146</v>
      </c>
      <c r="T21" s="38">
        <f t="shared" si="1"/>
        <v>1535.6219</v>
      </c>
      <c r="U21" s="38">
        <v>0</v>
      </c>
      <c r="V21" s="38">
        <v>0</v>
      </c>
      <c r="W21" s="38">
        <v>2053.4438</v>
      </c>
      <c r="X21" s="38">
        <v>0</v>
      </c>
      <c r="Y21" s="38">
        <v>0</v>
      </c>
      <c r="Z21" s="38">
        <v>0</v>
      </c>
      <c r="AA21" s="38">
        <v>1093.5291</v>
      </c>
      <c r="AB21" s="38">
        <f t="shared" si="2"/>
        <v>0.2621</v>
      </c>
      <c r="AC21" s="38">
        <f t="shared" si="3"/>
        <v>4682.8569</v>
      </c>
      <c r="AD21" s="38">
        <v>18.459135335051</v>
      </c>
      <c r="AE21" s="38">
        <v>10484.3088083733</v>
      </c>
      <c r="AF21" s="38">
        <v>12.552920123459</v>
      </c>
      <c r="AG21" s="38">
        <v>0</v>
      </c>
      <c r="AH21" s="38">
        <v>6.976392451569</v>
      </c>
      <c r="AI21" s="38">
        <v>0</v>
      </c>
      <c r="AJ21" s="38">
        <v>6.673444821751</v>
      </c>
      <c r="AK21" s="38">
        <v>10.508867392065</v>
      </c>
      <c r="AL21" s="38">
        <v>97.944781407096</v>
      </c>
      <c r="AM21" s="38">
        <f t="shared" si="6"/>
        <v>10637.4243499043</v>
      </c>
      <c r="AN21" s="38">
        <v>0</v>
      </c>
      <c r="AO21" s="38">
        <f t="shared" si="7"/>
        <v>10637.4243499043</v>
      </c>
      <c r="AP21" s="38">
        <v>494.022541811888</v>
      </c>
      <c r="AQ21" s="38"/>
      <c r="AR21" s="38"/>
      <c r="AS21" s="38"/>
      <c r="AT21" s="38">
        <v>0</v>
      </c>
      <c r="AU21" s="38">
        <v>0.2621</v>
      </c>
      <c r="AV21" s="50"/>
      <c r="AW21" s="50"/>
    </row>
    <row r="22" ht="21.6" customHeight="1" spans="1:49">
      <c r="A22" s="10" t="s">
        <v>29</v>
      </c>
      <c r="B22" s="39">
        <f t="shared" si="4"/>
        <v>-613.2321</v>
      </c>
      <c r="C22" s="39">
        <f t="shared" si="5"/>
        <v>-76.1129821286513</v>
      </c>
      <c r="D22" s="38">
        <v>594.3825</v>
      </c>
      <c r="E22" s="38">
        <v>1071.3762</v>
      </c>
      <c r="F22" s="38">
        <v>551.1962</v>
      </c>
      <c r="G22" s="38">
        <v>2619.6366</v>
      </c>
      <c r="H22" s="38">
        <v>0</v>
      </c>
      <c r="I22" s="38">
        <v>269.2047</v>
      </c>
      <c r="J22" s="38">
        <v>0</v>
      </c>
      <c r="K22" s="38">
        <v>256.5783</v>
      </c>
      <c r="L22" s="38">
        <f t="shared" si="0"/>
        <v>5362.3745</v>
      </c>
      <c r="M22" s="38">
        <v>1559.2131</v>
      </c>
      <c r="N22" s="38">
        <v>0</v>
      </c>
      <c r="O22" s="38">
        <v>67.1199</v>
      </c>
      <c r="P22" s="38">
        <v>0</v>
      </c>
      <c r="Q22" s="38">
        <v>0</v>
      </c>
      <c r="R22" s="38">
        <v>8.0349</v>
      </c>
      <c r="S22" s="38">
        <v>36.8898</v>
      </c>
      <c r="T22" s="38">
        <f t="shared" si="1"/>
        <v>1671.2577</v>
      </c>
      <c r="U22" s="38">
        <v>0</v>
      </c>
      <c r="V22" s="38">
        <v>0</v>
      </c>
      <c r="W22" s="38">
        <v>2272.1731</v>
      </c>
      <c r="X22" s="38">
        <v>0</v>
      </c>
      <c r="Y22" s="38">
        <v>0</v>
      </c>
      <c r="Z22" s="38">
        <v>0</v>
      </c>
      <c r="AA22" s="38">
        <v>2031.9107</v>
      </c>
      <c r="AB22" s="38">
        <f t="shared" si="2"/>
        <v>0.2651</v>
      </c>
      <c r="AC22" s="38">
        <f t="shared" si="3"/>
        <v>5975.6066</v>
      </c>
      <c r="AD22" s="38">
        <v>17.769293438894</v>
      </c>
      <c r="AE22" s="38">
        <v>9950.77997312904</v>
      </c>
      <c r="AF22" s="38">
        <v>12.545972947785</v>
      </c>
      <c r="AG22" s="38">
        <v>0</v>
      </c>
      <c r="AH22" s="38">
        <v>7.085766600129</v>
      </c>
      <c r="AI22" s="38">
        <v>0</v>
      </c>
      <c r="AJ22" s="38">
        <v>6.773124516396</v>
      </c>
      <c r="AK22" s="38">
        <v>10.514905137154</v>
      </c>
      <c r="AL22" s="38">
        <v>94.836196263519</v>
      </c>
      <c r="AM22" s="38">
        <f t="shared" si="6"/>
        <v>10100.3052320329</v>
      </c>
      <c r="AN22" s="38">
        <v>0</v>
      </c>
      <c r="AO22" s="38">
        <f t="shared" si="7"/>
        <v>10100.3052320329</v>
      </c>
      <c r="AP22" s="39">
        <v>-537.119117871349</v>
      </c>
      <c r="AQ22" s="38"/>
      <c r="AR22" s="38"/>
      <c r="AS22" s="38"/>
      <c r="AT22" s="38">
        <v>0</v>
      </c>
      <c r="AU22" s="38">
        <v>0.2651</v>
      </c>
      <c r="AV22" s="50"/>
      <c r="AW22" s="50"/>
    </row>
    <row r="23" ht="21.6" customHeight="1" spans="1:49">
      <c r="A23" s="10" t="s">
        <v>30</v>
      </c>
      <c r="B23" s="39">
        <f t="shared" si="4"/>
        <v>-90.7996000000003</v>
      </c>
      <c r="C23" s="39">
        <f t="shared" si="5"/>
        <v>-66.0238712731662</v>
      </c>
      <c r="D23" s="38">
        <v>596.8285</v>
      </c>
      <c r="E23" s="38">
        <v>1022.8229</v>
      </c>
      <c r="F23" s="38">
        <v>598.5603</v>
      </c>
      <c r="G23" s="38">
        <v>2559.9263</v>
      </c>
      <c r="H23" s="38">
        <v>0</v>
      </c>
      <c r="I23" s="38">
        <v>427.3906</v>
      </c>
      <c r="J23" s="38">
        <v>0</v>
      </c>
      <c r="K23" s="38">
        <v>272.0292</v>
      </c>
      <c r="L23" s="38">
        <f t="shared" si="0"/>
        <v>5477.5578</v>
      </c>
      <c r="M23" s="38">
        <v>1531.9659</v>
      </c>
      <c r="N23" s="38">
        <v>0</v>
      </c>
      <c r="O23" s="38">
        <v>68.2142</v>
      </c>
      <c r="P23" s="38">
        <v>0</v>
      </c>
      <c r="Q23" s="38">
        <v>0</v>
      </c>
      <c r="R23" s="38">
        <v>8.6308</v>
      </c>
      <c r="S23" s="38">
        <v>36.536</v>
      </c>
      <c r="T23" s="38">
        <f t="shared" si="1"/>
        <v>1645.3469</v>
      </c>
      <c r="U23" s="38">
        <v>0</v>
      </c>
      <c r="V23" s="38">
        <v>0</v>
      </c>
      <c r="W23" s="38">
        <v>1861.9124</v>
      </c>
      <c r="X23" s="38">
        <v>0</v>
      </c>
      <c r="Y23" s="38">
        <v>0</v>
      </c>
      <c r="Z23" s="38">
        <v>0</v>
      </c>
      <c r="AA23" s="38">
        <v>2060.8287</v>
      </c>
      <c r="AB23" s="38">
        <f t="shared" si="2"/>
        <v>0.2694</v>
      </c>
      <c r="AC23" s="38">
        <f t="shared" si="3"/>
        <v>5568.3574</v>
      </c>
      <c r="AD23" s="38">
        <v>18.530652494583</v>
      </c>
      <c r="AE23" s="38">
        <v>9925.60187840933</v>
      </c>
      <c r="AF23" s="38">
        <v>12.536706861253</v>
      </c>
      <c r="AG23" s="38">
        <v>0</v>
      </c>
      <c r="AH23" s="38">
        <v>6.604267382894</v>
      </c>
      <c r="AI23" s="38">
        <v>0</v>
      </c>
      <c r="AJ23" s="38">
        <v>7.086232932748</v>
      </c>
      <c r="AK23" s="38">
        <v>10.531047020684</v>
      </c>
      <c r="AL23" s="38">
        <v>94.638718204589</v>
      </c>
      <c r="AM23" s="38">
        <f t="shared" si="6"/>
        <v>10075.5295033061</v>
      </c>
      <c r="AN23" s="38">
        <v>0</v>
      </c>
      <c r="AO23" s="38">
        <f t="shared" si="7"/>
        <v>10075.5295033061</v>
      </c>
      <c r="AP23" s="39">
        <v>-24.7757287268341</v>
      </c>
      <c r="AQ23" s="38"/>
      <c r="AR23" s="38"/>
      <c r="AS23" s="38"/>
      <c r="AT23" s="38">
        <v>0</v>
      </c>
      <c r="AU23" s="38">
        <v>0.2694</v>
      </c>
      <c r="AV23" s="50"/>
      <c r="AW23" s="50"/>
    </row>
    <row r="24" ht="21.6" customHeight="1" spans="1:49">
      <c r="A24" s="10" t="s">
        <v>31</v>
      </c>
      <c r="B24" s="38">
        <f t="shared" si="4"/>
        <v>369.903600000001</v>
      </c>
      <c r="C24" s="38">
        <f t="shared" si="5"/>
        <v>59.6008228839119</v>
      </c>
      <c r="D24" s="38">
        <v>577.5373</v>
      </c>
      <c r="E24" s="38">
        <v>1214.5721</v>
      </c>
      <c r="F24" s="38">
        <v>603.3563</v>
      </c>
      <c r="G24" s="38">
        <v>2510.8528</v>
      </c>
      <c r="H24" s="38">
        <v>0</v>
      </c>
      <c r="I24" s="38">
        <v>310.6784</v>
      </c>
      <c r="J24" s="38">
        <v>0</v>
      </c>
      <c r="K24" s="38">
        <v>277.0621</v>
      </c>
      <c r="L24" s="38">
        <f t="shared" si="0"/>
        <v>5494.059</v>
      </c>
      <c r="M24" s="38">
        <v>1435.5952</v>
      </c>
      <c r="N24" s="38">
        <v>0</v>
      </c>
      <c r="O24" s="38">
        <v>72.0989</v>
      </c>
      <c r="P24" s="38">
        <v>0</v>
      </c>
      <c r="Q24" s="38">
        <v>0</v>
      </c>
      <c r="R24" s="38">
        <v>8.626</v>
      </c>
      <c r="S24" s="38">
        <v>36.7824</v>
      </c>
      <c r="T24" s="38">
        <f t="shared" si="1"/>
        <v>1553.1025</v>
      </c>
      <c r="U24" s="38">
        <v>0</v>
      </c>
      <c r="V24" s="38">
        <v>0</v>
      </c>
      <c r="W24" s="38">
        <v>1870.074</v>
      </c>
      <c r="X24" s="38">
        <v>0</v>
      </c>
      <c r="Y24" s="38">
        <v>0</v>
      </c>
      <c r="Z24" s="38">
        <v>0</v>
      </c>
      <c r="AA24" s="38">
        <v>1700.7183</v>
      </c>
      <c r="AB24" s="38">
        <f t="shared" si="2"/>
        <v>0.2606</v>
      </c>
      <c r="AC24" s="38">
        <f t="shared" si="3"/>
        <v>5124.1554</v>
      </c>
      <c r="AD24" s="38">
        <v>18.353142577675</v>
      </c>
      <c r="AE24" s="38">
        <v>10229.6397709844</v>
      </c>
      <c r="AF24" s="38">
        <v>12.526692841443</v>
      </c>
      <c r="AG24" s="38">
        <v>0</v>
      </c>
      <c r="AH24" s="38">
        <v>6.885412601871</v>
      </c>
      <c r="AI24" s="38">
        <v>0</v>
      </c>
      <c r="AJ24" s="38">
        <v>7.161034185899</v>
      </c>
      <c r="AK24" s="38">
        <v>10.547552761824</v>
      </c>
      <c r="AL24" s="38">
        <v>100.718674469046</v>
      </c>
      <c r="AM24" s="38">
        <f t="shared" si="6"/>
        <v>10385.8322804222</v>
      </c>
      <c r="AN24" s="38">
        <v>0</v>
      </c>
      <c r="AO24" s="38">
        <f t="shared" si="7"/>
        <v>10385.8322804222</v>
      </c>
      <c r="AP24" s="38">
        <v>310.302777116089</v>
      </c>
      <c r="AQ24" s="38"/>
      <c r="AR24" s="38"/>
      <c r="AS24" s="38"/>
      <c r="AT24" s="38">
        <v>0</v>
      </c>
      <c r="AU24" s="38">
        <v>0.2606</v>
      </c>
      <c r="AV24" s="50"/>
      <c r="AW24" s="50"/>
    </row>
    <row r="25" ht="21.6" customHeight="1" spans="1:49">
      <c r="A25" s="10" t="s">
        <v>32</v>
      </c>
      <c r="B25" s="39">
        <f t="shared" si="4"/>
        <v>-146.3154</v>
      </c>
      <c r="C25" s="38">
        <f t="shared" si="5"/>
        <v>329.021307944348</v>
      </c>
      <c r="D25" s="38">
        <v>596.5689</v>
      </c>
      <c r="E25" s="38">
        <v>1074.0931</v>
      </c>
      <c r="F25" s="38">
        <v>449.9907</v>
      </c>
      <c r="G25" s="38">
        <v>2585.1862</v>
      </c>
      <c r="H25" s="38">
        <v>0</v>
      </c>
      <c r="I25" s="38">
        <v>100.1834</v>
      </c>
      <c r="J25" s="38">
        <v>0</v>
      </c>
      <c r="K25" s="38">
        <v>276.8274</v>
      </c>
      <c r="L25" s="38">
        <f t="shared" si="0"/>
        <v>5082.8497</v>
      </c>
      <c r="M25" s="38">
        <v>1442.3742</v>
      </c>
      <c r="N25" s="38">
        <v>0</v>
      </c>
      <c r="O25" s="38">
        <v>71.5858</v>
      </c>
      <c r="P25" s="38">
        <v>0</v>
      </c>
      <c r="Q25" s="38">
        <v>0</v>
      </c>
      <c r="R25" s="38">
        <v>7.1967</v>
      </c>
      <c r="S25" s="38">
        <v>38.2868</v>
      </c>
      <c r="T25" s="38">
        <f t="shared" si="1"/>
        <v>1559.4435</v>
      </c>
      <c r="U25" s="38">
        <v>0</v>
      </c>
      <c r="V25" s="38">
        <v>0</v>
      </c>
      <c r="W25" s="38">
        <v>1896.7985</v>
      </c>
      <c r="X25" s="38">
        <v>0</v>
      </c>
      <c r="Y25" s="38">
        <v>0</v>
      </c>
      <c r="Z25" s="38">
        <v>0</v>
      </c>
      <c r="AA25" s="38">
        <v>1772.6635</v>
      </c>
      <c r="AB25" s="38">
        <f t="shared" si="2"/>
        <v>0.2596</v>
      </c>
      <c r="AC25" s="38">
        <f t="shared" si="3"/>
        <v>5229.1651</v>
      </c>
      <c r="AD25" s="38">
        <v>18.051270596232</v>
      </c>
      <c r="AE25" s="38">
        <v>9766.01467893315</v>
      </c>
      <c r="AF25" s="38">
        <v>12.525505923522</v>
      </c>
      <c r="AG25" s="38">
        <v>0</v>
      </c>
      <c r="AH25" s="38">
        <v>6.954478670869</v>
      </c>
      <c r="AI25" s="38">
        <v>0</v>
      </c>
      <c r="AJ25" s="38">
        <v>7.220545127995</v>
      </c>
      <c r="AK25" s="38">
        <v>10.494591365317</v>
      </c>
      <c r="AL25" s="38">
        <v>89.234501860739</v>
      </c>
      <c r="AM25" s="38">
        <f t="shared" si="6"/>
        <v>9910.49557247782</v>
      </c>
      <c r="AN25" s="38">
        <v>0</v>
      </c>
      <c r="AO25" s="38">
        <f t="shared" si="7"/>
        <v>9910.49557247782</v>
      </c>
      <c r="AP25" s="39">
        <v>-475.336707944349</v>
      </c>
      <c r="AQ25" s="38"/>
      <c r="AR25" s="38"/>
      <c r="AS25" s="38"/>
      <c r="AT25" s="38">
        <v>0</v>
      </c>
      <c r="AU25" s="38">
        <v>0.2596</v>
      </c>
      <c r="AV25" s="50"/>
      <c r="AW25" s="50"/>
    </row>
    <row r="26" ht="21.6" customHeight="1" spans="1:49">
      <c r="A26" s="10" t="s">
        <v>33</v>
      </c>
      <c r="B26" s="39">
        <f t="shared" si="4"/>
        <v>-138.4623</v>
      </c>
      <c r="C26" s="39">
        <f t="shared" si="5"/>
        <v>-332.576202659319</v>
      </c>
      <c r="D26" s="38">
        <v>496.5017</v>
      </c>
      <c r="E26" s="38">
        <v>1053.4417</v>
      </c>
      <c r="F26" s="38">
        <v>500.994</v>
      </c>
      <c r="G26" s="38">
        <v>2414.4356</v>
      </c>
      <c r="H26" s="38">
        <v>0</v>
      </c>
      <c r="I26" s="38">
        <v>299.7804</v>
      </c>
      <c r="J26" s="38">
        <v>0</v>
      </c>
      <c r="K26" s="38">
        <v>258.2078</v>
      </c>
      <c r="L26" s="38">
        <f t="shared" si="0"/>
        <v>5023.3612</v>
      </c>
      <c r="M26" s="38">
        <v>1370.7393</v>
      </c>
      <c r="N26" s="38">
        <v>0</v>
      </c>
      <c r="O26" s="38">
        <v>72.7072</v>
      </c>
      <c r="P26" s="38">
        <v>0</v>
      </c>
      <c r="Q26" s="38">
        <v>0</v>
      </c>
      <c r="R26" s="38">
        <v>8.584</v>
      </c>
      <c r="S26" s="38">
        <v>37.8844</v>
      </c>
      <c r="T26" s="38">
        <f t="shared" si="1"/>
        <v>1489.9149</v>
      </c>
      <c r="U26" s="38">
        <v>0</v>
      </c>
      <c r="V26" s="38">
        <v>0</v>
      </c>
      <c r="W26" s="38">
        <v>1575.4873</v>
      </c>
      <c r="X26" s="38">
        <v>0</v>
      </c>
      <c r="Y26" s="38">
        <v>0</v>
      </c>
      <c r="Z26" s="38">
        <v>0</v>
      </c>
      <c r="AA26" s="38">
        <v>2095.5912</v>
      </c>
      <c r="AB26" s="38">
        <f t="shared" si="2"/>
        <v>0.8301</v>
      </c>
      <c r="AC26" s="38">
        <f t="shared" si="3"/>
        <v>5161.8235</v>
      </c>
      <c r="AD26" s="38">
        <v>18.239400052887</v>
      </c>
      <c r="AE26" s="38">
        <v>9963.34461890355</v>
      </c>
      <c r="AF26" s="38">
        <v>12.512150257932</v>
      </c>
      <c r="AG26" s="38">
        <v>0</v>
      </c>
      <c r="AH26" s="38">
        <v>6.904244698364</v>
      </c>
      <c r="AI26" s="38">
        <v>0</v>
      </c>
      <c r="AJ26" s="38">
        <v>6.900130778468</v>
      </c>
      <c r="AK26" s="38">
        <v>10.650609340168</v>
      </c>
      <c r="AL26" s="38">
        <v>86.058321105768</v>
      </c>
      <c r="AM26" s="38">
        <f t="shared" si="6"/>
        <v>10104.6094751371</v>
      </c>
      <c r="AN26" s="38">
        <v>0</v>
      </c>
      <c r="AO26" s="38">
        <f t="shared" si="7"/>
        <v>10104.6094751371</v>
      </c>
      <c r="AP26" s="38">
        <v>194.113902659319</v>
      </c>
      <c r="AQ26" s="38"/>
      <c r="AR26" s="38"/>
      <c r="AS26" s="38"/>
      <c r="AT26" s="38">
        <v>0.5414</v>
      </c>
      <c r="AU26" s="38">
        <v>0.2887</v>
      </c>
      <c r="AV26" s="50"/>
      <c r="AW26" s="50"/>
    </row>
    <row r="27" ht="21.6" customHeight="1" spans="1:49">
      <c r="A27" s="10" t="s">
        <v>34</v>
      </c>
      <c r="B27" s="38">
        <f t="shared" si="4"/>
        <v>248.876699999999</v>
      </c>
      <c r="C27" s="38">
        <f t="shared" si="5"/>
        <v>71.5468148800755</v>
      </c>
      <c r="D27" s="38">
        <v>545.137</v>
      </c>
      <c r="E27" s="38">
        <v>1209.9341</v>
      </c>
      <c r="F27" s="38">
        <v>499.1628</v>
      </c>
      <c r="G27" s="38">
        <v>2328.303</v>
      </c>
      <c r="H27" s="38">
        <v>0</v>
      </c>
      <c r="I27" s="38">
        <v>286.7879</v>
      </c>
      <c r="J27" s="38">
        <v>0</v>
      </c>
      <c r="K27" s="38">
        <v>248.1909</v>
      </c>
      <c r="L27" s="38">
        <f t="shared" si="0"/>
        <v>5117.5157</v>
      </c>
      <c r="M27" s="38">
        <v>1455.8002</v>
      </c>
      <c r="N27" s="38">
        <v>0</v>
      </c>
      <c r="O27" s="38">
        <v>69.3945</v>
      </c>
      <c r="P27" s="38">
        <v>0</v>
      </c>
      <c r="Q27" s="38">
        <v>0</v>
      </c>
      <c r="R27" s="38">
        <v>7.6955</v>
      </c>
      <c r="S27" s="38">
        <v>35.7596</v>
      </c>
      <c r="T27" s="38">
        <f t="shared" si="1"/>
        <v>1568.6498</v>
      </c>
      <c r="U27" s="38">
        <v>0</v>
      </c>
      <c r="V27" s="38">
        <v>0</v>
      </c>
      <c r="W27" s="38">
        <v>1122.878</v>
      </c>
      <c r="X27" s="38">
        <v>0</v>
      </c>
      <c r="Y27" s="38">
        <v>0</v>
      </c>
      <c r="Z27" s="38">
        <v>0</v>
      </c>
      <c r="AA27" s="38">
        <v>2176.2042</v>
      </c>
      <c r="AB27" s="38">
        <f t="shared" si="2"/>
        <v>0.907</v>
      </c>
      <c r="AC27" s="38">
        <f t="shared" si="3"/>
        <v>4868.639</v>
      </c>
      <c r="AD27" s="38">
        <v>18.412572933325</v>
      </c>
      <c r="AE27" s="38">
        <v>10129.7021399793</v>
      </c>
      <c r="AF27" s="38">
        <v>12.475098285868</v>
      </c>
      <c r="AG27" s="38">
        <v>0</v>
      </c>
      <c r="AH27" s="38">
        <v>6.942049934905</v>
      </c>
      <c r="AI27" s="38">
        <v>0</v>
      </c>
      <c r="AJ27" s="38">
        <v>5.863072861706</v>
      </c>
      <c r="AK27" s="38">
        <v>10.701300074316</v>
      </c>
      <c r="AL27" s="38">
        <v>97.843126187646</v>
      </c>
      <c r="AM27" s="38">
        <f t="shared" si="6"/>
        <v>10281.9393602571</v>
      </c>
      <c r="AN27" s="38">
        <v>0</v>
      </c>
      <c r="AO27" s="38">
        <f t="shared" si="7"/>
        <v>10281.9393602571</v>
      </c>
      <c r="AP27" s="38">
        <v>177.329885119923</v>
      </c>
      <c r="AQ27" s="38"/>
      <c r="AR27" s="38"/>
      <c r="AS27" s="38"/>
      <c r="AT27" s="38">
        <v>0.6255</v>
      </c>
      <c r="AU27" s="38">
        <v>0.2815</v>
      </c>
      <c r="AV27" s="50"/>
      <c r="AW27" s="50"/>
    </row>
    <row r="28" ht="21.6" customHeight="1" spans="1:49">
      <c r="A28" s="10" t="s">
        <v>35</v>
      </c>
      <c r="B28" s="38">
        <f t="shared" si="4"/>
        <v>257.8744</v>
      </c>
      <c r="C28" s="38">
        <f t="shared" si="5"/>
        <v>83.876681687304</v>
      </c>
      <c r="D28" s="38">
        <v>699.1346</v>
      </c>
      <c r="E28" s="38">
        <v>1421.8279</v>
      </c>
      <c r="F28" s="38">
        <v>691.7162</v>
      </c>
      <c r="G28" s="38">
        <v>2252.116</v>
      </c>
      <c r="H28" s="38">
        <v>0</v>
      </c>
      <c r="I28" s="38">
        <v>75.848</v>
      </c>
      <c r="J28" s="38">
        <v>0</v>
      </c>
      <c r="K28" s="38">
        <v>225.5634</v>
      </c>
      <c r="L28" s="38">
        <f t="shared" si="0"/>
        <v>5366.2061</v>
      </c>
      <c r="M28" s="38">
        <v>1072.7625</v>
      </c>
      <c r="N28" s="38">
        <v>0</v>
      </c>
      <c r="O28" s="38">
        <v>65.721</v>
      </c>
      <c r="P28" s="38">
        <v>0</v>
      </c>
      <c r="Q28" s="38">
        <v>0</v>
      </c>
      <c r="R28" s="38">
        <v>8.069</v>
      </c>
      <c r="S28" s="38">
        <v>34.8852</v>
      </c>
      <c r="T28" s="38">
        <f t="shared" si="1"/>
        <v>1181.4377</v>
      </c>
      <c r="U28" s="38">
        <v>0</v>
      </c>
      <c r="V28" s="38">
        <v>0</v>
      </c>
      <c r="W28" s="38">
        <v>1387.8161</v>
      </c>
      <c r="X28" s="38">
        <v>0</v>
      </c>
      <c r="Y28" s="38">
        <v>0</v>
      </c>
      <c r="Z28" s="38">
        <v>0</v>
      </c>
      <c r="AA28" s="38">
        <v>2538.7811</v>
      </c>
      <c r="AB28" s="38">
        <f t="shared" si="2"/>
        <v>0.2968</v>
      </c>
      <c r="AC28" s="38">
        <f t="shared" si="3"/>
        <v>5108.3317</v>
      </c>
      <c r="AD28" s="38">
        <v>18.200731143916</v>
      </c>
      <c r="AE28" s="38">
        <v>10309.6230693895</v>
      </c>
      <c r="AF28" s="38">
        <v>12.47273709109</v>
      </c>
      <c r="AG28" s="38">
        <v>0</v>
      </c>
      <c r="AH28" s="38">
        <v>6.356282072021</v>
      </c>
      <c r="AI28" s="38">
        <v>0</v>
      </c>
      <c r="AJ28" s="38">
        <v>6.304431638408</v>
      </c>
      <c r="AK28" s="38">
        <v>10.621192321234</v>
      </c>
      <c r="AL28" s="38">
        <v>92.35863491358</v>
      </c>
      <c r="AM28" s="38">
        <f t="shared" si="6"/>
        <v>10455.9370785698</v>
      </c>
      <c r="AN28" s="38">
        <v>0</v>
      </c>
      <c r="AO28" s="38">
        <f t="shared" si="7"/>
        <v>10455.9370785698</v>
      </c>
      <c r="AP28" s="38">
        <v>173.997718312696</v>
      </c>
      <c r="AQ28" s="38"/>
      <c r="AR28" s="38"/>
      <c r="AS28" s="38"/>
      <c r="AT28" s="38">
        <v>0.024</v>
      </c>
      <c r="AU28" s="38">
        <v>0.2728</v>
      </c>
      <c r="AV28" s="50"/>
      <c r="AW28" s="50"/>
    </row>
    <row r="29" ht="21.6" customHeight="1" spans="1:49">
      <c r="A29" s="10" t="s">
        <v>36</v>
      </c>
      <c r="B29" s="39">
        <f t="shared" si="4"/>
        <v>-478.797999999999</v>
      </c>
      <c r="C29" s="39">
        <f t="shared" si="5"/>
        <v>-126.138710843166</v>
      </c>
      <c r="D29" s="38">
        <v>596.1005</v>
      </c>
      <c r="E29" s="38">
        <v>1286.0396</v>
      </c>
      <c r="F29" s="38">
        <v>501.9993</v>
      </c>
      <c r="G29" s="38">
        <v>1934.5518</v>
      </c>
      <c r="H29" s="38">
        <v>0</v>
      </c>
      <c r="I29" s="38">
        <v>300.6121</v>
      </c>
      <c r="J29" s="38">
        <v>0</v>
      </c>
      <c r="K29" s="38">
        <v>225.193</v>
      </c>
      <c r="L29" s="38">
        <f t="shared" si="0"/>
        <v>4844.4963</v>
      </c>
      <c r="M29" s="38">
        <v>1241.2432</v>
      </c>
      <c r="N29" s="38">
        <v>0</v>
      </c>
      <c r="O29" s="38">
        <v>65.4582</v>
      </c>
      <c r="P29" s="38">
        <v>0</v>
      </c>
      <c r="Q29" s="38">
        <v>0</v>
      </c>
      <c r="R29" s="38">
        <v>6.8116</v>
      </c>
      <c r="S29" s="38">
        <v>33.9032</v>
      </c>
      <c r="T29" s="38">
        <f t="shared" si="1"/>
        <v>1347.4162</v>
      </c>
      <c r="U29" s="38">
        <v>0</v>
      </c>
      <c r="V29" s="38">
        <v>0</v>
      </c>
      <c r="W29" s="38">
        <v>1476.5176</v>
      </c>
      <c r="X29" s="38">
        <v>0</v>
      </c>
      <c r="Y29" s="38">
        <v>0</v>
      </c>
      <c r="Z29" s="38">
        <v>0</v>
      </c>
      <c r="AA29" s="38">
        <v>2499.091</v>
      </c>
      <c r="AB29" s="38">
        <f t="shared" si="2"/>
        <v>0.2695</v>
      </c>
      <c r="AC29" s="38">
        <f t="shared" si="3"/>
        <v>5323.2943</v>
      </c>
      <c r="AD29" s="38">
        <v>18.369200082304</v>
      </c>
      <c r="AE29" s="38">
        <v>9959.47660197212</v>
      </c>
      <c r="AF29" s="38">
        <v>12.512010151643</v>
      </c>
      <c r="AG29" s="38">
        <v>0</v>
      </c>
      <c r="AH29" s="38">
        <v>6.792163093932</v>
      </c>
      <c r="AI29" s="38">
        <v>0</v>
      </c>
      <c r="AJ29" s="38">
        <v>7.385536515601</v>
      </c>
      <c r="AK29" s="38">
        <v>10.645147102119</v>
      </c>
      <c r="AL29" s="38">
        <v>88.097130495208</v>
      </c>
      <c r="AM29" s="38">
        <f t="shared" si="6"/>
        <v>10103.2777894129</v>
      </c>
      <c r="AN29" s="38">
        <v>0</v>
      </c>
      <c r="AO29" s="38">
        <f t="shared" si="7"/>
        <v>10103.2777894129</v>
      </c>
      <c r="AP29" s="39">
        <v>-352.659289156833</v>
      </c>
      <c r="AQ29" s="38"/>
      <c r="AR29" s="38"/>
      <c r="AS29" s="38"/>
      <c r="AT29" s="38">
        <v>0</v>
      </c>
      <c r="AU29" s="38">
        <v>0.2695</v>
      </c>
      <c r="AV29" s="50"/>
      <c r="AW29" s="50"/>
    </row>
    <row r="30" ht="21.6" customHeight="1" spans="1:49">
      <c r="A30" s="10" t="s">
        <v>37</v>
      </c>
      <c r="B30" s="38">
        <f t="shared" si="4"/>
        <v>101.655800000001</v>
      </c>
      <c r="C30" s="38">
        <f t="shared" si="5"/>
        <v>103.918580198332</v>
      </c>
      <c r="D30" s="38">
        <v>749.3011</v>
      </c>
      <c r="E30" s="38">
        <v>1645.5986</v>
      </c>
      <c r="F30" s="38">
        <v>797.7735</v>
      </c>
      <c r="G30" s="38">
        <v>1833.2185</v>
      </c>
      <c r="H30" s="38">
        <v>0</v>
      </c>
      <c r="I30" s="38">
        <v>299.9336</v>
      </c>
      <c r="J30" s="38">
        <v>0</v>
      </c>
      <c r="K30" s="38">
        <v>218.7942</v>
      </c>
      <c r="L30" s="38">
        <f t="shared" si="0"/>
        <v>5544.6195</v>
      </c>
      <c r="M30" s="38">
        <v>1233.9085</v>
      </c>
      <c r="N30" s="38">
        <v>0</v>
      </c>
      <c r="O30" s="38">
        <v>64.4901</v>
      </c>
      <c r="P30" s="38">
        <v>0</v>
      </c>
      <c r="Q30" s="38">
        <v>0</v>
      </c>
      <c r="R30" s="38">
        <v>6.6932</v>
      </c>
      <c r="S30" s="38">
        <v>33.8025</v>
      </c>
      <c r="T30" s="38">
        <f t="shared" si="1"/>
        <v>1338.8943</v>
      </c>
      <c r="U30" s="38">
        <v>0</v>
      </c>
      <c r="V30" s="38">
        <v>0</v>
      </c>
      <c r="W30" s="38">
        <v>1902.0417</v>
      </c>
      <c r="X30" s="38">
        <v>0</v>
      </c>
      <c r="Y30" s="38">
        <v>0</v>
      </c>
      <c r="Z30" s="38">
        <v>0</v>
      </c>
      <c r="AA30" s="38">
        <v>2201.7763</v>
      </c>
      <c r="AB30" s="38">
        <f t="shared" si="2"/>
        <v>0.2514</v>
      </c>
      <c r="AC30" s="38">
        <f t="shared" si="3"/>
        <v>5442.9637</v>
      </c>
      <c r="AD30" s="38">
        <v>18.600834949397</v>
      </c>
      <c r="AE30" s="38">
        <v>9961.35489791647</v>
      </c>
      <c r="AF30" s="38">
        <v>12.514185242532</v>
      </c>
      <c r="AG30" s="38">
        <v>0</v>
      </c>
      <c r="AH30" s="38">
        <v>6.857454609638</v>
      </c>
      <c r="AI30" s="38">
        <v>0</v>
      </c>
      <c r="AJ30" s="38">
        <v>7.435490149823</v>
      </c>
      <c r="AK30" s="38">
        <v>10.687917414854</v>
      </c>
      <c r="AL30" s="38">
        <v>83.564228931884</v>
      </c>
      <c r="AM30" s="38">
        <f t="shared" si="6"/>
        <v>10101.0150092146</v>
      </c>
      <c r="AN30" s="38">
        <v>0</v>
      </c>
      <c r="AO30" s="38">
        <f t="shared" si="7"/>
        <v>10101.0150092146</v>
      </c>
      <c r="AP30" s="39">
        <v>-2.2627801983308</v>
      </c>
      <c r="AQ30" s="38"/>
      <c r="AR30" s="38"/>
      <c r="AS30" s="38"/>
      <c r="AT30" s="38">
        <v>0</v>
      </c>
      <c r="AU30" s="38">
        <v>0.2514</v>
      </c>
      <c r="AV30" s="50"/>
      <c r="AW30" s="50"/>
    </row>
    <row r="31" ht="21.6" customHeight="1" spans="1:49">
      <c r="A31" s="10" t="s">
        <v>38</v>
      </c>
      <c r="B31" s="38">
        <f t="shared" si="4"/>
        <v>203.873500000001</v>
      </c>
      <c r="C31" s="38">
        <f t="shared" si="5"/>
        <v>8.92794447301731</v>
      </c>
      <c r="D31" s="38">
        <v>748.8131</v>
      </c>
      <c r="E31" s="38">
        <v>1649.7962</v>
      </c>
      <c r="F31" s="38">
        <v>816.0748</v>
      </c>
      <c r="G31" s="38">
        <v>1846.3798</v>
      </c>
      <c r="H31" s="38">
        <v>0</v>
      </c>
      <c r="I31" s="38">
        <v>301.3792</v>
      </c>
      <c r="J31" s="38">
        <v>0</v>
      </c>
      <c r="K31" s="38">
        <v>218.1194</v>
      </c>
      <c r="L31" s="38">
        <f t="shared" si="0"/>
        <v>5580.5625</v>
      </c>
      <c r="M31" s="38">
        <v>1289.8172</v>
      </c>
      <c r="N31" s="38">
        <v>0</v>
      </c>
      <c r="O31" s="38">
        <v>63.3615</v>
      </c>
      <c r="P31" s="38">
        <v>0</v>
      </c>
      <c r="Q31" s="38">
        <v>0</v>
      </c>
      <c r="R31" s="38">
        <v>6.6863</v>
      </c>
      <c r="S31" s="38">
        <v>33.8979</v>
      </c>
      <c r="T31" s="38">
        <f t="shared" si="1"/>
        <v>1393.7629</v>
      </c>
      <c r="U31" s="38">
        <v>0</v>
      </c>
      <c r="V31" s="38">
        <v>0</v>
      </c>
      <c r="W31" s="38">
        <v>1970.6338</v>
      </c>
      <c r="X31" s="38">
        <v>0</v>
      </c>
      <c r="Y31" s="38">
        <v>0</v>
      </c>
      <c r="Z31" s="38">
        <v>0</v>
      </c>
      <c r="AA31" s="38">
        <v>2012.0537</v>
      </c>
      <c r="AB31" s="38">
        <f t="shared" si="2"/>
        <v>0.2386</v>
      </c>
      <c r="AC31" s="38">
        <f t="shared" si="3"/>
        <v>5376.689</v>
      </c>
      <c r="AD31" s="38">
        <v>18.468807248044</v>
      </c>
      <c r="AE31" s="38">
        <v>10151.5380342928</v>
      </c>
      <c r="AF31" s="38">
        <v>12.506063565404</v>
      </c>
      <c r="AG31" s="38">
        <v>0</v>
      </c>
      <c r="AH31" s="38">
        <v>6.810849997307</v>
      </c>
      <c r="AI31" s="38">
        <v>0</v>
      </c>
      <c r="AJ31" s="38">
        <v>7.261130008753</v>
      </c>
      <c r="AK31" s="38">
        <v>10.743876612959</v>
      </c>
      <c r="AL31" s="38">
        <v>88.631803016359</v>
      </c>
      <c r="AM31" s="38">
        <f t="shared" si="6"/>
        <v>10295.9605647416</v>
      </c>
      <c r="AN31" s="38">
        <v>0</v>
      </c>
      <c r="AO31" s="38">
        <f t="shared" si="7"/>
        <v>10295.9605647416</v>
      </c>
      <c r="AP31" s="38">
        <v>194.945555526983</v>
      </c>
      <c r="AQ31" s="38"/>
      <c r="AR31" s="38"/>
      <c r="AS31" s="38"/>
      <c r="AT31" s="38">
        <v>0</v>
      </c>
      <c r="AU31" s="38">
        <v>0.2386</v>
      </c>
      <c r="AV31" s="50"/>
      <c r="AW31" s="50"/>
    </row>
    <row r="32" ht="21.6" customHeight="1" spans="1:49">
      <c r="A32" s="10" t="s">
        <v>39</v>
      </c>
      <c r="B32" s="38">
        <f t="shared" si="4"/>
        <v>348.574500000001</v>
      </c>
      <c r="C32" s="38">
        <f t="shared" si="5"/>
        <v>29.2372230437395</v>
      </c>
      <c r="D32" s="38">
        <v>898.6862</v>
      </c>
      <c r="E32" s="38">
        <v>1651.0012</v>
      </c>
      <c r="F32" s="38">
        <v>852.0262</v>
      </c>
      <c r="G32" s="38">
        <v>1862.676</v>
      </c>
      <c r="H32" s="38">
        <v>0</v>
      </c>
      <c r="I32" s="38">
        <v>128.4903</v>
      </c>
      <c r="J32" s="38">
        <v>0</v>
      </c>
      <c r="K32" s="38">
        <v>206.8173</v>
      </c>
      <c r="L32" s="38">
        <f t="shared" si="0"/>
        <v>5599.6972</v>
      </c>
      <c r="M32" s="38">
        <v>1133.9193</v>
      </c>
      <c r="N32" s="38">
        <v>0</v>
      </c>
      <c r="O32" s="38">
        <v>66.7297</v>
      </c>
      <c r="P32" s="38">
        <v>0</v>
      </c>
      <c r="Q32" s="38">
        <v>0</v>
      </c>
      <c r="R32" s="38">
        <v>7.0575</v>
      </c>
      <c r="S32" s="38">
        <v>33.8684</v>
      </c>
      <c r="T32" s="38">
        <f t="shared" si="1"/>
        <v>1241.5749</v>
      </c>
      <c r="U32" s="38">
        <v>0</v>
      </c>
      <c r="V32" s="38">
        <v>0</v>
      </c>
      <c r="W32" s="38">
        <v>2479.7961</v>
      </c>
      <c r="X32" s="38">
        <v>0</v>
      </c>
      <c r="Y32" s="38">
        <v>0</v>
      </c>
      <c r="Z32" s="38">
        <v>0</v>
      </c>
      <c r="AA32" s="38">
        <v>1529.5116</v>
      </c>
      <c r="AB32" s="38">
        <f t="shared" si="2"/>
        <v>0.2401</v>
      </c>
      <c r="AC32" s="38">
        <f t="shared" si="3"/>
        <v>5251.1227</v>
      </c>
      <c r="AD32" s="38">
        <v>18.766785351213</v>
      </c>
      <c r="AE32" s="38">
        <v>10461.1907180302</v>
      </c>
      <c r="AF32" s="38">
        <v>12.49101528276</v>
      </c>
      <c r="AG32" s="38">
        <v>0</v>
      </c>
      <c r="AH32" s="38">
        <v>6.568839651844</v>
      </c>
      <c r="AI32" s="38">
        <v>0</v>
      </c>
      <c r="AJ32" s="38">
        <v>7.276201974773</v>
      </c>
      <c r="AK32" s="38">
        <v>10.729746569415</v>
      </c>
      <c r="AL32" s="38">
        <v>98.274534837601</v>
      </c>
      <c r="AM32" s="38">
        <f t="shared" si="6"/>
        <v>10615.2978416978</v>
      </c>
      <c r="AN32" s="38">
        <v>0</v>
      </c>
      <c r="AO32" s="38">
        <f t="shared" si="7"/>
        <v>10615.2978416978</v>
      </c>
      <c r="AP32" s="38">
        <v>319.337276956261</v>
      </c>
      <c r="AQ32" s="38"/>
      <c r="AR32" s="38"/>
      <c r="AS32" s="38"/>
      <c r="AT32" s="38">
        <v>0</v>
      </c>
      <c r="AU32" s="38">
        <v>0.2401</v>
      </c>
      <c r="AV32" s="50"/>
      <c r="AW32" s="50"/>
    </row>
    <row r="33" ht="21.6" customHeight="1" spans="1:49">
      <c r="A33" s="10" t="s">
        <v>40</v>
      </c>
      <c r="B33" s="39">
        <f t="shared" si="4"/>
        <v>-377.7201</v>
      </c>
      <c r="C33" s="39">
        <f t="shared" si="5"/>
        <v>-42.7469822433768</v>
      </c>
      <c r="D33" s="38">
        <v>898.4293</v>
      </c>
      <c r="E33" s="38">
        <v>1674.0616</v>
      </c>
      <c r="F33" s="38">
        <v>801.5414</v>
      </c>
      <c r="G33" s="38">
        <v>1874.398</v>
      </c>
      <c r="H33" s="38">
        <v>0</v>
      </c>
      <c r="I33" s="38">
        <v>358.9472</v>
      </c>
      <c r="J33" s="38">
        <v>0</v>
      </c>
      <c r="K33" s="38">
        <v>3.638</v>
      </c>
      <c r="L33" s="38">
        <f t="shared" si="0"/>
        <v>5611.0155</v>
      </c>
      <c r="M33" s="38">
        <v>1094.0181</v>
      </c>
      <c r="N33" s="38">
        <v>0</v>
      </c>
      <c r="O33" s="38">
        <v>68.2981</v>
      </c>
      <c r="P33" s="38">
        <v>0</v>
      </c>
      <c r="Q33" s="38">
        <v>0</v>
      </c>
      <c r="R33" s="38">
        <v>6.8057</v>
      </c>
      <c r="S33" s="38">
        <v>34.3207</v>
      </c>
      <c r="T33" s="38">
        <f t="shared" si="1"/>
        <v>1203.4426</v>
      </c>
      <c r="U33" s="38">
        <v>0</v>
      </c>
      <c r="V33" s="38">
        <v>0</v>
      </c>
      <c r="W33" s="38">
        <v>3308.3111</v>
      </c>
      <c r="X33" s="38">
        <v>0</v>
      </c>
      <c r="Y33" s="38">
        <v>0</v>
      </c>
      <c r="Z33" s="38">
        <v>0</v>
      </c>
      <c r="AA33" s="38">
        <v>1476.7334</v>
      </c>
      <c r="AB33" s="38">
        <f t="shared" si="2"/>
        <v>0.2485</v>
      </c>
      <c r="AC33" s="38">
        <f t="shared" si="3"/>
        <v>5988.7356</v>
      </c>
      <c r="AD33" s="38">
        <v>18.810763698709</v>
      </c>
      <c r="AE33" s="38">
        <v>10128.6170892516</v>
      </c>
      <c r="AF33" s="38">
        <v>12.490223528948</v>
      </c>
      <c r="AG33" s="38">
        <v>0</v>
      </c>
      <c r="AH33" s="38">
        <v>7.077477073488</v>
      </c>
      <c r="AI33" s="38">
        <v>0</v>
      </c>
      <c r="AJ33" s="38">
        <v>7.289628578868</v>
      </c>
      <c r="AK33" s="38">
        <v>10.823813204239</v>
      </c>
      <c r="AL33" s="38">
        <v>95.21572860537</v>
      </c>
      <c r="AM33" s="38">
        <f t="shared" si="6"/>
        <v>10280.3247239412</v>
      </c>
      <c r="AN33" s="38">
        <v>0</v>
      </c>
      <c r="AO33" s="38">
        <f t="shared" si="7"/>
        <v>10280.3247239412</v>
      </c>
      <c r="AP33" s="39">
        <v>-334.973117756623</v>
      </c>
      <c r="AQ33" s="38"/>
      <c r="AR33" s="38"/>
      <c r="AS33" s="38"/>
      <c r="AT33" s="38">
        <v>0</v>
      </c>
      <c r="AU33" s="38">
        <v>0.2485</v>
      </c>
      <c r="AV33" s="50"/>
      <c r="AW33" s="50"/>
    </row>
    <row r="34" ht="21.6" customHeight="1" spans="1:49">
      <c r="A34" s="10" t="s">
        <v>41</v>
      </c>
      <c r="B34" s="38">
        <f t="shared" si="4"/>
        <v>159.1796</v>
      </c>
      <c r="C34" s="39">
        <f t="shared" si="5"/>
        <v>-5.10902080844153</v>
      </c>
      <c r="D34" s="38">
        <v>998.7471</v>
      </c>
      <c r="E34" s="38">
        <v>1623.0418</v>
      </c>
      <c r="F34" s="38">
        <v>895.4373</v>
      </c>
      <c r="G34" s="38">
        <v>1869.6444</v>
      </c>
      <c r="H34" s="38">
        <v>0</v>
      </c>
      <c r="I34" s="38">
        <v>325.1471</v>
      </c>
      <c r="J34" s="38">
        <v>0</v>
      </c>
      <c r="K34" s="38">
        <v>0</v>
      </c>
      <c r="L34" s="38">
        <f t="shared" si="0"/>
        <v>5712.0177</v>
      </c>
      <c r="M34" s="38">
        <v>1190.2073</v>
      </c>
      <c r="N34" s="38">
        <v>0</v>
      </c>
      <c r="O34" s="38">
        <v>70.844</v>
      </c>
      <c r="P34" s="38">
        <v>0</v>
      </c>
      <c r="Q34" s="38">
        <v>0</v>
      </c>
      <c r="R34" s="38">
        <v>6.7872</v>
      </c>
      <c r="S34" s="38">
        <v>35.2767</v>
      </c>
      <c r="T34" s="38">
        <f t="shared" si="1"/>
        <v>1303.1152</v>
      </c>
      <c r="U34" s="38">
        <v>0</v>
      </c>
      <c r="V34" s="38">
        <v>0</v>
      </c>
      <c r="W34" s="38">
        <v>2943.8174</v>
      </c>
      <c r="X34" s="38">
        <v>0</v>
      </c>
      <c r="Y34" s="38">
        <v>0</v>
      </c>
      <c r="Z34" s="38">
        <v>0</v>
      </c>
      <c r="AA34" s="38">
        <v>1305.6515</v>
      </c>
      <c r="AB34" s="38">
        <f t="shared" si="2"/>
        <v>0.254</v>
      </c>
      <c r="AC34" s="38">
        <f t="shared" si="3"/>
        <v>5552.8381</v>
      </c>
      <c r="AD34" s="38">
        <v>18.520017485448</v>
      </c>
      <c r="AE34" s="38">
        <v>10299.4236045326</v>
      </c>
      <c r="AF34" s="38">
        <v>12.447888294205</v>
      </c>
      <c r="AG34" s="38">
        <v>0</v>
      </c>
      <c r="AH34" s="38">
        <v>7.347833171234</v>
      </c>
      <c r="AI34" s="38">
        <v>0</v>
      </c>
      <c r="AJ34" s="38">
        <v>6.744432076818</v>
      </c>
      <c r="AK34" s="38">
        <v>10.692280066953</v>
      </c>
      <c r="AL34" s="38">
        <v>89.437289122435</v>
      </c>
      <c r="AM34" s="38">
        <f t="shared" si="6"/>
        <v>10444.6133447497</v>
      </c>
      <c r="AN34" s="38">
        <v>0</v>
      </c>
      <c r="AO34" s="38">
        <f t="shared" si="7"/>
        <v>10444.6133447497</v>
      </c>
      <c r="AP34" s="38">
        <v>164.288620808442</v>
      </c>
      <c r="AQ34" s="38"/>
      <c r="AR34" s="38"/>
      <c r="AS34" s="38"/>
      <c r="AT34" s="38">
        <v>0</v>
      </c>
      <c r="AU34" s="38">
        <v>0.254</v>
      </c>
      <c r="AV34" s="50"/>
      <c r="AW34" s="50"/>
    </row>
    <row r="35" ht="21.6" customHeight="1" spans="1:49">
      <c r="A35" s="10" t="s">
        <v>42</v>
      </c>
      <c r="B35" s="39">
        <f t="shared" si="4"/>
        <v>-191.231500000001</v>
      </c>
      <c r="C35" s="39">
        <f t="shared" si="5"/>
        <v>-12.7955565976836</v>
      </c>
      <c r="D35" s="38">
        <v>993.1199</v>
      </c>
      <c r="E35" s="38">
        <v>1646.1293</v>
      </c>
      <c r="F35" s="38">
        <v>1100.942</v>
      </c>
      <c r="G35" s="38">
        <v>2008.2984</v>
      </c>
      <c r="H35" s="38">
        <v>0</v>
      </c>
      <c r="I35" s="38">
        <v>287.6659</v>
      </c>
      <c r="J35" s="38">
        <v>0</v>
      </c>
      <c r="K35" s="38">
        <v>0</v>
      </c>
      <c r="L35" s="38">
        <f t="shared" si="0"/>
        <v>6036.1555</v>
      </c>
      <c r="M35" s="38">
        <v>1218.0236</v>
      </c>
      <c r="N35" s="38">
        <v>0</v>
      </c>
      <c r="O35" s="38">
        <v>70.1407</v>
      </c>
      <c r="P35" s="38">
        <v>0</v>
      </c>
      <c r="Q35" s="38">
        <v>0</v>
      </c>
      <c r="R35" s="38">
        <v>7.2164</v>
      </c>
      <c r="S35" s="38">
        <v>36.7204</v>
      </c>
      <c r="T35" s="38">
        <f t="shared" si="1"/>
        <v>1332.1011</v>
      </c>
      <c r="U35" s="38">
        <v>0</v>
      </c>
      <c r="V35" s="38">
        <v>928.5565</v>
      </c>
      <c r="W35" s="38">
        <v>2202.5113</v>
      </c>
      <c r="X35" s="38">
        <v>0</v>
      </c>
      <c r="Y35" s="38">
        <v>0</v>
      </c>
      <c r="Z35" s="38">
        <v>0</v>
      </c>
      <c r="AA35" s="38">
        <v>1763.9452</v>
      </c>
      <c r="AB35" s="38">
        <f t="shared" si="2"/>
        <v>0.2729</v>
      </c>
      <c r="AC35" s="38">
        <f t="shared" si="3"/>
        <v>6227.387</v>
      </c>
      <c r="AD35" s="38">
        <v>18.394000358846</v>
      </c>
      <c r="AE35" s="38">
        <v>10111.6338725459</v>
      </c>
      <c r="AF35" s="38">
        <v>12.378098201469</v>
      </c>
      <c r="AG35" s="38">
        <v>0</v>
      </c>
      <c r="AH35" s="38">
        <v>7.302524257265</v>
      </c>
      <c r="AI35" s="38">
        <v>0</v>
      </c>
      <c r="AJ35" s="38">
        <v>7.453237438241</v>
      </c>
      <c r="AK35" s="38">
        <v>10.734057807644</v>
      </c>
      <c r="AL35" s="38">
        <v>98.281610737982</v>
      </c>
      <c r="AM35" s="38">
        <f t="shared" si="6"/>
        <v>10266.1774013473</v>
      </c>
      <c r="AN35" s="38">
        <v>0</v>
      </c>
      <c r="AO35" s="38">
        <f t="shared" si="7"/>
        <v>10266.1774013473</v>
      </c>
      <c r="AP35" s="39">
        <v>-178.435943402317</v>
      </c>
      <c r="AQ35" s="38"/>
      <c r="AR35" s="38"/>
      <c r="AS35" s="38"/>
      <c r="AT35" s="38">
        <v>0</v>
      </c>
      <c r="AU35" s="38">
        <v>0.2729</v>
      </c>
      <c r="AV35" s="50"/>
      <c r="AW35" s="50"/>
    </row>
    <row r="36" ht="21.6" customHeight="1" spans="1:49">
      <c r="A36" s="10" t="s">
        <v>43</v>
      </c>
      <c r="B36" s="39">
        <f t="shared" si="4"/>
        <v>-1305.2061</v>
      </c>
      <c r="C36" s="39">
        <f t="shared" si="5"/>
        <v>-335.810907559542</v>
      </c>
      <c r="D36" s="38">
        <v>800.0232</v>
      </c>
      <c r="E36" s="38">
        <v>1618.4345</v>
      </c>
      <c r="F36" s="38">
        <v>413.8974</v>
      </c>
      <c r="G36" s="38">
        <v>1163.0548</v>
      </c>
      <c r="H36" s="38">
        <v>0</v>
      </c>
      <c r="I36" s="38">
        <v>498.0038</v>
      </c>
      <c r="J36" s="38">
        <v>0</v>
      </c>
      <c r="K36" s="38">
        <v>0</v>
      </c>
      <c r="L36" s="38">
        <f t="shared" si="0"/>
        <v>4493.4137</v>
      </c>
      <c r="M36" s="38">
        <v>1103.6741</v>
      </c>
      <c r="N36" s="38">
        <v>0</v>
      </c>
      <c r="O36" s="38">
        <v>69.0922</v>
      </c>
      <c r="P36" s="38">
        <v>0</v>
      </c>
      <c r="Q36" s="38">
        <v>0</v>
      </c>
      <c r="R36" s="38">
        <v>7.5039</v>
      </c>
      <c r="S36" s="38">
        <v>36.0488</v>
      </c>
      <c r="T36" s="38">
        <f t="shared" si="1"/>
        <v>1216.319</v>
      </c>
      <c r="U36" s="38">
        <v>0</v>
      </c>
      <c r="V36" s="38">
        <v>1477.6449</v>
      </c>
      <c r="W36" s="38">
        <v>1438.3091</v>
      </c>
      <c r="X36" s="38">
        <v>0</v>
      </c>
      <c r="Y36" s="38">
        <v>0</v>
      </c>
      <c r="Z36" s="38">
        <v>0</v>
      </c>
      <c r="AA36" s="38">
        <v>1666.0704</v>
      </c>
      <c r="AB36" s="38">
        <f t="shared" si="2"/>
        <v>0.2764</v>
      </c>
      <c r="AC36" s="38">
        <f t="shared" si="3"/>
        <v>5798.6198</v>
      </c>
      <c r="AD36" s="38">
        <v>19.234168724394</v>
      </c>
      <c r="AE36" s="38">
        <v>9159.92413813716</v>
      </c>
      <c r="AF36" s="38">
        <v>12.432563711978</v>
      </c>
      <c r="AG36" s="38">
        <v>0</v>
      </c>
      <c r="AH36" s="38">
        <v>6.865464368055</v>
      </c>
      <c r="AI36" s="38">
        <v>0</v>
      </c>
      <c r="AJ36" s="38">
        <v>7.625511033593</v>
      </c>
      <c r="AK36" s="38">
        <v>11.699763322818</v>
      </c>
      <c r="AL36" s="38">
        <v>79.000599608889</v>
      </c>
      <c r="AM36" s="38">
        <f t="shared" si="6"/>
        <v>9296.78220890689</v>
      </c>
      <c r="AN36" s="38">
        <v>0</v>
      </c>
      <c r="AO36" s="38">
        <f t="shared" si="7"/>
        <v>9296.78220890689</v>
      </c>
      <c r="AP36" s="39">
        <v>-969.395192440457</v>
      </c>
      <c r="AQ36" s="38"/>
      <c r="AR36" s="38"/>
      <c r="AS36" s="38"/>
      <c r="AT36" s="38">
        <v>0</v>
      </c>
      <c r="AU36" s="38">
        <v>0.2764</v>
      </c>
      <c r="AV36" s="50"/>
      <c r="AW36" s="50"/>
    </row>
    <row r="37" ht="21.6" customHeight="1" spans="1:49">
      <c r="A37" s="10" t="s">
        <v>44</v>
      </c>
      <c r="B37" s="38">
        <f t="shared" si="4"/>
        <v>146.807300000001</v>
      </c>
      <c r="C37" s="38">
        <f t="shared" si="5"/>
        <v>200.634611286011</v>
      </c>
      <c r="D37" s="38">
        <v>1092.765</v>
      </c>
      <c r="E37" s="38">
        <v>1510.1801</v>
      </c>
      <c r="F37" s="38">
        <v>544.261</v>
      </c>
      <c r="G37" s="38">
        <v>410.1318</v>
      </c>
      <c r="H37" s="38">
        <v>0</v>
      </c>
      <c r="I37" s="38">
        <v>682.1839</v>
      </c>
      <c r="J37" s="38">
        <v>0</v>
      </c>
      <c r="K37" s="38">
        <v>0</v>
      </c>
      <c r="L37" s="38">
        <f t="shared" si="0"/>
        <v>4239.5218</v>
      </c>
      <c r="M37" s="38">
        <v>1121.3949</v>
      </c>
      <c r="N37" s="38">
        <v>0</v>
      </c>
      <c r="O37" s="38">
        <v>63.2301</v>
      </c>
      <c r="P37" s="38">
        <v>0</v>
      </c>
      <c r="Q37" s="38">
        <v>0</v>
      </c>
      <c r="R37" s="38">
        <v>6.7337</v>
      </c>
      <c r="S37" s="38">
        <v>31.7096</v>
      </c>
      <c r="T37" s="38">
        <f t="shared" si="1"/>
        <v>1223.0683</v>
      </c>
      <c r="U37" s="38">
        <v>0</v>
      </c>
      <c r="V37" s="38">
        <v>1476.0332</v>
      </c>
      <c r="W37" s="38">
        <v>660.9172</v>
      </c>
      <c r="X37" s="38">
        <v>0</v>
      </c>
      <c r="Y37" s="38">
        <v>0</v>
      </c>
      <c r="Z37" s="38">
        <v>0</v>
      </c>
      <c r="AA37" s="38">
        <v>732.1673</v>
      </c>
      <c r="AB37" s="38">
        <f t="shared" si="2"/>
        <v>0.5285</v>
      </c>
      <c r="AC37" s="38">
        <f t="shared" si="3"/>
        <v>4092.7145</v>
      </c>
      <c r="AD37" s="38">
        <v>18.729730703987</v>
      </c>
      <c r="AE37" s="38">
        <v>9096.67783534806</v>
      </c>
      <c r="AF37" s="38">
        <v>12.418197229133</v>
      </c>
      <c r="AG37" s="38">
        <v>0</v>
      </c>
      <c r="AH37" s="38">
        <v>6.963229033104</v>
      </c>
      <c r="AI37" s="38">
        <v>0</v>
      </c>
      <c r="AJ37" s="38">
        <v>7.353680157689</v>
      </c>
      <c r="AK37" s="38">
        <v>10.904961708514</v>
      </c>
      <c r="AL37" s="38">
        <v>89.907263440394</v>
      </c>
      <c r="AM37" s="38">
        <f t="shared" si="6"/>
        <v>9242.95489762088</v>
      </c>
      <c r="AN37" s="38">
        <v>0</v>
      </c>
      <c r="AO37" s="38">
        <f t="shared" si="7"/>
        <v>9242.95489762088</v>
      </c>
      <c r="AP37" s="39">
        <v>-53.8273112860097</v>
      </c>
      <c r="AQ37" s="38"/>
      <c r="AR37" s="38"/>
      <c r="AS37" s="38"/>
      <c r="AT37" s="38">
        <v>0.27</v>
      </c>
      <c r="AU37" s="38">
        <v>0.2585</v>
      </c>
      <c r="AV37" s="50"/>
      <c r="AW37" s="50"/>
    </row>
    <row r="38" ht="21.6" customHeight="1" spans="1:49">
      <c r="A38" s="10" t="s">
        <v>45</v>
      </c>
      <c r="B38" s="38">
        <f t="shared" si="4"/>
        <v>885.450199999999</v>
      </c>
      <c r="C38" s="38">
        <f t="shared" si="5"/>
        <v>287.291152917887</v>
      </c>
      <c r="D38" s="38">
        <v>1194.2079</v>
      </c>
      <c r="E38" s="38">
        <v>1660.0744</v>
      </c>
      <c r="F38" s="38">
        <v>1213.9986</v>
      </c>
      <c r="G38" s="38">
        <v>384.1151</v>
      </c>
      <c r="H38" s="38">
        <v>0</v>
      </c>
      <c r="I38" s="38">
        <v>620.3228</v>
      </c>
      <c r="J38" s="38">
        <v>0</v>
      </c>
      <c r="K38" s="38">
        <v>0</v>
      </c>
      <c r="L38" s="38">
        <f t="shared" si="0"/>
        <v>5072.7188</v>
      </c>
      <c r="M38" s="38">
        <v>914.9336</v>
      </c>
      <c r="N38" s="38">
        <v>0</v>
      </c>
      <c r="O38" s="38">
        <v>56.1983</v>
      </c>
      <c r="P38" s="38">
        <v>0</v>
      </c>
      <c r="Q38" s="38">
        <v>0</v>
      </c>
      <c r="R38" s="38">
        <v>5.4615</v>
      </c>
      <c r="S38" s="38">
        <v>29.556</v>
      </c>
      <c r="T38" s="38">
        <f t="shared" si="1"/>
        <v>1006.1494</v>
      </c>
      <c r="U38" s="38">
        <v>0</v>
      </c>
      <c r="V38" s="38">
        <v>1368.0544</v>
      </c>
      <c r="W38" s="38">
        <v>1014.0141</v>
      </c>
      <c r="X38" s="38">
        <v>0</v>
      </c>
      <c r="Y38" s="38">
        <v>0</v>
      </c>
      <c r="Z38" s="38">
        <v>0</v>
      </c>
      <c r="AA38" s="38">
        <v>798.533</v>
      </c>
      <c r="AB38" s="38">
        <f t="shared" si="2"/>
        <v>0.5177</v>
      </c>
      <c r="AC38" s="38">
        <f t="shared" si="3"/>
        <v>4187.2686</v>
      </c>
      <c r="AD38" s="38">
        <v>18.820365275128</v>
      </c>
      <c r="AE38" s="38">
        <v>9688.62323486576</v>
      </c>
      <c r="AF38" s="38">
        <v>12.438428663263</v>
      </c>
      <c r="AG38" s="38">
        <v>0</v>
      </c>
      <c r="AH38" s="38">
        <v>6.934290433602</v>
      </c>
      <c r="AI38" s="38">
        <v>0</v>
      </c>
      <c r="AJ38" s="38">
        <v>7.162459162195</v>
      </c>
      <c r="AK38" s="38">
        <v>10.948112405493</v>
      </c>
      <c r="AL38" s="38">
        <v>96.187053897544</v>
      </c>
      <c r="AM38" s="38">
        <f t="shared" si="6"/>
        <v>9841.11394470299</v>
      </c>
      <c r="AN38" s="38">
        <v>0</v>
      </c>
      <c r="AO38" s="38">
        <f t="shared" si="7"/>
        <v>9841.11394470299</v>
      </c>
      <c r="AP38" s="38">
        <v>598.159047082112</v>
      </c>
      <c r="AQ38" s="38"/>
      <c r="AR38" s="38"/>
      <c r="AS38" s="38"/>
      <c r="AT38" s="38">
        <v>0.2552</v>
      </c>
      <c r="AU38" s="38">
        <v>0.2625</v>
      </c>
      <c r="AV38" s="50"/>
      <c r="AW38" s="50"/>
    </row>
    <row r="39" ht="21.6" customHeight="1" spans="1:49">
      <c r="A39" s="10" t="s">
        <v>46</v>
      </c>
      <c r="B39" s="39">
        <f t="shared" si="4"/>
        <v>-419.3067</v>
      </c>
      <c r="C39" s="39">
        <f t="shared" si="5"/>
        <v>-29.5049807441055</v>
      </c>
      <c r="D39" s="38">
        <v>1194.8572</v>
      </c>
      <c r="E39" s="38">
        <v>1716.6158</v>
      </c>
      <c r="F39" s="38">
        <v>1354.2339</v>
      </c>
      <c r="G39" s="38">
        <v>443.0967</v>
      </c>
      <c r="H39" s="38">
        <v>0</v>
      </c>
      <c r="I39" s="38">
        <v>411.4394</v>
      </c>
      <c r="J39" s="38">
        <v>0</v>
      </c>
      <c r="K39" s="38">
        <v>0</v>
      </c>
      <c r="L39" s="38">
        <f t="shared" si="0"/>
        <v>5120.243</v>
      </c>
      <c r="M39" s="38">
        <v>992.2688</v>
      </c>
      <c r="N39" s="38">
        <v>0</v>
      </c>
      <c r="O39" s="38">
        <v>57.731</v>
      </c>
      <c r="P39" s="38">
        <v>0</v>
      </c>
      <c r="Q39" s="38">
        <v>0</v>
      </c>
      <c r="R39" s="38">
        <v>5.6307</v>
      </c>
      <c r="S39" s="38">
        <v>31.5962</v>
      </c>
      <c r="T39" s="38">
        <f t="shared" si="1"/>
        <v>1087.2267</v>
      </c>
      <c r="U39" s="38">
        <v>0</v>
      </c>
      <c r="V39" s="38">
        <v>1562.8206</v>
      </c>
      <c r="W39" s="38">
        <v>1131.1795</v>
      </c>
      <c r="X39" s="38">
        <v>0</v>
      </c>
      <c r="Y39" s="38">
        <v>0</v>
      </c>
      <c r="Z39" s="38">
        <v>0</v>
      </c>
      <c r="AA39" s="38">
        <v>1758.0685</v>
      </c>
      <c r="AB39" s="38">
        <f t="shared" si="2"/>
        <v>0.2544</v>
      </c>
      <c r="AC39" s="38">
        <f t="shared" si="3"/>
        <v>5539.5497</v>
      </c>
      <c r="AD39" s="38">
        <v>18.808371805268</v>
      </c>
      <c r="AE39" s="38">
        <v>9299.52209967063</v>
      </c>
      <c r="AF39" s="38">
        <v>12.41121031233</v>
      </c>
      <c r="AG39" s="38">
        <v>0</v>
      </c>
      <c r="AH39" s="38">
        <v>6.969960181964</v>
      </c>
      <c r="AI39" s="38">
        <v>0</v>
      </c>
      <c r="AJ39" s="38">
        <v>7.15203244801</v>
      </c>
      <c r="AK39" s="38">
        <v>10.955230730077</v>
      </c>
      <c r="AL39" s="38">
        <v>95.493320298817</v>
      </c>
      <c r="AM39" s="38">
        <f t="shared" si="6"/>
        <v>9451.31222544709</v>
      </c>
      <c r="AN39" s="38">
        <v>0</v>
      </c>
      <c r="AO39" s="38">
        <f t="shared" si="7"/>
        <v>9451.31222544709</v>
      </c>
      <c r="AP39" s="39">
        <v>-389.801719255895</v>
      </c>
      <c r="AQ39" s="38"/>
      <c r="AR39" s="38"/>
      <c r="AS39" s="38"/>
      <c r="AT39" s="38">
        <v>0</v>
      </c>
      <c r="AU39" s="38">
        <v>0.2544</v>
      </c>
      <c r="AV39" s="50"/>
      <c r="AW39" s="50"/>
    </row>
    <row r="40" ht="22.75" customHeight="1" spans="42:49">
      <c r="AP40" s="13"/>
      <c r="AQ40" s="47">
        <v>45656</v>
      </c>
      <c r="AR40" s="59">
        <v>11219.5179179118</v>
      </c>
      <c r="AS40" s="13"/>
      <c r="AU40" s="50"/>
      <c r="AV40" s="50"/>
      <c r="AW40" s="50"/>
    </row>
    <row r="41" ht="22.75" customHeight="1" spans="44:49">
      <c r="AR41" s="13"/>
      <c r="AU41" s="50"/>
      <c r="AV41" s="50"/>
      <c r="AW41" s="50"/>
    </row>
    <row r="42" ht="14.3" customHeight="1" spans="47:49">
      <c r="AU42" s="50"/>
      <c r="AV42" s="50"/>
      <c r="AW42" s="50"/>
    </row>
    <row r="43" ht="14.3" customHeight="1" spans="47:49">
      <c r="AU43" s="50"/>
      <c r="AV43" s="50"/>
      <c r="AW43" s="50"/>
    </row>
  </sheetData>
  <mergeCells count="31">
    <mergeCell ref="A1:C1"/>
    <mergeCell ref="A2:C2"/>
    <mergeCell ref="D3:L3"/>
    <mergeCell ref="M3:AC3"/>
    <mergeCell ref="AD3:AP3"/>
    <mergeCell ref="AT3:AU3"/>
    <mergeCell ref="D4:F4"/>
    <mergeCell ref="H4:K4"/>
    <mergeCell ref="M4:T4"/>
    <mergeCell ref="V4:AA4"/>
    <mergeCell ref="A3:A5"/>
    <mergeCell ref="B3:B5"/>
    <mergeCell ref="C3:C5"/>
    <mergeCell ref="G4:G5"/>
    <mergeCell ref="L4:L5"/>
    <mergeCell ref="U4:U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</mergeCells>
  <pageMargins left="0.75" right="0.75" top="0.270000010728836" bottom="0.270000010728836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43"/>
  <sheetViews>
    <sheetView workbookViewId="0">
      <selection activeCell="A1" sqref="A1:C1"/>
    </sheetView>
  </sheetViews>
  <sheetFormatPr defaultColWidth="10" defaultRowHeight="13.5"/>
  <cols>
    <col min="1" max="1" width="16.4083333333333" customWidth="1"/>
    <col min="2" max="34" width="11.2833333333333" customWidth="1"/>
    <col min="35" max="37" width="9" hidden="1"/>
    <col min="38" max="46" width="9.76666666666667" customWidth="1"/>
    <col min="47" max="52" width="8.2" customWidth="1"/>
    <col min="53" max="54" width="9.76666666666667" customWidth="1"/>
  </cols>
  <sheetData>
    <row r="1" ht="31.65" customHeight="1" spans="1:4">
      <c r="A1" s="7" t="s">
        <v>151</v>
      </c>
      <c r="B1" s="7"/>
      <c r="C1" s="7"/>
      <c r="D1" s="13"/>
    </row>
    <row r="2" ht="17.05" customHeight="1" spans="1:46">
      <c r="A2" s="16" t="s">
        <v>46</v>
      </c>
      <c r="B2" s="16"/>
      <c r="C2" s="16"/>
      <c r="D2" s="13"/>
      <c r="AN2" s="13"/>
      <c r="AO2" s="13"/>
      <c r="AP2" s="13"/>
      <c r="AQ2" s="13"/>
      <c r="AR2" s="13"/>
      <c r="AS2" s="13"/>
      <c r="AT2" s="13"/>
    </row>
    <row r="3" ht="17.05" customHeight="1" spans="1:52">
      <c r="A3" s="32" t="s">
        <v>1</v>
      </c>
      <c r="B3" s="32" t="s">
        <v>2</v>
      </c>
      <c r="C3" s="33" t="s">
        <v>3</v>
      </c>
      <c r="D3" s="34" t="s">
        <v>48</v>
      </c>
      <c r="E3" s="34"/>
      <c r="F3" s="34"/>
      <c r="G3" s="34"/>
      <c r="H3" s="34"/>
      <c r="I3" s="34"/>
      <c r="J3" s="34"/>
      <c r="K3" s="34"/>
      <c r="L3" s="40" t="s">
        <v>49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4" t="s">
        <v>50</v>
      </c>
      <c r="AA3" s="44"/>
      <c r="AB3" s="44"/>
      <c r="AC3" s="44"/>
      <c r="AD3" s="44"/>
      <c r="AE3" s="44"/>
      <c r="AF3" s="44"/>
      <c r="AG3" s="44"/>
      <c r="AH3" s="44"/>
      <c r="AM3" s="35" t="s">
        <v>51</v>
      </c>
      <c r="AN3" s="35"/>
      <c r="AO3" s="35"/>
      <c r="AP3" s="35"/>
      <c r="AQ3" s="35"/>
      <c r="AR3" s="35"/>
      <c r="AS3" s="35"/>
      <c r="AT3" s="35"/>
      <c r="AU3" s="35" t="s">
        <v>48</v>
      </c>
      <c r="AV3" s="35"/>
      <c r="AW3" s="35"/>
      <c r="AX3" s="35"/>
      <c r="AY3" s="35"/>
      <c r="AZ3" s="35"/>
    </row>
    <row r="4" ht="22.75" customHeight="1" spans="1:52">
      <c r="A4" s="32"/>
      <c r="B4" s="32"/>
      <c r="C4" s="33"/>
      <c r="D4" s="35" t="s">
        <v>152</v>
      </c>
      <c r="E4" s="8" t="s">
        <v>153</v>
      </c>
      <c r="F4" s="8"/>
      <c r="G4" s="8"/>
      <c r="H4" s="8" t="s">
        <v>154</v>
      </c>
      <c r="I4" s="8"/>
      <c r="J4" s="8" t="s">
        <v>155</v>
      </c>
      <c r="K4" s="42" t="s">
        <v>54</v>
      </c>
      <c r="L4" s="8" t="s">
        <v>55</v>
      </c>
      <c r="M4" s="8"/>
      <c r="N4" s="8"/>
      <c r="O4" s="8"/>
      <c r="P4" s="8"/>
      <c r="Q4" s="8"/>
      <c r="R4" s="8" t="s">
        <v>153</v>
      </c>
      <c r="S4" s="8"/>
      <c r="T4" s="8"/>
      <c r="U4" s="8" t="s">
        <v>154</v>
      </c>
      <c r="V4" s="8"/>
      <c r="W4" s="8" t="s">
        <v>155</v>
      </c>
      <c r="X4" s="35" t="s">
        <v>56</v>
      </c>
      <c r="Y4" s="40" t="s">
        <v>57</v>
      </c>
      <c r="Z4" s="35" t="s">
        <v>156</v>
      </c>
      <c r="AA4" s="35" t="s">
        <v>157</v>
      </c>
      <c r="AB4" s="35" t="s">
        <v>158</v>
      </c>
      <c r="AC4" s="35" t="s">
        <v>159</v>
      </c>
      <c r="AD4" s="35" t="s">
        <v>160</v>
      </c>
      <c r="AE4" s="60" t="s">
        <v>161</v>
      </c>
      <c r="AF4" s="60" t="s">
        <v>162</v>
      </c>
      <c r="AG4" s="44" t="s">
        <v>60</v>
      </c>
      <c r="AH4" s="44" t="s">
        <v>61</v>
      </c>
      <c r="AM4" s="35" t="s">
        <v>62</v>
      </c>
      <c r="AN4" s="35"/>
      <c r="AO4" s="35"/>
      <c r="AP4" s="35"/>
      <c r="AQ4" s="35" t="s">
        <v>63</v>
      </c>
      <c r="AR4" s="35"/>
      <c r="AS4" s="35"/>
      <c r="AT4" s="35"/>
      <c r="AU4" s="35" t="s">
        <v>163</v>
      </c>
      <c r="AV4" s="35"/>
      <c r="AW4" s="35"/>
      <c r="AX4" s="35"/>
      <c r="AY4" s="35"/>
      <c r="AZ4" s="35"/>
    </row>
    <row r="5" ht="39.9" customHeight="1" spans="1:54">
      <c r="A5" s="32"/>
      <c r="B5" s="32"/>
      <c r="C5" s="33"/>
      <c r="D5" s="35"/>
      <c r="E5" s="35" t="s">
        <v>164</v>
      </c>
      <c r="F5" s="35" t="s">
        <v>165</v>
      </c>
      <c r="G5" s="35" t="s">
        <v>166</v>
      </c>
      <c r="H5" s="35" t="s">
        <v>167</v>
      </c>
      <c r="I5" s="60" t="s">
        <v>168</v>
      </c>
      <c r="J5" s="35" t="s">
        <v>169</v>
      </c>
      <c r="K5" s="42"/>
      <c r="L5" s="35" t="s">
        <v>158</v>
      </c>
      <c r="M5" s="35" t="s">
        <v>156</v>
      </c>
      <c r="N5" s="35" t="s">
        <v>170</v>
      </c>
      <c r="O5" s="60" t="s">
        <v>171</v>
      </c>
      <c r="P5" s="60" t="s">
        <v>172</v>
      </c>
      <c r="Q5" s="40" t="s">
        <v>89</v>
      </c>
      <c r="R5" s="35" t="s">
        <v>164</v>
      </c>
      <c r="S5" s="35" t="s">
        <v>165</v>
      </c>
      <c r="T5" s="35" t="s">
        <v>166</v>
      </c>
      <c r="U5" s="35" t="s">
        <v>173</v>
      </c>
      <c r="V5" s="60" t="s">
        <v>174</v>
      </c>
      <c r="W5" s="35" t="s">
        <v>169</v>
      </c>
      <c r="X5" s="35"/>
      <c r="Y5" s="40"/>
      <c r="Z5" s="35"/>
      <c r="AA5" s="35"/>
      <c r="AB5" s="35"/>
      <c r="AC5" s="35"/>
      <c r="AD5" s="35"/>
      <c r="AE5" s="60"/>
      <c r="AF5" s="60"/>
      <c r="AG5" s="44"/>
      <c r="AH5" s="44"/>
      <c r="AM5" s="35" t="s">
        <v>175</v>
      </c>
      <c r="AN5" s="35" t="s">
        <v>176</v>
      </c>
      <c r="AO5" s="35" t="s">
        <v>177</v>
      </c>
      <c r="AP5" s="35" t="s">
        <v>162</v>
      </c>
      <c r="AQ5" s="35" t="s">
        <v>175</v>
      </c>
      <c r="AR5" s="35" t="s">
        <v>176</v>
      </c>
      <c r="AS5" s="35" t="s">
        <v>177</v>
      </c>
      <c r="AT5" s="35" t="s">
        <v>162</v>
      </c>
      <c r="AU5" s="35" t="s">
        <v>178</v>
      </c>
      <c r="AV5" s="35" t="s">
        <v>179</v>
      </c>
      <c r="AW5" s="35" t="s">
        <v>180</v>
      </c>
      <c r="AX5" s="35" t="s">
        <v>181</v>
      </c>
      <c r="AY5" s="35" t="s">
        <v>182</v>
      </c>
      <c r="AZ5" s="35" t="s">
        <v>183</v>
      </c>
      <c r="BA5" s="50"/>
      <c r="BB5" s="50"/>
    </row>
    <row r="6" ht="19.05" customHeight="1" spans="1:52">
      <c r="A6" s="36" t="s">
        <v>101</v>
      </c>
      <c r="B6" s="37"/>
      <c r="C6" s="37"/>
      <c r="D6" s="37">
        <v>6173.772</v>
      </c>
      <c r="E6" s="37">
        <v>0</v>
      </c>
      <c r="F6" s="37">
        <v>1125.1437</v>
      </c>
      <c r="G6" s="37">
        <v>0</v>
      </c>
      <c r="H6" s="37">
        <v>0</v>
      </c>
      <c r="I6" s="61">
        <v>121.8124</v>
      </c>
      <c r="J6" s="37">
        <v>150.959</v>
      </c>
      <c r="K6" s="37">
        <f t="shared" ref="K6:K39" si="0">SUM(D6,E6,F6,G6,H6,J6)</f>
        <v>7449.8747</v>
      </c>
      <c r="L6" s="37">
        <v>4883.37</v>
      </c>
      <c r="M6" s="37">
        <v>408.2373</v>
      </c>
      <c r="N6" s="37">
        <v>1180.6589</v>
      </c>
      <c r="O6" s="61">
        <v>2762.2609</v>
      </c>
      <c r="P6" s="61">
        <v>94.4401</v>
      </c>
      <c r="Q6" s="37">
        <f t="shared" ref="Q6:Q39" si="1">SUM(L6,M6,N6)</f>
        <v>6472.2662</v>
      </c>
      <c r="R6" s="37">
        <v>18559.6089</v>
      </c>
      <c r="S6" s="37">
        <v>942.1509</v>
      </c>
      <c r="T6" s="37">
        <v>6134.4534</v>
      </c>
      <c r="U6" s="37">
        <v>2918.4042</v>
      </c>
      <c r="V6" s="61">
        <v>0</v>
      </c>
      <c r="W6" s="37">
        <v>1724.9235</v>
      </c>
      <c r="X6" s="37">
        <f t="shared" ref="X6:X39" si="2">SUM(AM6,AN6,AQ6,AR6)</f>
        <v>0.1737</v>
      </c>
      <c r="Y6" s="37">
        <f t="shared" ref="Y6:Y39" si="3">SUM(Q6,R6,S6,T6,U6,W6,X6,)</f>
        <v>36751.9808</v>
      </c>
      <c r="Z6" s="58"/>
      <c r="AA6" s="58"/>
      <c r="AB6" s="58"/>
      <c r="AC6" s="58"/>
      <c r="AD6" s="58"/>
      <c r="AE6" s="58"/>
      <c r="AF6" s="58"/>
      <c r="AG6" s="58"/>
      <c r="AH6" s="58"/>
      <c r="AM6" s="37">
        <v>0.061</v>
      </c>
      <c r="AN6" s="37">
        <v>0</v>
      </c>
      <c r="AO6" s="61">
        <v>0.0643</v>
      </c>
      <c r="AP6" s="61">
        <v>0</v>
      </c>
      <c r="AQ6" s="37">
        <v>0.1085</v>
      </c>
      <c r="AR6" s="37">
        <v>0.0042</v>
      </c>
      <c r="AS6" s="61">
        <v>0.0176</v>
      </c>
      <c r="AT6" s="61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</row>
    <row r="7" ht="19.05" customHeight="1" spans="1:52">
      <c r="A7" s="36" t="s">
        <v>102</v>
      </c>
      <c r="B7" s="37"/>
      <c r="C7" s="37"/>
      <c r="D7" s="37">
        <v>6173.772</v>
      </c>
      <c r="E7" s="37">
        <v>0</v>
      </c>
      <c r="F7" s="37">
        <v>1125.1437</v>
      </c>
      <c r="G7" s="37">
        <v>0</v>
      </c>
      <c r="H7" s="37">
        <v>0</v>
      </c>
      <c r="I7" s="61">
        <v>121.8124</v>
      </c>
      <c r="J7" s="37">
        <v>150.959</v>
      </c>
      <c r="K7" s="37">
        <f t="shared" si="0"/>
        <v>7449.8747</v>
      </c>
      <c r="L7" s="37">
        <v>4883.37</v>
      </c>
      <c r="M7" s="37">
        <v>408.2373</v>
      </c>
      <c r="N7" s="37">
        <v>1180.6589</v>
      </c>
      <c r="O7" s="61">
        <v>2762.2609</v>
      </c>
      <c r="P7" s="61">
        <v>94.4401</v>
      </c>
      <c r="Q7" s="37">
        <f t="shared" si="1"/>
        <v>6472.2662</v>
      </c>
      <c r="R7" s="37">
        <v>18559.6089</v>
      </c>
      <c r="S7" s="37">
        <v>942.1509</v>
      </c>
      <c r="T7" s="37">
        <v>6134.4534</v>
      </c>
      <c r="U7" s="37">
        <v>2918.4042</v>
      </c>
      <c r="V7" s="61">
        <v>0</v>
      </c>
      <c r="W7" s="37">
        <v>1724.9235</v>
      </c>
      <c r="X7" s="37">
        <f t="shared" si="2"/>
        <v>0.1737</v>
      </c>
      <c r="Y7" s="37">
        <f t="shared" si="3"/>
        <v>36751.9808</v>
      </c>
      <c r="Z7" s="58"/>
      <c r="AA7" s="58"/>
      <c r="AB7" s="58"/>
      <c r="AC7" s="58"/>
      <c r="AD7" s="58"/>
      <c r="AE7" s="58"/>
      <c r="AF7" s="58"/>
      <c r="AG7" s="58"/>
      <c r="AH7" s="58"/>
      <c r="AM7" s="37">
        <v>0.061</v>
      </c>
      <c r="AN7" s="37">
        <v>0</v>
      </c>
      <c r="AO7" s="61">
        <v>0.0643</v>
      </c>
      <c r="AP7" s="61">
        <v>0</v>
      </c>
      <c r="AQ7" s="37">
        <v>0.1085</v>
      </c>
      <c r="AR7" s="37">
        <v>0.0042</v>
      </c>
      <c r="AS7" s="61">
        <v>0.0176</v>
      </c>
      <c r="AT7" s="61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</row>
    <row r="8" ht="19.05" customHeight="1" spans="1:54">
      <c r="A8" s="10" t="s">
        <v>15</v>
      </c>
      <c r="B8" s="39">
        <f t="shared" ref="B8:B39" si="4">K8-Y8</f>
        <v>-74.4056000000001</v>
      </c>
      <c r="C8" s="39">
        <f t="shared" ref="C8:C39" si="5">B8-AH8</f>
        <v>-1.25136616815709</v>
      </c>
      <c r="D8" s="38"/>
      <c r="E8" s="38">
        <v>0</v>
      </c>
      <c r="F8" s="38">
        <v>191.3104</v>
      </c>
      <c r="G8" s="38">
        <v>0</v>
      </c>
      <c r="H8" s="38">
        <v>0</v>
      </c>
      <c r="I8" s="61">
        <v>0</v>
      </c>
      <c r="J8" s="38">
        <v>0</v>
      </c>
      <c r="K8" s="38">
        <f t="shared" si="0"/>
        <v>191.3104</v>
      </c>
      <c r="L8" s="38">
        <v>141.7186</v>
      </c>
      <c r="M8" s="38">
        <v>18.9976</v>
      </c>
      <c r="N8" s="38">
        <v>37.1041</v>
      </c>
      <c r="O8" s="61">
        <v>66.5449</v>
      </c>
      <c r="P8" s="61">
        <v>0.5014</v>
      </c>
      <c r="Q8" s="38">
        <f t="shared" si="1"/>
        <v>197.8203</v>
      </c>
      <c r="R8" s="38">
        <v>0</v>
      </c>
      <c r="S8" s="38">
        <v>0</v>
      </c>
      <c r="T8" s="38">
        <v>0</v>
      </c>
      <c r="U8" s="38">
        <v>67.8923</v>
      </c>
      <c r="V8" s="61">
        <v>0</v>
      </c>
      <c r="W8" s="38">
        <v>0</v>
      </c>
      <c r="X8" s="38">
        <f t="shared" si="2"/>
        <v>0.0034</v>
      </c>
      <c r="Y8" s="38">
        <f t="shared" si="3"/>
        <v>265.716</v>
      </c>
      <c r="Z8" s="38">
        <v>29.979501547439</v>
      </c>
      <c r="AA8" s="38">
        <v>433.862909004414</v>
      </c>
      <c r="AB8" s="38">
        <v>1372.558536621</v>
      </c>
      <c r="AC8" s="38">
        <v>20.701723969004</v>
      </c>
      <c r="AD8" s="38">
        <v>49.664074106</v>
      </c>
      <c r="AE8" s="61">
        <v>205.888213901</v>
      </c>
      <c r="AF8" s="61">
        <v>0</v>
      </c>
      <c r="AG8" s="38">
        <f t="shared" ref="AG8:AG39" si="6">SUM(Z8:AD8)</f>
        <v>1906.76674524786</v>
      </c>
      <c r="AH8" s="39">
        <v>-73.154233831843</v>
      </c>
      <c r="AI8" s="13"/>
      <c r="AJ8" s="59"/>
      <c r="AM8" s="38">
        <v>0</v>
      </c>
      <c r="AN8" s="38">
        <v>0</v>
      </c>
      <c r="AO8" s="61">
        <v>0</v>
      </c>
      <c r="AP8" s="61">
        <v>0</v>
      </c>
      <c r="AQ8" s="38">
        <v>0.0029</v>
      </c>
      <c r="AR8" s="38">
        <v>0.0005</v>
      </c>
      <c r="AS8" s="61">
        <v>0.0008</v>
      </c>
      <c r="AT8" s="61">
        <v>0</v>
      </c>
      <c r="AU8" s="38">
        <v>0</v>
      </c>
      <c r="AV8" s="38">
        <v>0</v>
      </c>
      <c r="AW8" s="38">
        <v>0</v>
      </c>
      <c r="AX8" s="38">
        <v>0</v>
      </c>
      <c r="AY8" s="38">
        <v>0</v>
      </c>
      <c r="AZ8" s="38">
        <v>0</v>
      </c>
      <c r="BA8" s="50"/>
      <c r="BB8" s="50"/>
    </row>
    <row r="9" ht="19.05" customHeight="1" spans="1:54">
      <c r="A9" s="10" t="s">
        <v>16</v>
      </c>
      <c r="B9" s="39">
        <f t="shared" si="4"/>
        <v>-37.5288999999999</v>
      </c>
      <c r="C9" s="38">
        <f t="shared" si="5"/>
        <v>10.5522599243619</v>
      </c>
      <c r="D9" s="38">
        <v>0</v>
      </c>
      <c r="E9" s="38">
        <v>0</v>
      </c>
      <c r="F9" s="38">
        <v>234.0289</v>
      </c>
      <c r="G9" s="38">
        <v>0</v>
      </c>
      <c r="H9" s="38">
        <v>0</v>
      </c>
      <c r="I9" s="61">
        <v>0</v>
      </c>
      <c r="J9" s="38">
        <v>0</v>
      </c>
      <c r="K9" s="38">
        <f t="shared" si="0"/>
        <v>234.0289</v>
      </c>
      <c r="L9" s="38">
        <v>143.4606</v>
      </c>
      <c r="M9" s="38">
        <v>7.3806</v>
      </c>
      <c r="N9" s="38">
        <v>37.1823</v>
      </c>
      <c r="O9" s="61">
        <v>87.2988</v>
      </c>
      <c r="P9" s="61">
        <v>0.5008</v>
      </c>
      <c r="Q9" s="38">
        <f t="shared" si="1"/>
        <v>188.0235</v>
      </c>
      <c r="R9" s="38">
        <v>0</v>
      </c>
      <c r="S9" s="38">
        <v>0</v>
      </c>
      <c r="T9" s="38">
        <v>0</v>
      </c>
      <c r="U9" s="38">
        <v>83.5315</v>
      </c>
      <c r="V9" s="61">
        <v>0</v>
      </c>
      <c r="W9" s="38">
        <v>0</v>
      </c>
      <c r="X9" s="38">
        <f t="shared" si="2"/>
        <v>0.0028</v>
      </c>
      <c r="Y9" s="38">
        <f t="shared" si="3"/>
        <v>271.5578</v>
      </c>
      <c r="Z9" s="38">
        <v>30.673866839966</v>
      </c>
      <c r="AA9" s="38">
        <v>422.340151097385</v>
      </c>
      <c r="AB9" s="38">
        <v>1337.28517721925</v>
      </c>
      <c r="AC9" s="38">
        <v>20.411859275892</v>
      </c>
      <c r="AD9" s="38">
        <v>47.974530891</v>
      </c>
      <c r="AE9" s="61">
        <v>198.467300485</v>
      </c>
      <c r="AF9" s="61">
        <v>0</v>
      </c>
      <c r="AG9" s="38">
        <f t="shared" si="6"/>
        <v>1858.6855853235</v>
      </c>
      <c r="AH9" s="39">
        <v>-48.0811599243618</v>
      </c>
      <c r="AI9" s="13"/>
      <c r="AJ9" s="59"/>
      <c r="AM9" s="38">
        <v>0</v>
      </c>
      <c r="AN9" s="38">
        <v>0</v>
      </c>
      <c r="AO9" s="61">
        <v>0</v>
      </c>
      <c r="AP9" s="61">
        <v>0</v>
      </c>
      <c r="AQ9" s="38">
        <v>0.0027</v>
      </c>
      <c r="AR9" s="38">
        <v>0.0001</v>
      </c>
      <c r="AS9" s="61">
        <v>0.0007</v>
      </c>
      <c r="AT9" s="61">
        <v>0</v>
      </c>
      <c r="AU9" s="38">
        <v>0</v>
      </c>
      <c r="AV9" s="38">
        <v>0</v>
      </c>
      <c r="AW9" s="38">
        <v>0</v>
      </c>
      <c r="AX9" s="38">
        <v>0</v>
      </c>
      <c r="AY9" s="38">
        <v>0</v>
      </c>
      <c r="AZ9" s="38">
        <v>0</v>
      </c>
      <c r="BA9" s="50"/>
      <c r="BB9" s="50"/>
    </row>
    <row r="10" ht="19.05" customHeight="1" spans="1:54">
      <c r="A10" s="10" t="s">
        <v>17</v>
      </c>
      <c r="B10" s="38">
        <f t="shared" si="4"/>
        <v>45.5073</v>
      </c>
      <c r="C10" s="39">
        <f t="shared" si="5"/>
        <v>-17.393692354314</v>
      </c>
      <c r="D10" s="38">
        <v>0</v>
      </c>
      <c r="E10" s="38">
        <v>0</v>
      </c>
      <c r="F10" s="38">
        <v>329.8067</v>
      </c>
      <c r="G10" s="38">
        <v>0</v>
      </c>
      <c r="H10" s="38">
        <v>0</v>
      </c>
      <c r="I10" s="61">
        <v>0</v>
      </c>
      <c r="J10" s="38">
        <v>0</v>
      </c>
      <c r="K10" s="38">
        <f t="shared" si="0"/>
        <v>329.8067</v>
      </c>
      <c r="L10" s="38">
        <v>147.62</v>
      </c>
      <c r="M10" s="38">
        <v>12.9819</v>
      </c>
      <c r="N10" s="38">
        <v>37.0462</v>
      </c>
      <c r="O10" s="61">
        <v>79.8608</v>
      </c>
      <c r="P10" s="61">
        <v>0.5005</v>
      </c>
      <c r="Q10" s="38">
        <f t="shared" si="1"/>
        <v>197.6481</v>
      </c>
      <c r="R10" s="38">
        <v>0</v>
      </c>
      <c r="S10" s="38">
        <v>0</v>
      </c>
      <c r="T10" s="38">
        <v>0</v>
      </c>
      <c r="U10" s="38">
        <v>86.6488</v>
      </c>
      <c r="V10" s="61">
        <v>0</v>
      </c>
      <c r="W10" s="38">
        <v>0</v>
      </c>
      <c r="X10" s="38">
        <f t="shared" si="2"/>
        <v>0.0025</v>
      </c>
      <c r="Y10" s="38">
        <f t="shared" si="3"/>
        <v>284.2994</v>
      </c>
      <c r="Z10" s="38">
        <v>30.161896202952</v>
      </c>
      <c r="AA10" s="38">
        <v>439.641658509503</v>
      </c>
      <c r="AB10" s="38">
        <v>1381.30272944444</v>
      </c>
      <c r="AC10" s="38">
        <v>20.916528183913</v>
      </c>
      <c r="AD10" s="38">
        <v>49.563765337</v>
      </c>
      <c r="AE10" s="61">
        <v>205.542823897</v>
      </c>
      <c r="AF10" s="61">
        <v>0</v>
      </c>
      <c r="AG10" s="38">
        <f t="shared" si="6"/>
        <v>1921.58657767781</v>
      </c>
      <c r="AH10" s="38">
        <v>62.900992354314</v>
      </c>
      <c r="AI10" s="13"/>
      <c r="AJ10" s="59"/>
      <c r="AM10" s="38">
        <v>0</v>
      </c>
      <c r="AN10" s="38">
        <v>0</v>
      </c>
      <c r="AO10" s="61">
        <v>0</v>
      </c>
      <c r="AP10" s="61">
        <v>0</v>
      </c>
      <c r="AQ10" s="38">
        <v>0.0025</v>
      </c>
      <c r="AR10" s="38">
        <v>0</v>
      </c>
      <c r="AS10" s="61">
        <v>0.0006</v>
      </c>
      <c r="AT10" s="61">
        <v>0</v>
      </c>
      <c r="AU10" s="38">
        <v>0</v>
      </c>
      <c r="AV10" s="38">
        <v>0</v>
      </c>
      <c r="AW10" s="38">
        <v>0</v>
      </c>
      <c r="AX10" s="38">
        <v>0</v>
      </c>
      <c r="AY10" s="38">
        <v>0</v>
      </c>
      <c r="AZ10" s="38">
        <v>0</v>
      </c>
      <c r="BA10" s="50"/>
      <c r="BB10" s="50"/>
    </row>
    <row r="11" ht="19.05" customHeight="1" spans="1:54">
      <c r="A11" s="10" t="s">
        <v>18</v>
      </c>
      <c r="B11" s="38">
        <f t="shared" si="4"/>
        <v>10.7509000000001</v>
      </c>
      <c r="C11" s="38">
        <f t="shared" si="5"/>
        <v>30.6459454549841</v>
      </c>
      <c r="D11" s="38">
        <v>0</v>
      </c>
      <c r="E11" s="38">
        <v>0</v>
      </c>
      <c r="F11" s="38">
        <v>313.5522</v>
      </c>
      <c r="G11" s="38">
        <v>0</v>
      </c>
      <c r="H11" s="38">
        <v>0</v>
      </c>
      <c r="I11" s="61">
        <v>0</v>
      </c>
      <c r="J11" s="38">
        <v>0</v>
      </c>
      <c r="K11" s="38">
        <f t="shared" si="0"/>
        <v>313.5522</v>
      </c>
      <c r="L11" s="38">
        <v>163.3825</v>
      </c>
      <c r="M11" s="38">
        <v>14.5805</v>
      </c>
      <c r="N11" s="38">
        <v>37.185</v>
      </c>
      <c r="O11" s="61">
        <v>81.1057</v>
      </c>
      <c r="P11" s="61">
        <v>0.5011</v>
      </c>
      <c r="Q11" s="38">
        <f t="shared" si="1"/>
        <v>215.148</v>
      </c>
      <c r="R11" s="38">
        <v>0</v>
      </c>
      <c r="S11" s="38">
        <v>0</v>
      </c>
      <c r="T11" s="38">
        <v>0</v>
      </c>
      <c r="U11" s="38">
        <v>87.6494</v>
      </c>
      <c r="V11" s="61">
        <v>0</v>
      </c>
      <c r="W11" s="38">
        <v>0</v>
      </c>
      <c r="X11" s="38">
        <f t="shared" si="2"/>
        <v>0.0039</v>
      </c>
      <c r="Y11" s="38">
        <f t="shared" si="3"/>
        <v>302.8013</v>
      </c>
      <c r="Z11" s="38">
        <v>29.960680891417</v>
      </c>
      <c r="AA11" s="38">
        <v>431.955172305284</v>
      </c>
      <c r="AB11" s="38">
        <v>1369.20597075644</v>
      </c>
      <c r="AC11" s="38">
        <v>21.087273565685</v>
      </c>
      <c r="AD11" s="38">
        <v>49.482434704</v>
      </c>
      <c r="AE11" s="61">
        <v>205.336468761</v>
      </c>
      <c r="AF11" s="61">
        <v>0</v>
      </c>
      <c r="AG11" s="38">
        <f t="shared" si="6"/>
        <v>1901.69153222283</v>
      </c>
      <c r="AH11" s="39">
        <v>-19.895045454984</v>
      </c>
      <c r="AI11" s="13"/>
      <c r="AJ11" s="59"/>
      <c r="AM11" s="38">
        <v>0</v>
      </c>
      <c r="AN11" s="38">
        <v>0</v>
      </c>
      <c r="AO11" s="61">
        <v>0</v>
      </c>
      <c r="AP11" s="61">
        <v>0</v>
      </c>
      <c r="AQ11" s="38">
        <v>0.0038</v>
      </c>
      <c r="AR11" s="38">
        <v>0.0001</v>
      </c>
      <c r="AS11" s="61">
        <v>0.0008</v>
      </c>
      <c r="AT11" s="61">
        <v>0</v>
      </c>
      <c r="AU11" s="38">
        <v>0</v>
      </c>
      <c r="AV11" s="38">
        <v>0</v>
      </c>
      <c r="AW11" s="38">
        <v>0</v>
      </c>
      <c r="AX11" s="38">
        <v>0</v>
      </c>
      <c r="AY11" s="38">
        <v>0</v>
      </c>
      <c r="AZ11" s="38">
        <v>0</v>
      </c>
      <c r="BA11" s="50"/>
      <c r="BB11" s="50"/>
    </row>
    <row r="12" ht="19.05" customHeight="1" spans="1:54">
      <c r="A12" s="10" t="s">
        <v>19</v>
      </c>
      <c r="B12" s="39">
        <f t="shared" si="4"/>
        <v>-27.2445</v>
      </c>
      <c r="C12" s="39">
        <f t="shared" si="5"/>
        <v>-3.76523423575506</v>
      </c>
      <c r="D12" s="38">
        <v>0</v>
      </c>
      <c r="E12" s="38">
        <v>0</v>
      </c>
      <c r="F12" s="38">
        <v>246.0404</v>
      </c>
      <c r="G12" s="38">
        <v>0</v>
      </c>
      <c r="H12" s="38">
        <v>0</v>
      </c>
      <c r="I12" s="61">
        <v>0</v>
      </c>
      <c r="J12" s="38">
        <v>0</v>
      </c>
      <c r="K12" s="38">
        <f t="shared" si="0"/>
        <v>246.0404</v>
      </c>
      <c r="L12" s="38">
        <v>148.9353</v>
      </c>
      <c r="M12" s="38">
        <v>15.0815</v>
      </c>
      <c r="N12" s="38">
        <v>36.603</v>
      </c>
      <c r="O12" s="61">
        <v>70.9674</v>
      </c>
      <c r="P12" s="61">
        <v>3.2948</v>
      </c>
      <c r="Q12" s="38">
        <f t="shared" si="1"/>
        <v>200.6198</v>
      </c>
      <c r="R12" s="38">
        <v>0</v>
      </c>
      <c r="S12" s="38">
        <v>0</v>
      </c>
      <c r="T12" s="38">
        <v>0</v>
      </c>
      <c r="U12" s="38">
        <v>72.6612</v>
      </c>
      <c r="V12" s="61">
        <v>0</v>
      </c>
      <c r="W12" s="38">
        <v>0</v>
      </c>
      <c r="X12" s="38">
        <f t="shared" si="2"/>
        <v>0.0039</v>
      </c>
      <c r="Y12" s="38">
        <f t="shared" si="3"/>
        <v>273.2849</v>
      </c>
      <c r="Z12" s="38">
        <v>30.068670680964</v>
      </c>
      <c r="AA12" s="38">
        <v>429.091229371845</v>
      </c>
      <c r="AB12" s="38">
        <v>1349.25614756959</v>
      </c>
      <c r="AC12" s="38">
        <v>20.923552592183</v>
      </c>
      <c r="AD12" s="38">
        <v>48.872666244</v>
      </c>
      <c r="AE12" s="61">
        <v>201.806026405</v>
      </c>
      <c r="AF12" s="61">
        <v>0</v>
      </c>
      <c r="AG12" s="38">
        <f t="shared" si="6"/>
        <v>1878.21226645858</v>
      </c>
      <c r="AH12" s="39">
        <v>-23.4792657642449</v>
      </c>
      <c r="AI12" s="13"/>
      <c r="AJ12" s="59"/>
      <c r="AM12" s="38">
        <v>0</v>
      </c>
      <c r="AN12" s="38">
        <v>0</v>
      </c>
      <c r="AO12" s="61">
        <v>0</v>
      </c>
      <c r="AP12" s="61">
        <v>0</v>
      </c>
      <c r="AQ12" s="38">
        <v>0.0038</v>
      </c>
      <c r="AR12" s="38">
        <v>0.0001</v>
      </c>
      <c r="AS12" s="61">
        <v>0.0008</v>
      </c>
      <c r="AT12" s="61">
        <v>0</v>
      </c>
      <c r="AU12" s="38">
        <v>0</v>
      </c>
      <c r="AV12" s="38">
        <v>0</v>
      </c>
      <c r="AW12" s="38">
        <v>0</v>
      </c>
      <c r="AX12" s="38">
        <v>0</v>
      </c>
      <c r="AY12" s="38">
        <v>0</v>
      </c>
      <c r="AZ12" s="38">
        <v>0</v>
      </c>
      <c r="BA12" s="50"/>
      <c r="BB12" s="50"/>
    </row>
    <row r="13" ht="19.05" customHeight="1" spans="1:54">
      <c r="A13" s="10" t="s">
        <v>20</v>
      </c>
      <c r="B13" s="38">
        <f t="shared" si="4"/>
        <v>430.2057</v>
      </c>
      <c r="C13" s="39">
        <f t="shared" si="5"/>
        <v>-16.6822984908879</v>
      </c>
      <c r="D13" s="38">
        <v>1097.6658</v>
      </c>
      <c r="E13" s="38">
        <v>0</v>
      </c>
      <c r="F13" s="38">
        <v>1.7155</v>
      </c>
      <c r="G13" s="38">
        <v>0</v>
      </c>
      <c r="H13" s="38">
        <v>0</v>
      </c>
      <c r="I13" s="61">
        <v>0</v>
      </c>
      <c r="J13" s="38">
        <v>0</v>
      </c>
      <c r="K13" s="38">
        <f t="shared" si="0"/>
        <v>1099.3813</v>
      </c>
      <c r="L13" s="38">
        <v>188.1483</v>
      </c>
      <c r="M13" s="38">
        <v>14.6152</v>
      </c>
      <c r="N13" s="38">
        <v>37.1789</v>
      </c>
      <c r="O13" s="61">
        <v>66.9807</v>
      </c>
      <c r="P13" s="61">
        <v>3.495</v>
      </c>
      <c r="Q13" s="38">
        <f t="shared" si="1"/>
        <v>239.9424</v>
      </c>
      <c r="R13" s="38">
        <v>243.551</v>
      </c>
      <c r="S13" s="38">
        <v>0</v>
      </c>
      <c r="T13" s="38">
        <v>0</v>
      </c>
      <c r="U13" s="38">
        <v>81.0439</v>
      </c>
      <c r="V13" s="61">
        <v>0</v>
      </c>
      <c r="W13" s="38">
        <v>104.6353</v>
      </c>
      <c r="X13" s="38">
        <f t="shared" si="2"/>
        <v>0.003</v>
      </c>
      <c r="Y13" s="38">
        <f t="shared" si="3"/>
        <v>669.1756</v>
      </c>
      <c r="Z13" s="38">
        <v>29.949100171773</v>
      </c>
      <c r="AA13" s="38">
        <v>494.802647659674</v>
      </c>
      <c r="AB13" s="38">
        <v>1706.98634306675</v>
      </c>
      <c r="AC13" s="38">
        <v>25.859161404271</v>
      </c>
      <c r="AD13" s="38">
        <v>67.503012647</v>
      </c>
      <c r="AE13" s="61">
        <v>214.728301589</v>
      </c>
      <c r="AF13" s="61">
        <v>0</v>
      </c>
      <c r="AG13" s="38">
        <f t="shared" si="6"/>
        <v>2325.10026494947</v>
      </c>
      <c r="AH13" s="38">
        <v>446.887998490888</v>
      </c>
      <c r="AI13" s="13"/>
      <c r="AJ13" s="59"/>
      <c r="AM13" s="38">
        <v>0</v>
      </c>
      <c r="AN13" s="38">
        <v>0</v>
      </c>
      <c r="AO13" s="61">
        <v>0</v>
      </c>
      <c r="AP13" s="61">
        <v>0</v>
      </c>
      <c r="AQ13" s="38">
        <v>0.0029</v>
      </c>
      <c r="AR13" s="38">
        <v>0.0001</v>
      </c>
      <c r="AS13" s="61">
        <v>0.0006</v>
      </c>
      <c r="AT13" s="61">
        <v>0</v>
      </c>
      <c r="AU13" s="38">
        <v>0</v>
      </c>
      <c r="AV13" s="38">
        <v>0</v>
      </c>
      <c r="AW13" s="38">
        <v>0</v>
      </c>
      <c r="AX13" s="38">
        <v>0</v>
      </c>
      <c r="AY13" s="38">
        <v>0</v>
      </c>
      <c r="AZ13" s="38">
        <v>0</v>
      </c>
      <c r="BA13" s="50"/>
      <c r="BB13" s="50"/>
    </row>
    <row r="14" ht="19.05" customHeight="1" spans="1:54">
      <c r="A14" s="10" t="s">
        <v>21</v>
      </c>
      <c r="B14" s="39">
        <f t="shared" si="4"/>
        <v>-49.2109</v>
      </c>
      <c r="C14" s="38">
        <f t="shared" si="5"/>
        <v>7.25633111141678</v>
      </c>
      <c r="D14" s="38">
        <v>943.5713</v>
      </c>
      <c r="E14" s="38">
        <v>0</v>
      </c>
      <c r="F14" s="38">
        <v>0</v>
      </c>
      <c r="G14" s="38">
        <v>0</v>
      </c>
      <c r="H14" s="38">
        <v>0</v>
      </c>
      <c r="I14" s="61">
        <v>0</v>
      </c>
      <c r="J14" s="38">
        <v>0</v>
      </c>
      <c r="K14" s="38">
        <f t="shared" si="0"/>
        <v>943.5713</v>
      </c>
      <c r="L14" s="38">
        <v>186.4601</v>
      </c>
      <c r="M14" s="38">
        <v>15.0779</v>
      </c>
      <c r="N14" s="38">
        <v>37.1857</v>
      </c>
      <c r="O14" s="61">
        <v>64.9697</v>
      </c>
      <c r="P14" s="61">
        <v>3.5942</v>
      </c>
      <c r="Q14" s="38">
        <f t="shared" si="1"/>
        <v>238.7237</v>
      </c>
      <c r="R14" s="38">
        <v>288.1387</v>
      </c>
      <c r="S14" s="38">
        <v>0</v>
      </c>
      <c r="T14" s="38">
        <v>0</v>
      </c>
      <c r="U14" s="38">
        <v>105.6054</v>
      </c>
      <c r="V14" s="61">
        <v>0</v>
      </c>
      <c r="W14" s="38">
        <v>360.3122</v>
      </c>
      <c r="X14" s="38">
        <f t="shared" si="2"/>
        <v>0.0022</v>
      </c>
      <c r="Y14" s="38">
        <f t="shared" si="3"/>
        <v>992.7822</v>
      </c>
      <c r="Z14" s="38">
        <v>30.463324526147</v>
      </c>
      <c r="AA14" s="38">
        <v>492.051014186131</v>
      </c>
      <c r="AB14" s="38">
        <v>1658.12590071667</v>
      </c>
      <c r="AC14" s="38">
        <v>25.398174160107</v>
      </c>
      <c r="AD14" s="38">
        <v>62.594620249</v>
      </c>
      <c r="AE14" s="61">
        <v>248.798307093</v>
      </c>
      <c r="AF14" s="61">
        <v>0</v>
      </c>
      <c r="AG14" s="38">
        <f t="shared" si="6"/>
        <v>2268.63303383805</v>
      </c>
      <c r="AH14" s="39">
        <v>-56.4672311114168</v>
      </c>
      <c r="AI14" s="13"/>
      <c r="AJ14" s="59"/>
      <c r="AM14" s="38">
        <v>0</v>
      </c>
      <c r="AN14" s="38">
        <v>0</v>
      </c>
      <c r="AO14" s="61">
        <v>0</v>
      </c>
      <c r="AP14" s="61">
        <v>0</v>
      </c>
      <c r="AQ14" s="38">
        <v>0.0021</v>
      </c>
      <c r="AR14" s="38">
        <v>0.0001</v>
      </c>
      <c r="AS14" s="61">
        <v>0.0005</v>
      </c>
      <c r="AT14" s="61">
        <v>0</v>
      </c>
      <c r="AU14" s="38">
        <v>0</v>
      </c>
      <c r="AV14" s="38">
        <v>0</v>
      </c>
      <c r="AW14" s="38">
        <v>0</v>
      </c>
      <c r="AX14" s="38">
        <v>0</v>
      </c>
      <c r="AY14" s="38">
        <v>0</v>
      </c>
      <c r="AZ14" s="38">
        <v>0</v>
      </c>
      <c r="BA14" s="50"/>
      <c r="BB14" s="50"/>
    </row>
    <row r="15" ht="19.05" customHeight="1" spans="1:54">
      <c r="A15" s="10" t="s">
        <v>22</v>
      </c>
      <c r="B15" s="38">
        <f t="shared" si="4"/>
        <v>186.7854</v>
      </c>
      <c r="C15" s="39">
        <f t="shared" si="5"/>
        <v>-33.8003190154404</v>
      </c>
      <c r="D15" s="38">
        <v>1488.2116</v>
      </c>
      <c r="E15" s="38">
        <v>0</v>
      </c>
      <c r="F15" s="38">
        <v>0</v>
      </c>
      <c r="G15" s="38">
        <v>0</v>
      </c>
      <c r="H15" s="38">
        <v>0</v>
      </c>
      <c r="I15" s="61">
        <v>121.8124</v>
      </c>
      <c r="J15" s="38">
        <v>0</v>
      </c>
      <c r="K15" s="38">
        <f t="shared" si="0"/>
        <v>1488.2116</v>
      </c>
      <c r="L15" s="38">
        <v>184.4387</v>
      </c>
      <c r="M15" s="38">
        <v>14.4561</v>
      </c>
      <c r="N15" s="38">
        <v>43.6809</v>
      </c>
      <c r="O15" s="61">
        <v>75.5994</v>
      </c>
      <c r="P15" s="61">
        <v>3.8313</v>
      </c>
      <c r="Q15" s="38">
        <f t="shared" si="1"/>
        <v>242.5757</v>
      </c>
      <c r="R15" s="38">
        <v>892.2229</v>
      </c>
      <c r="S15" s="38">
        <v>0</v>
      </c>
      <c r="T15" s="38">
        <v>0</v>
      </c>
      <c r="U15" s="38">
        <v>0.2349</v>
      </c>
      <c r="V15" s="61">
        <v>0</v>
      </c>
      <c r="W15" s="38">
        <v>166.3887</v>
      </c>
      <c r="X15" s="38">
        <f t="shared" si="2"/>
        <v>0.004</v>
      </c>
      <c r="Y15" s="38">
        <f t="shared" si="3"/>
        <v>1301.4262</v>
      </c>
      <c r="Z15" s="38">
        <v>29.956883429314</v>
      </c>
      <c r="AA15" s="38">
        <v>509.123679226426</v>
      </c>
      <c r="AB15" s="38">
        <v>1843.48868264315</v>
      </c>
      <c r="AC15" s="38">
        <v>27.370959391599</v>
      </c>
      <c r="AD15" s="38">
        <v>79.278548163</v>
      </c>
      <c r="AE15" s="61">
        <v>247.74480307</v>
      </c>
      <c r="AF15" s="61">
        <v>0</v>
      </c>
      <c r="AG15" s="38">
        <f t="shared" si="6"/>
        <v>2489.21875285349</v>
      </c>
      <c r="AH15" s="38">
        <v>220.585719015441</v>
      </c>
      <c r="AI15" s="13"/>
      <c r="AJ15" s="59"/>
      <c r="AM15" s="38">
        <v>0</v>
      </c>
      <c r="AN15" s="38">
        <v>0</v>
      </c>
      <c r="AO15" s="61">
        <v>0</v>
      </c>
      <c r="AP15" s="61">
        <v>0</v>
      </c>
      <c r="AQ15" s="38">
        <v>0.0036</v>
      </c>
      <c r="AR15" s="38">
        <v>0.0004</v>
      </c>
      <c r="AS15" s="61">
        <v>0.0006</v>
      </c>
      <c r="AT15" s="61">
        <v>0</v>
      </c>
      <c r="AU15" s="38">
        <v>0</v>
      </c>
      <c r="AV15" s="38">
        <v>0</v>
      </c>
      <c r="AW15" s="38">
        <v>0</v>
      </c>
      <c r="AX15" s="38">
        <v>0</v>
      </c>
      <c r="AY15" s="38">
        <v>0</v>
      </c>
      <c r="AZ15" s="38">
        <v>0</v>
      </c>
      <c r="BA15" s="50"/>
      <c r="BB15" s="50"/>
    </row>
    <row r="16" ht="19.05" customHeight="1" spans="1:54">
      <c r="A16" s="10" t="s">
        <v>23</v>
      </c>
      <c r="B16" s="38">
        <f t="shared" si="4"/>
        <v>154.8647</v>
      </c>
      <c r="C16" s="39">
        <f t="shared" si="5"/>
        <v>-15.987935641605</v>
      </c>
      <c r="D16" s="38">
        <v>1799.5697</v>
      </c>
      <c r="E16" s="38">
        <v>0</v>
      </c>
      <c r="F16" s="38">
        <v>0</v>
      </c>
      <c r="G16" s="38">
        <v>0</v>
      </c>
      <c r="H16" s="38">
        <v>0</v>
      </c>
      <c r="I16" s="61">
        <v>0</v>
      </c>
      <c r="J16" s="38">
        <v>0</v>
      </c>
      <c r="K16" s="38">
        <f t="shared" si="0"/>
        <v>1799.5697</v>
      </c>
      <c r="L16" s="38">
        <v>160.3927</v>
      </c>
      <c r="M16" s="38">
        <v>14.3121</v>
      </c>
      <c r="N16" s="38">
        <v>37.1795</v>
      </c>
      <c r="O16" s="61">
        <v>76.3657</v>
      </c>
      <c r="P16" s="61">
        <v>3.8301</v>
      </c>
      <c r="Q16" s="38">
        <f t="shared" si="1"/>
        <v>211.8843</v>
      </c>
      <c r="R16" s="38">
        <v>501.573</v>
      </c>
      <c r="S16" s="38">
        <v>232.912</v>
      </c>
      <c r="T16" s="38">
        <v>343.0355</v>
      </c>
      <c r="U16" s="38">
        <v>151.6918</v>
      </c>
      <c r="V16" s="61">
        <v>0</v>
      </c>
      <c r="W16" s="38">
        <v>203.5448</v>
      </c>
      <c r="X16" s="38">
        <f t="shared" si="2"/>
        <v>0.0636</v>
      </c>
      <c r="Y16" s="38">
        <f t="shared" si="3"/>
        <v>1644.705</v>
      </c>
      <c r="Z16" s="38">
        <v>29.518964367895</v>
      </c>
      <c r="AA16" s="38">
        <v>583.141827821711</v>
      </c>
      <c r="AB16" s="38">
        <v>1940.0609421363</v>
      </c>
      <c r="AC16" s="38">
        <v>28.866097111195</v>
      </c>
      <c r="AD16" s="38">
        <v>78.483557058</v>
      </c>
      <c r="AE16" s="61">
        <v>319.622054977</v>
      </c>
      <c r="AF16" s="61">
        <v>0</v>
      </c>
      <c r="AG16" s="38">
        <f t="shared" si="6"/>
        <v>2660.0713884951</v>
      </c>
      <c r="AH16" s="38">
        <v>170.852635641605</v>
      </c>
      <c r="AI16" s="13"/>
      <c r="AJ16" s="59"/>
      <c r="AM16" s="38">
        <v>0.061</v>
      </c>
      <c r="AN16" s="38">
        <v>0</v>
      </c>
      <c r="AO16" s="61">
        <v>0</v>
      </c>
      <c r="AP16" s="61">
        <v>0</v>
      </c>
      <c r="AQ16" s="38">
        <v>0.0025</v>
      </c>
      <c r="AR16" s="38">
        <v>0.0001</v>
      </c>
      <c r="AS16" s="61">
        <v>0.0006</v>
      </c>
      <c r="AT16" s="61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0</v>
      </c>
      <c r="BA16" s="50"/>
      <c r="BB16" s="50"/>
    </row>
    <row r="17" ht="19.05" customHeight="1" spans="1:54">
      <c r="A17" s="10" t="s">
        <v>24</v>
      </c>
      <c r="B17" s="39">
        <f t="shared" si="4"/>
        <v>-440.6961</v>
      </c>
      <c r="C17" s="39">
        <f t="shared" si="5"/>
        <v>-14.7253764444592</v>
      </c>
      <c r="D17" s="38">
        <v>844.7536</v>
      </c>
      <c r="E17" s="38">
        <v>0</v>
      </c>
      <c r="F17" s="38">
        <v>0</v>
      </c>
      <c r="G17" s="38">
        <v>0</v>
      </c>
      <c r="H17" s="38">
        <v>0</v>
      </c>
      <c r="I17" s="61">
        <v>0</v>
      </c>
      <c r="J17" s="38">
        <v>0</v>
      </c>
      <c r="K17" s="38">
        <f t="shared" si="0"/>
        <v>844.7536</v>
      </c>
      <c r="L17" s="38">
        <v>160.0936</v>
      </c>
      <c r="M17" s="38">
        <v>14.3606</v>
      </c>
      <c r="N17" s="38">
        <v>37.1808</v>
      </c>
      <c r="O17" s="61">
        <v>81.9229</v>
      </c>
      <c r="P17" s="61">
        <v>3.6604</v>
      </c>
      <c r="Q17" s="38">
        <f t="shared" si="1"/>
        <v>211.635</v>
      </c>
      <c r="R17" s="38">
        <v>387.7214</v>
      </c>
      <c r="S17" s="38">
        <v>0</v>
      </c>
      <c r="T17" s="38">
        <v>658.8093</v>
      </c>
      <c r="U17" s="38">
        <v>27.2812</v>
      </c>
      <c r="V17" s="61">
        <v>0</v>
      </c>
      <c r="W17" s="38">
        <v>0</v>
      </c>
      <c r="X17" s="38">
        <f t="shared" si="2"/>
        <v>0.0028</v>
      </c>
      <c r="Y17" s="38">
        <f t="shared" si="3"/>
        <v>1285.4497</v>
      </c>
      <c r="Z17" s="38">
        <v>30.390443356851</v>
      </c>
      <c r="AA17" s="38">
        <v>507.833990635722</v>
      </c>
      <c r="AB17" s="38">
        <v>1611.86015340743</v>
      </c>
      <c r="AC17" s="38">
        <v>24.274567442557</v>
      </c>
      <c r="AD17" s="38">
        <v>59.741510097</v>
      </c>
      <c r="AE17" s="61">
        <v>246.194622411</v>
      </c>
      <c r="AF17" s="61">
        <v>0</v>
      </c>
      <c r="AG17" s="38">
        <f t="shared" si="6"/>
        <v>2234.10066493956</v>
      </c>
      <c r="AH17" s="39">
        <v>-425.970723555541</v>
      </c>
      <c r="AI17" s="13"/>
      <c r="AJ17" s="59"/>
      <c r="AM17" s="38">
        <v>0</v>
      </c>
      <c r="AN17" s="38">
        <v>0</v>
      </c>
      <c r="AO17" s="61">
        <v>0</v>
      </c>
      <c r="AP17" s="61">
        <v>0</v>
      </c>
      <c r="AQ17" s="38">
        <v>0.0027</v>
      </c>
      <c r="AR17" s="38">
        <v>0.0001</v>
      </c>
      <c r="AS17" s="61">
        <v>0.0006</v>
      </c>
      <c r="AT17" s="61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50"/>
      <c r="BB17" s="50"/>
    </row>
    <row r="18" ht="19.05" customHeight="1" spans="1:54">
      <c r="A18" s="10" t="s">
        <v>25</v>
      </c>
      <c r="B18" s="39">
        <f t="shared" si="4"/>
        <v>-1871.1604</v>
      </c>
      <c r="C18" s="39">
        <f t="shared" si="5"/>
        <v>-2131.23280451695</v>
      </c>
      <c r="D18" s="38"/>
      <c r="E18" s="38">
        <v>0</v>
      </c>
      <c r="F18" s="38">
        <v>0</v>
      </c>
      <c r="G18" s="38">
        <v>0</v>
      </c>
      <c r="H18" s="38">
        <v>0</v>
      </c>
      <c r="I18" s="61">
        <v>0</v>
      </c>
      <c r="J18" s="38">
        <v>0</v>
      </c>
      <c r="K18" s="38">
        <f t="shared" si="0"/>
        <v>0</v>
      </c>
      <c r="L18" s="38">
        <v>153.8789</v>
      </c>
      <c r="M18" s="38">
        <v>16.0746</v>
      </c>
      <c r="N18" s="38">
        <v>37.1854</v>
      </c>
      <c r="O18" s="61">
        <v>99.8734</v>
      </c>
      <c r="P18" s="61">
        <v>3.9905</v>
      </c>
      <c r="Q18" s="38">
        <f t="shared" si="1"/>
        <v>207.1389</v>
      </c>
      <c r="R18" s="38">
        <v>1112.3619</v>
      </c>
      <c r="S18" s="38">
        <v>0</v>
      </c>
      <c r="T18" s="38">
        <v>200.745</v>
      </c>
      <c r="U18" s="38">
        <v>180.5322</v>
      </c>
      <c r="V18" s="61">
        <v>0</v>
      </c>
      <c r="W18" s="38">
        <v>170.3717</v>
      </c>
      <c r="X18" s="38">
        <f t="shared" si="2"/>
        <v>0.0107</v>
      </c>
      <c r="Y18" s="38">
        <f t="shared" si="3"/>
        <v>1871.1604</v>
      </c>
      <c r="Z18" s="38">
        <v>29.79619338373</v>
      </c>
      <c r="AA18" s="38">
        <v>526.924588604555</v>
      </c>
      <c r="AB18" s="38">
        <v>1831.7359142143</v>
      </c>
      <c r="AC18" s="38">
        <v>26.075015370925</v>
      </c>
      <c r="AD18" s="38">
        <v>79.641357883</v>
      </c>
      <c r="AE18" s="61">
        <v>321.511975951</v>
      </c>
      <c r="AF18" s="61">
        <v>0</v>
      </c>
      <c r="AG18" s="38">
        <f t="shared" si="6"/>
        <v>2494.17306945651</v>
      </c>
      <c r="AH18" s="38">
        <v>260.072404516954</v>
      </c>
      <c r="AI18" s="13"/>
      <c r="AJ18" s="59"/>
      <c r="AM18" s="38">
        <v>0</v>
      </c>
      <c r="AN18" s="38">
        <v>0</v>
      </c>
      <c r="AO18" s="61">
        <v>0</v>
      </c>
      <c r="AP18" s="61">
        <v>0</v>
      </c>
      <c r="AQ18" s="38">
        <v>0.0106</v>
      </c>
      <c r="AR18" s="38">
        <v>0.0001</v>
      </c>
      <c r="AS18" s="61">
        <v>0.0005</v>
      </c>
      <c r="AT18" s="61">
        <v>0</v>
      </c>
      <c r="AU18" s="38">
        <v>0</v>
      </c>
      <c r="AV18" s="38">
        <v>0</v>
      </c>
      <c r="AW18" s="38">
        <v>0</v>
      </c>
      <c r="AX18" s="38">
        <v>0</v>
      </c>
      <c r="AY18" s="38">
        <v>0</v>
      </c>
      <c r="AZ18" s="38">
        <v>0</v>
      </c>
      <c r="BA18" s="50"/>
      <c r="BB18" s="50"/>
    </row>
    <row r="19" ht="19.05" customHeight="1" spans="1:54">
      <c r="A19" s="10" t="s">
        <v>26</v>
      </c>
      <c r="B19" s="39">
        <f t="shared" si="4"/>
        <v>-2458.04</v>
      </c>
      <c r="C19" s="39">
        <f t="shared" si="5"/>
        <v>-2576.037332583</v>
      </c>
      <c r="D19" s="38"/>
      <c r="E19" s="38">
        <v>0</v>
      </c>
      <c r="F19" s="38">
        <v>0</v>
      </c>
      <c r="G19" s="38">
        <v>0</v>
      </c>
      <c r="H19" s="38">
        <v>0</v>
      </c>
      <c r="I19" s="61">
        <v>0</v>
      </c>
      <c r="J19" s="38">
        <v>0</v>
      </c>
      <c r="K19" s="38">
        <f t="shared" si="0"/>
        <v>0</v>
      </c>
      <c r="L19" s="38">
        <v>156.2486</v>
      </c>
      <c r="M19" s="38">
        <v>15.6289</v>
      </c>
      <c r="N19" s="38">
        <v>38.1854</v>
      </c>
      <c r="O19" s="61">
        <v>122.3171</v>
      </c>
      <c r="P19" s="61">
        <v>4.0896</v>
      </c>
      <c r="Q19" s="38">
        <f t="shared" si="1"/>
        <v>210.0629</v>
      </c>
      <c r="R19" s="38">
        <v>1093.6691</v>
      </c>
      <c r="S19" s="38">
        <v>106.7126</v>
      </c>
      <c r="T19" s="38">
        <v>730.1265</v>
      </c>
      <c r="U19" s="38">
        <v>155.1444</v>
      </c>
      <c r="V19" s="61">
        <v>0</v>
      </c>
      <c r="W19" s="38">
        <v>162.3211</v>
      </c>
      <c r="X19" s="38">
        <f t="shared" si="2"/>
        <v>0.0034</v>
      </c>
      <c r="Y19" s="38">
        <f t="shared" si="3"/>
        <v>2458.04</v>
      </c>
      <c r="Z19" s="38">
        <v>29.863004221037</v>
      </c>
      <c r="AA19" s="38">
        <v>548.185747728651</v>
      </c>
      <c r="AB19" s="38">
        <v>1922.96622011366</v>
      </c>
      <c r="AC19" s="38">
        <v>26.200903520162</v>
      </c>
      <c r="AD19" s="38">
        <v>84.954526456</v>
      </c>
      <c r="AE19" s="61">
        <v>348.683955505</v>
      </c>
      <c r="AF19" s="61">
        <v>0</v>
      </c>
      <c r="AG19" s="38">
        <f t="shared" si="6"/>
        <v>2612.17040203951</v>
      </c>
      <c r="AH19" s="38">
        <v>117.997332582997</v>
      </c>
      <c r="AI19" s="13"/>
      <c r="AJ19" s="59"/>
      <c r="AM19" s="38">
        <v>0</v>
      </c>
      <c r="AN19" s="38">
        <v>0</v>
      </c>
      <c r="AO19" s="61">
        <v>0</v>
      </c>
      <c r="AP19" s="61">
        <v>0</v>
      </c>
      <c r="AQ19" s="38">
        <v>0.0033</v>
      </c>
      <c r="AR19" s="38">
        <v>0.0001</v>
      </c>
      <c r="AS19" s="61">
        <v>0.0009</v>
      </c>
      <c r="AT19" s="61">
        <v>0</v>
      </c>
      <c r="AU19" s="38">
        <v>0</v>
      </c>
      <c r="AV19" s="38">
        <v>0</v>
      </c>
      <c r="AW19" s="38">
        <v>0</v>
      </c>
      <c r="AX19" s="38">
        <v>0</v>
      </c>
      <c r="AY19" s="38">
        <v>0</v>
      </c>
      <c r="AZ19" s="38">
        <v>0</v>
      </c>
      <c r="BA19" s="50"/>
      <c r="BB19" s="50"/>
    </row>
    <row r="20" ht="19.05" customHeight="1" spans="1:54">
      <c r="A20" s="10" t="s">
        <v>27</v>
      </c>
      <c r="B20" s="39">
        <f t="shared" si="4"/>
        <v>-2602.7454</v>
      </c>
      <c r="C20" s="39">
        <f t="shared" si="5"/>
        <v>-2667.79704127575</v>
      </c>
      <c r="D20" s="38"/>
      <c r="E20" s="38">
        <v>0</v>
      </c>
      <c r="F20" s="38">
        <v>0</v>
      </c>
      <c r="G20" s="38">
        <v>0</v>
      </c>
      <c r="H20" s="38">
        <v>0</v>
      </c>
      <c r="I20" s="61">
        <v>0</v>
      </c>
      <c r="J20" s="38">
        <v>0</v>
      </c>
      <c r="K20" s="38">
        <f t="shared" si="0"/>
        <v>0</v>
      </c>
      <c r="L20" s="38">
        <v>175.6576</v>
      </c>
      <c r="M20" s="38">
        <v>14.0768</v>
      </c>
      <c r="N20" s="38">
        <v>37.1843</v>
      </c>
      <c r="O20" s="61">
        <v>111.09</v>
      </c>
      <c r="P20" s="61">
        <v>3.9922</v>
      </c>
      <c r="Q20" s="38">
        <f t="shared" si="1"/>
        <v>226.9187</v>
      </c>
      <c r="R20" s="38">
        <v>1088.7035</v>
      </c>
      <c r="S20" s="38">
        <v>279.5663</v>
      </c>
      <c r="T20" s="38">
        <v>950.7431</v>
      </c>
      <c r="U20" s="38">
        <v>56.8109</v>
      </c>
      <c r="V20" s="61">
        <v>0</v>
      </c>
      <c r="W20" s="38">
        <v>0</v>
      </c>
      <c r="X20" s="38">
        <f t="shared" si="2"/>
        <v>0.0029</v>
      </c>
      <c r="Y20" s="38">
        <f t="shared" si="3"/>
        <v>2602.7454</v>
      </c>
      <c r="Z20" s="38">
        <v>29.935555351585</v>
      </c>
      <c r="AA20" s="38">
        <v>567.813987611493</v>
      </c>
      <c r="AB20" s="38">
        <v>1980.94960318174</v>
      </c>
      <c r="AC20" s="38">
        <v>26.891309845437</v>
      </c>
      <c r="AD20" s="38">
        <v>71.631587325</v>
      </c>
      <c r="AE20" s="61">
        <v>291.244977917</v>
      </c>
      <c r="AF20" s="61">
        <v>0</v>
      </c>
      <c r="AG20" s="38">
        <f t="shared" si="6"/>
        <v>2677.22204331525</v>
      </c>
      <c r="AH20" s="38">
        <v>65.0516412757456</v>
      </c>
      <c r="AI20" s="13"/>
      <c r="AJ20" s="59"/>
      <c r="AM20" s="38">
        <v>0</v>
      </c>
      <c r="AN20" s="38">
        <v>0</v>
      </c>
      <c r="AO20" s="61">
        <v>0</v>
      </c>
      <c r="AP20" s="61">
        <v>0</v>
      </c>
      <c r="AQ20" s="38">
        <v>0.0028</v>
      </c>
      <c r="AR20" s="38">
        <v>0.0001</v>
      </c>
      <c r="AS20" s="61">
        <v>0.0006</v>
      </c>
      <c r="AT20" s="61">
        <v>0</v>
      </c>
      <c r="AU20" s="38">
        <v>0</v>
      </c>
      <c r="AV20" s="38">
        <v>0</v>
      </c>
      <c r="AW20" s="38">
        <v>0</v>
      </c>
      <c r="AX20" s="38">
        <v>0</v>
      </c>
      <c r="AY20" s="38">
        <v>0</v>
      </c>
      <c r="AZ20" s="38">
        <v>0</v>
      </c>
      <c r="BA20" s="50"/>
      <c r="BB20" s="50"/>
    </row>
    <row r="21" ht="19.05" customHeight="1" spans="1:54">
      <c r="A21" s="10" t="s">
        <v>28</v>
      </c>
      <c r="B21" s="39">
        <f t="shared" si="4"/>
        <v>-1927.1824</v>
      </c>
      <c r="C21" s="39">
        <f t="shared" si="5"/>
        <v>-1508.14484444444</v>
      </c>
      <c r="D21" s="38"/>
      <c r="E21" s="38">
        <v>0</v>
      </c>
      <c r="F21" s="38">
        <v>0</v>
      </c>
      <c r="G21" s="38">
        <v>0</v>
      </c>
      <c r="H21" s="38">
        <v>0</v>
      </c>
      <c r="I21" s="61">
        <v>0</v>
      </c>
      <c r="J21" s="38">
        <v>0</v>
      </c>
      <c r="K21" s="38">
        <f t="shared" si="0"/>
        <v>0</v>
      </c>
      <c r="L21" s="38">
        <v>172.247</v>
      </c>
      <c r="M21" s="38">
        <v>11.9505</v>
      </c>
      <c r="N21" s="38">
        <v>37.1834</v>
      </c>
      <c r="O21" s="61">
        <v>104.2172</v>
      </c>
      <c r="P21" s="61">
        <v>4.2077</v>
      </c>
      <c r="Q21" s="38">
        <f t="shared" si="1"/>
        <v>221.3809</v>
      </c>
      <c r="R21" s="38">
        <v>833.7868</v>
      </c>
      <c r="S21" s="38">
        <v>292.7644</v>
      </c>
      <c r="T21" s="38">
        <v>502.7441</v>
      </c>
      <c r="U21" s="38">
        <v>76.5038</v>
      </c>
      <c r="V21" s="61">
        <v>0</v>
      </c>
      <c r="W21" s="38">
        <v>0</v>
      </c>
      <c r="X21" s="38">
        <f t="shared" si="2"/>
        <v>0.0024</v>
      </c>
      <c r="Y21" s="38">
        <f t="shared" si="3"/>
        <v>1927.1824</v>
      </c>
      <c r="Z21" s="38">
        <v>30.195698547664</v>
      </c>
      <c r="AA21" s="38">
        <v>509.979801471339</v>
      </c>
      <c r="AB21" s="38">
        <v>1631.55158338732</v>
      </c>
      <c r="AC21" s="38">
        <v>24.023289893365</v>
      </c>
      <c r="AD21" s="38">
        <v>62.43411446</v>
      </c>
      <c r="AE21" s="61">
        <v>257.27307403</v>
      </c>
      <c r="AF21" s="61">
        <v>0</v>
      </c>
      <c r="AG21" s="38">
        <f t="shared" si="6"/>
        <v>2258.18448775969</v>
      </c>
      <c r="AH21" s="39">
        <v>-419.037555555565</v>
      </c>
      <c r="AI21" s="13"/>
      <c r="AJ21" s="59"/>
      <c r="AM21" s="38">
        <v>0</v>
      </c>
      <c r="AN21" s="38">
        <v>0</v>
      </c>
      <c r="AO21" s="61">
        <v>0</v>
      </c>
      <c r="AP21" s="61">
        <v>0</v>
      </c>
      <c r="AQ21" s="38">
        <v>0.0023</v>
      </c>
      <c r="AR21" s="38">
        <v>0.0001</v>
      </c>
      <c r="AS21" s="61">
        <v>0.0004</v>
      </c>
      <c r="AT21" s="61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0</v>
      </c>
      <c r="BA21" s="50"/>
      <c r="BB21" s="50"/>
    </row>
    <row r="22" ht="19.05" customHeight="1" spans="1:54">
      <c r="A22" s="10" t="s">
        <v>29</v>
      </c>
      <c r="B22" s="39">
        <f t="shared" si="4"/>
        <v>-1125.0147</v>
      </c>
      <c r="C22" s="39">
        <f t="shared" si="5"/>
        <v>-1111.79294175579</v>
      </c>
      <c r="D22" s="38"/>
      <c r="E22" s="38">
        <v>0</v>
      </c>
      <c r="F22" s="38">
        <v>0</v>
      </c>
      <c r="G22" s="38">
        <v>0</v>
      </c>
      <c r="H22" s="38">
        <v>0</v>
      </c>
      <c r="I22" s="61">
        <v>0</v>
      </c>
      <c r="J22" s="38">
        <v>0</v>
      </c>
      <c r="K22" s="38">
        <f t="shared" si="0"/>
        <v>0</v>
      </c>
      <c r="L22" s="38">
        <v>166.3497</v>
      </c>
      <c r="M22" s="38">
        <v>13.4979</v>
      </c>
      <c r="N22" s="38">
        <v>37.1832</v>
      </c>
      <c r="O22" s="61">
        <v>99.3786</v>
      </c>
      <c r="P22" s="61">
        <v>3.4419</v>
      </c>
      <c r="Q22" s="38">
        <f t="shared" si="1"/>
        <v>217.0308</v>
      </c>
      <c r="R22" s="38">
        <v>756.2296</v>
      </c>
      <c r="S22" s="38">
        <v>30.1956</v>
      </c>
      <c r="T22" s="38">
        <v>22.4628</v>
      </c>
      <c r="U22" s="38">
        <v>99.0923</v>
      </c>
      <c r="V22" s="61">
        <v>0</v>
      </c>
      <c r="W22" s="38">
        <v>0</v>
      </c>
      <c r="X22" s="38">
        <f t="shared" si="2"/>
        <v>0.0036</v>
      </c>
      <c r="Y22" s="38">
        <f t="shared" si="3"/>
        <v>1125.0147</v>
      </c>
      <c r="Z22" s="38">
        <v>30.073016093266</v>
      </c>
      <c r="AA22" s="38">
        <v>505.737805099696</v>
      </c>
      <c r="AB22" s="38">
        <v>1623.32248170855</v>
      </c>
      <c r="AC22" s="38">
        <v>24.117603553964</v>
      </c>
      <c r="AD22" s="38">
        <v>61.71182306</v>
      </c>
      <c r="AE22" s="61">
        <v>247.908552242</v>
      </c>
      <c r="AF22" s="61">
        <v>0</v>
      </c>
      <c r="AG22" s="38">
        <f t="shared" si="6"/>
        <v>2244.96272951548</v>
      </c>
      <c r="AH22" s="39">
        <v>-13.2217582442099</v>
      </c>
      <c r="AI22" s="13"/>
      <c r="AJ22" s="59"/>
      <c r="AM22" s="38">
        <v>0</v>
      </c>
      <c r="AN22" s="38">
        <v>0</v>
      </c>
      <c r="AO22" s="61">
        <v>0</v>
      </c>
      <c r="AP22" s="61">
        <v>0</v>
      </c>
      <c r="AQ22" s="38">
        <v>0.0032</v>
      </c>
      <c r="AR22" s="38">
        <v>0.0004</v>
      </c>
      <c r="AS22" s="61">
        <v>0.0006</v>
      </c>
      <c r="AT22" s="61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50"/>
      <c r="BB22" s="50"/>
    </row>
    <row r="23" ht="19.05" customHeight="1" spans="1:54">
      <c r="A23" s="10" t="s">
        <v>30</v>
      </c>
      <c r="B23" s="39">
        <f t="shared" si="4"/>
        <v>-701.0996</v>
      </c>
      <c r="C23" s="39">
        <f t="shared" si="5"/>
        <v>-620.509311193988</v>
      </c>
      <c r="D23" s="38"/>
      <c r="E23" s="38">
        <v>0</v>
      </c>
      <c r="F23" s="38">
        <v>0</v>
      </c>
      <c r="G23" s="38">
        <v>0</v>
      </c>
      <c r="H23" s="38">
        <v>0</v>
      </c>
      <c r="I23" s="61">
        <v>0</v>
      </c>
      <c r="J23" s="38">
        <v>0</v>
      </c>
      <c r="K23" s="38">
        <f t="shared" si="0"/>
        <v>0</v>
      </c>
      <c r="L23" s="38">
        <v>164.668</v>
      </c>
      <c r="M23" s="38">
        <v>13.8931</v>
      </c>
      <c r="N23" s="38">
        <v>37.1839</v>
      </c>
      <c r="O23" s="61">
        <v>107.3709</v>
      </c>
      <c r="P23" s="61">
        <v>3.7501</v>
      </c>
      <c r="Q23" s="38">
        <f t="shared" si="1"/>
        <v>215.745</v>
      </c>
      <c r="R23" s="38">
        <v>393.0957</v>
      </c>
      <c r="S23" s="38">
        <v>0</v>
      </c>
      <c r="T23" s="38">
        <v>0</v>
      </c>
      <c r="U23" s="38">
        <v>92.256</v>
      </c>
      <c r="V23" s="61">
        <v>0</v>
      </c>
      <c r="W23" s="38">
        <v>0</v>
      </c>
      <c r="X23" s="38">
        <f t="shared" si="2"/>
        <v>0.0029</v>
      </c>
      <c r="Y23" s="38">
        <f t="shared" si="3"/>
        <v>701.0996</v>
      </c>
      <c r="Z23" s="38">
        <v>29.894292145148</v>
      </c>
      <c r="AA23" s="38">
        <v>504.785262130421</v>
      </c>
      <c r="AB23" s="38">
        <v>1550.23968880474</v>
      </c>
      <c r="AC23" s="38">
        <v>23.137406109162</v>
      </c>
      <c r="AD23" s="38">
        <v>56.31579152</v>
      </c>
      <c r="AE23" s="61">
        <v>232.150714776</v>
      </c>
      <c r="AF23" s="61">
        <v>0</v>
      </c>
      <c r="AG23" s="38">
        <f t="shared" si="6"/>
        <v>2164.37244070947</v>
      </c>
      <c r="AH23" s="39">
        <v>-80.5902888060123</v>
      </c>
      <c r="AI23" s="13"/>
      <c r="AJ23" s="59"/>
      <c r="AM23" s="38">
        <v>0</v>
      </c>
      <c r="AN23" s="38">
        <v>0</v>
      </c>
      <c r="AO23" s="61">
        <v>0</v>
      </c>
      <c r="AP23" s="61">
        <v>0</v>
      </c>
      <c r="AQ23" s="38">
        <v>0.0028</v>
      </c>
      <c r="AR23" s="38">
        <v>0.0001</v>
      </c>
      <c r="AS23" s="61">
        <v>0.0006</v>
      </c>
      <c r="AT23" s="61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50"/>
      <c r="BB23" s="50"/>
    </row>
    <row r="24" ht="19.05" customHeight="1" spans="1:54">
      <c r="A24" s="10" t="s">
        <v>31</v>
      </c>
      <c r="B24" s="39">
        <f t="shared" si="4"/>
        <v>-642.1119</v>
      </c>
      <c r="C24" s="39">
        <f t="shared" si="5"/>
        <v>-561.630376307095</v>
      </c>
      <c r="D24" s="38"/>
      <c r="E24" s="38">
        <v>0</v>
      </c>
      <c r="F24" s="38">
        <v>0</v>
      </c>
      <c r="G24" s="38">
        <v>0</v>
      </c>
      <c r="H24" s="38">
        <v>0</v>
      </c>
      <c r="I24" s="61">
        <v>0</v>
      </c>
      <c r="J24" s="38">
        <v>0</v>
      </c>
      <c r="K24" s="38">
        <f t="shared" si="0"/>
        <v>0</v>
      </c>
      <c r="L24" s="38">
        <v>152.3366</v>
      </c>
      <c r="M24" s="38">
        <v>14.0124</v>
      </c>
      <c r="N24" s="38">
        <v>38.5646</v>
      </c>
      <c r="O24" s="61">
        <v>106.8656</v>
      </c>
      <c r="P24" s="61">
        <v>3.7917</v>
      </c>
      <c r="Q24" s="38">
        <f t="shared" si="1"/>
        <v>204.9136</v>
      </c>
      <c r="R24" s="38">
        <v>330.0394</v>
      </c>
      <c r="S24" s="38">
        <v>0</v>
      </c>
      <c r="T24" s="38">
        <v>0</v>
      </c>
      <c r="U24" s="38">
        <v>107.1557</v>
      </c>
      <c r="V24" s="61">
        <v>0</v>
      </c>
      <c r="W24" s="38">
        <v>0</v>
      </c>
      <c r="X24" s="38">
        <f t="shared" si="2"/>
        <v>0.0032</v>
      </c>
      <c r="Y24" s="38">
        <f t="shared" si="3"/>
        <v>642.1119</v>
      </c>
      <c r="Z24" s="38">
        <v>24.651528822805</v>
      </c>
      <c r="AA24" s="38">
        <v>474.83123666288</v>
      </c>
      <c r="AB24" s="38">
        <v>1506.29951397159</v>
      </c>
      <c r="AC24" s="38">
        <v>22.670077509284</v>
      </c>
      <c r="AD24" s="38">
        <v>55.43856005</v>
      </c>
      <c r="AE24" s="61">
        <v>226.916190338</v>
      </c>
      <c r="AF24" s="61">
        <v>0</v>
      </c>
      <c r="AG24" s="38">
        <f t="shared" si="6"/>
        <v>2083.89091701656</v>
      </c>
      <c r="AH24" s="39">
        <v>-80.4815236929048</v>
      </c>
      <c r="AI24" s="13"/>
      <c r="AJ24" s="59"/>
      <c r="AM24" s="38">
        <v>0</v>
      </c>
      <c r="AN24" s="38">
        <v>0</v>
      </c>
      <c r="AO24" s="61">
        <v>0</v>
      </c>
      <c r="AP24" s="61">
        <v>0</v>
      </c>
      <c r="AQ24" s="38">
        <v>0.0031</v>
      </c>
      <c r="AR24" s="38">
        <v>0.0001</v>
      </c>
      <c r="AS24" s="61">
        <v>0.0006</v>
      </c>
      <c r="AT24" s="61">
        <v>0</v>
      </c>
      <c r="AU24" s="38">
        <v>0</v>
      </c>
      <c r="AV24" s="38">
        <v>0</v>
      </c>
      <c r="AW24" s="38">
        <v>0</v>
      </c>
      <c r="AX24" s="38">
        <v>0</v>
      </c>
      <c r="AY24" s="38">
        <v>0</v>
      </c>
      <c r="AZ24" s="38">
        <v>0</v>
      </c>
      <c r="BA24" s="50"/>
      <c r="BB24" s="50"/>
    </row>
    <row r="25" ht="19.05" customHeight="1" spans="1:54">
      <c r="A25" s="10" t="s">
        <v>32</v>
      </c>
      <c r="B25" s="39">
        <f t="shared" si="4"/>
        <v>-747.1049</v>
      </c>
      <c r="C25" s="39">
        <f t="shared" si="5"/>
        <v>-680.943454482388</v>
      </c>
      <c r="D25" s="38"/>
      <c r="E25" s="38">
        <v>0</v>
      </c>
      <c r="F25" s="38">
        <v>0</v>
      </c>
      <c r="G25" s="38">
        <v>0</v>
      </c>
      <c r="H25" s="38">
        <v>0</v>
      </c>
      <c r="I25" s="61">
        <v>0</v>
      </c>
      <c r="J25" s="38">
        <v>0</v>
      </c>
      <c r="K25" s="38">
        <f t="shared" si="0"/>
        <v>0</v>
      </c>
      <c r="L25" s="38">
        <v>149.5587</v>
      </c>
      <c r="M25" s="38">
        <v>14.4564</v>
      </c>
      <c r="N25" s="38">
        <v>37.0251</v>
      </c>
      <c r="O25" s="61">
        <v>99.4878</v>
      </c>
      <c r="P25" s="61">
        <v>3.6286</v>
      </c>
      <c r="Q25" s="38">
        <f t="shared" si="1"/>
        <v>201.0402</v>
      </c>
      <c r="R25" s="38">
        <v>458.611</v>
      </c>
      <c r="S25" s="38">
        <v>0</v>
      </c>
      <c r="T25" s="38">
        <v>0</v>
      </c>
      <c r="U25" s="38">
        <v>87.4489</v>
      </c>
      <c r="V25" s="61">
        <v>0</v>
      </c>
      <c r="W25" s="38">
        <v>0</v>
      </c>
      <c r="X25" s="38">
        <f t="shared" si="2"/>
        <v>0.0048</v>
      </c>
      <c r="Y25" s="38">
        <f t="shared" si="3"/>
        <v>747.1049</v>
      </c>
      <c r="Z25" s="38">
        <v>30.282712819922</v>
      </c>
      <c r="AA25" s="38">
        <v>488.117203070804</v>
      </c>
      <c r="AB25" s="38">
        <v>1426.89930379762</v>
      </c>
      <c r="AC25" s="38">
        <v>21.184710337607</v>
      </c>
      <c r="AD25" s="38">
        <v>51.245541473</v>
      </c>
      <c r="AE25" s="61">
        <v>217.09277502</v>
      </c>
      <c r="AF25" s="61">
        <v>0</v>
      </c>
      <c r="AG25" s="38">
        <f t="shared" si="6"/>
        <v>2017.72947149895</v>
      </c>
      <c r="AH25" s="39">
        <v>-66.161445517612</v>
      </c>
      <c r="AI25" s="13"/>
      <c r="AJ25" s="59"/>
      <c r="AM25" s="38">
        <v>0</v>
      </c>
      <c r="AN25" s="38">
        <v>0</v>
      </c>
      <c r="AO25" s="61">
        <v>0</v>
      </c>
      <c r="AP25" s="61">
        <v>0</v>
      </c>
      <c r="AQ25" s="38">
        <v>0.0047</v>
      </c>
      <c r="AR25" s="38">
        <v>0.0001</v>
      </c>
      <c r="AS25" s="61">
        <v>0.0005</v>
      </c>
      <c r="AT25" s="61">
        <v>0</v>
      </c>
      <c r="AU25" s="38">
        <v>0</v>
      </c>
      <c r="AV25" s="38">
        <v>0</v>
      </c>
      <c r="AW25" s="38">
        <v>0</v>
      </c>
      <c r="AX25" s="38">
        <v>0</v>
      </c>
      <c r="AY25" s="38">
        <v>0</v>
      </c>
      <c r="AZ25" s="38">
        <v>0</v>
      </c>
      <c r="BA25" s="50"/>
      <c r="BB25" s="50"/>
    </row>
    <row r="26" ht="19.05" customHeight="1" spans="1:54">
      <c r="A26" s="10" t="s">
        <v>33</v>
      </c>
      <c r="B26" s="39">
        <f t="shared" si="4"/>
        <v>-592.2922</v>
      </c>
      <c r="C26" s="39">
        <f t="shared" si="5"/>
        <v>-466.108051151964</v>
      </c>
      <c r="D26" s="38"/>
      <c r="E26" s="38">
        <v>0</v>
      </c>
      <c r="F26" s="38">
        <v>0</v>
      </c>
      <c r="G26" s="38">
        <v>0</v>
      </c>
      <c r="H26" s="38">
        <v>0</v>
      </c>
      <c r="I26" s="61">
        <v>0</v>
      </c>
      <c r="J26" s="38">
        <v>0</v>
      </c>
      <c r="K26" s="38">
        <f t="shared" si="0"/>
        <v>0</v>
      </c>
      <c r="L26" s="38">
        <v>147.4659</v>
      </c>
      <c r="M26" s="38">
        <v>14.0166</v>
      </c>
      <c r="N26" s="38">
        <v>36.812</v>
      </c>
      <c r="O26" s="61">
        <v>100.1099</v>
      </c>
      <c r="P26" s="61">
        <v>3.7329</v>
      </c>
      <c r="Q26" s="38">
        <f t="shared" si="1"/>
        <v>198.2945</v>
      </c>
      <c r="R26" s="38">
        <v>288.1062</v>
      </c>
      <c r="S26" s="38">
        <v>0</v>
      </c>
      <c r="T26" s="38">
        <v>0</v>
      </c>
      <c r="U26" s="38">
        <v>105.8875</v>
      </c>
      <c r="V26" s="61">
        <v>0</v>
      </c>
      <c r="W26" s="38">
        <v>0</v>
      </c>
      <c r="X26" s="38">
        <f t="shared" si="2"/>
        <v>0.004</v>
      </c>
      <c r="Y26" s="38">
        <f t="shared" si="3"/>
        <v>592.2922</v>
      </c>
      <c r="Z26" s="38">
        <v>30.057296359386</v>
      </c>
      <c r="AA26" s="38">
        <v>422.372660933284</v>
      </c>
      <c r="AB26" s="38">
        <v>1366.95031895668</v>
      </c>
      <c r="AC26" s="38">
        <v>20.535078568564</v>
      </c>
      <c r="AD26" s="38">
        <v>51.629967833</v>
      </c>
      <c r="AE26" s="61">
        <v>210.65741039</v>
      </c>
      <c r="AF26" s="61">
        <v>0</v>
      </c>
      <c r="AG26" s="38">
        <f t="shared" si="6"/>
        <v>1891.54532265091</v>
      </c>
      <c r="AH26" s="39">
        <v>-126.184148848036</v>
      </c>
      <c r="AI26" s="13"/>
      <c r="AJ26" s="59"/>
      <c r="AM26" s="38">
        <v>0</v>
      </c>
      <c r="AN26" s="38">
        <v>0</v>
      </c>
      <c r="AO26" s="61">
        <v>0</v>
      </c>
      <c r="AP26" s="61">
        <v>0</v>
      </c>
      <c r="AQ26" s="38">
        <v>0.0039</v>
      </c>
      <c r="AR26" s="38">
        <v>0.0001</v>
      </c>
      <c r="AS26" s="61">
        <v>0.0007</v>
      </c>
      <c r="AT26" s="61">
        <v>0</v>
      </c>
      <c r="AU26" s="38">
        <v>0</v>
      </c>
      <c r="AV26" s="38">
        <v>0</v>
      </c>
      <c r="AW26" s="38">
        <v>0</v>
      </c>
      <c r="AX26" s="38">
        <v>0</v>
      </c>
      <c r="AY26" s="38">
        <v>0</v>
      </c>
      <c r="AZ26" s="38">
        <v>0</v>
      </c>
      <c r="BA26" s="50"/>
      <c r="BB26" s="50"/>
    </row>
    <row r="27" ht="19.05" customHeight="1" spans="1:54">
      <c r="A27" s="10" t="s">
        <v>34</v>
      </c>
      <c r="B27" s="39">
        <f t="shared" si="4"/>
        <v>-477.1272</v>
      </c>
      <c r="C27" s="39">
        <f t="shared" si="5"/>
        <v>-478.852749650261</v>
      </c>
      <c r="D27" s="38"/>
      <c r="E27" s="38">
        <v>0</v>
      </c>
      <c r="F27" s="38">
        <v>0</v>
      </c>
      <c r="G27" s="38">
        <v>0</v>
      </c>
      <c r="H27" s="38">
        <v>0</v>
      </c>
      <c r="I27" s="61">
        <v>0</v>
      </c>
      <c r="J27" s="38">
        <v>0</v>
      </c>
      <c r="K27" s="38">
        <f t="shared" si="0"/>
        <v>0</v>
      </c>
      <c r="L27" s="38">
        <v>156.2229</v>
      </c>
      <c r="M27" s="38">
        <v>13.8777</v>
      </c>
      <c r="N27" s="38">
        <v>36.1901</v>
      </c>
      <c r="O27" s="61">
        <v>110.4827</v>
      </c>
      <c r="P27" s="61">
        <v>4.0443</v>
      </c>
      <c r="Q27" s="38">
        <f t="shared" si="1"/>
        <v>206.2907</v>
      </c>
      <c r="R27" s="38">
        <v>159.8214</v>
      </c>
      <c r="S27" s="38">
        <v>0</v>
      </c>
      <c r="T27" s="38">
        <v>0</v>
      </c>
      <c r="U27" s="38">
        <v>111.0125</v>
      </c>
      <c r="V27" s="61">
        <v>0</v>
      </c>
      <c r="W27" s="38">
        <v>0</v>
      </c>
      <c r="X27" s="38">
        <f t="shared" si="2"/>
        <v>0.0026</v>
      </c>
      <c r="Y27" s="38">
        <f t="shared" si="3"/>
        <v>477.1272</v>
      </c>
      <c r="Z27" s="38">
        <v>29.995677452034</v>
      </c>
      <c r="AA27" s="38">
        <v>427.231312234373</v>
      </c>
      <c r="AB27" s="38">
        <v>1365.21771126424</v>
      </c>
      <c r="AC27" s="38">
        <v>20.742064702524</v>
      </c>
      <c r="AD27" s="38">
        <v>50.084106648</v>
      </c>
      <c r="AE27" s="61">
        <v>205.787452043</v>
      </c>
      <c r="AF27" s="61">
        <v>0</v>
      </c>
      <c r="AG27" s="38">
        <f t="shared" si="6"/>
        <v>1893.27087230117</v>
      </c>
      <c r="AH27" s="38">
        <v>1.72554965026097</v>
      </c>
      <c r="AI27" s="13"/>
      <c r="AJ27" s="59"/>
      <c r="AM27" s="38">
        <v>0</v>
      </c>
      <c r="AN27" s="38">
        <v>0</v>
      </c>
      <c r="AO27" s="61">
        <v>0</v>
      </c>
      <c r="AP27" s="61">
        <v>0</v>
      </c>
      <c r="AQ27" s="38">
        <v>0.0025</v>
      </c>
      <c r="AR27" s="38">
        <v>0.0001</v>
      </c>
      <c r="AS27" s="61">
        <v>0.0003</v>
      </c>
      <c r="AT27" s="61">
        <v>0</v>
      </c>
      <c r="AU27" s="38">
        <v>0</v>
      </c>
      <c r="AV27" s="38">
        <v>0</v>
      </c>
      <c r="AW27" s="38">
        <v>0</v>
      </c>
      <c r="AX27" s="38">
        <v>0</v>
      </c>
      <c r="AY27" s="38">
        <v>0</v>
      </c>
      <c r="AZ27" s="38">
        <v>0</v>
      </c>
      <c r="BA27" s="50"/>
      <c r="BB27" s="50"/>
    </row>
    <row r="28" ht="19.05" customHeight="1" spans="1:54">
      <c r="A28" s="10" t="s">
        <v>35</v>
      </c>
      <c r="B28" s="39">
        <f t="shared" si="4"/>
        <v>-387.3762</v>
      </c>
      <c r="C28" s="39">
        <f t="shared" si="5"/>
        <v>-492.208946376964</v>
      </c>
      <c r="D28" s="38"/>
      <c r="E28" s="38">
        <v>0</v>
      </c>
      <c r="F28" s="38">
        <v>0</v>
      </c>
      <c r="G28" s="38">
        <v>0</v>
      </c>
      <c r="H28" s="38">
        <v>0</v>
      </c>
      <c r="I28" s="61">
        <v>0</v>
      </c>
      <c r="J28" s="38">
        <v>150.959</v>
      </c>
      <c r="K28" s="38">
        <f t="shared" si="0"/>
        <v>150.959</v>
      </c>
      <c r="L28" s="38">
        <v>154.5222</v>
      </c>
      <c r="M28" s="38">
        <v>16.0642</v>
      </c>
      <c r="N28" s="38">
        <v>36.6846</v>
      </c>
      <c r="O28" s="61">
        <v>103.222</v>
      </c>
      <c r="P28" s="61">
        <v>3.6724</v>
      </c>
      <c r="Q28" s="38">
        <f t="shared" si="1"/>
        <v>207.271</v>
      </c>
      <c r="R28" s="38">
        <v>213.8052</v>
      </c>
      <c r="S28" s="38">
        <v>0</v>
      </c>
      <c r="T28" s="38">
        <v>0</v>
      </c>
      <c r="U28" s="38">
        <v>117.2559</v>
      </c>
      <c r="V28" s="61">
        <v>0</v>
      </c>
      <c r="W28" s="38">
        <v>0</v>
      </c>
      <c r="X28" s="38">
        <f t="shared" si="2"/>
        <v>0.0031</v>
      </c>
      <c r="Y28" s="38">
        <f t="shared" si="3"/>
        <v>538.3352</v>
      </c>
      <c r="Z28" s="38">
        <v>30.493044962541</v>
      </c>
      <c r="AA28" s="38">
        <v>449.556267869637</v>
      </c>
      <c r="AB28" s="38">
        <v>1443.73580297308</v>
      </c>
      <c r="AC28" s="38">
        <v>21.852142872884</v>
      </c>
      <c r="AD28" s="38">
        <v>52.46636</v>
      </c>
      <c r="AE28" s="61">
        <v>215.651881363</v>
      </c>
      <c r="AF28" s="61">
        <v>0</v>
      </c>
      <c r="AG28" s="38">
        <f t="shared" si="6"/>
        <v>1998.10361867814</v>
      </c>
      <c r="AH28" s="38">
        <v>104.832746376964</v>
      </c>
      <c r="AI28" s="13"/>
      <c r="AJ28" s="59"/>
      <c r="AM28" s="38">
        <v>0</v>
      </c>
      <c r="AN28" s="38">
        <v>0</v>
      </c>
      <c r="AO28" s="61">
        <v>0</v>
      </c>
      <c r="AP28" s="61">
        <v>0</v>
      </c>
      <c r="AQ28" s="38">
        <v>0.003</v>
      </c>
      <c r="AR28" s="38">
        <v>0.0001</v>
      </c>
      <c r="AS28" s="61">
        <v>0.0006</v>
      </c>
      <c r="AT28" s="61">
        <v>0</v>
      </c>
      <c r="AU28" s="38">
        <v>0</v>
      </c>
      <c r="AV28" s="38">
        <v>0</v>
      </c>
      <c r="AW28" s="38">
        <v>0</v>
      </c>
      <c r="AX28" s="38">
        <v>0</v>
      </c>
      <c r="AY28" s="38">
        <v>0</v>
      </c>
      <c r="AZ28" s="38">
        <v>0</v>
      </c>
      <c r="BA28" s="50"/>
      <c r="BB28" s="50"/>
    </row>
    <row r="29" ht="19.05" customHeight="1" spans="1:54">
      <c r="A29" s="10" t="s">
        <v>36</v>
      </c>
      <c r="B29" s="39">
        <f t="shared" si="4"/>
        <v>-703.5478</v>
      </c>
      <c r="C29" s="39">
        <f t="shared" si="5"/>
        <v>-792.741696344017</v>
      </c>
      <c r="D29" s="38"/>
      <c r="E29" s="38">
        <v>0</v>
      </c>
      <c r="F29" s="38">
        <v>0</v>
      </c>
      <c r="G29" s="38">
        <v>0</v>
      </c>
      <c r="H29" s="38">
        <v>0</v>
      </c>
      <c r="I29" s="61">
        <v>0</v>
      </c>
      <c r="J29" s="38">
        <v>0</v>
      </c>
      <c r="K29" s="38">
        <f t="shared" si="0"/>
        <v>0</v>
      </c>
      <c r="L29" s="38">
        <v>158.3428</v>
      </c>
      <c r="M29" s="38">
        <v>15.0968</v>
      </c>
      <c r="N29" s="38">
        <v>39.6813</v>
      </c>
      <c r="O29" s="61">
        <v>101.833</v>
      </c>
      <c r="P29" s="61">
        <v>2.7709</v>
      </c>
      <c r="Q29" s="38">
        <f t="shared" si="1"/>
        <v>213.1209</v>
      </c>
      <c r="R29" s="38">
        <v>370.3426</v>
      </c>
      <c r="S29" s="38">
        <v>0</v>
      </c>
      <c r="T29" s="38">
        <v>0</v>
      </c>
      <c r="U29" s="38">
        <v>120.08</v>
      </c>
      <c r="V29" s="61">
        <v>0</v>
      </c>
      <c r="W29" s="38">
        <v>0</v>
      </c>
      <c r="X29" s="38">
        <f t="shared" si="2"/>
        <v>0.0043</v>
      </c>
      <c r="Y29" s="38">
        <f t="shared" si="3"/>
        <v>703.5478</v>
      </c>
      <c r="Z29" s="38">
        <v>30.158431489582</v>
      </c>
      <c r="AA29" s="38">
        <v>492.890017872414</v>
      </c>
      <c r="AB29" s="38">
        <v>1487.82689597218</v>
      </c>
      <c r="AC29" s="38">
        <v>22.489729530975</v>
      </c>
      <c r="AD29" s="38">
        <v>53.932440157</v>
      </c>
      <c r="AE29" s="61">
        <v>223.711819585</v>
      </c>
      <c r="AF29" s="61">
        <v>0</v>
      </c>
      <c r="AG29" s="38">
        <f t="shared" si="6"/>
        <v>2087.29751502216</v>
      </c>
      <c r="AH29" s="38">
        <v>89.193896344017</v>
      </c>
      <c r="AI29" s="13"/>
      <c r="AJ29" s="59"/>
      <c r="AM29" s="38">
        <v>0</v>
      </c>
      <c r="AN29" s="38">
        <v>0</v>
      </c>
      <c r="AO29" s="61">
        <v>0</v>
      </c>
      <c r="AP29" s="61">
        <v>0</v>
      </c>
      <c r="AQ29" s="38">
        <v>0.0039</v>
      </c>
      <c r="AR29" s="38">
        <v>0.0004</v>
      </c>
      <c r="AS29" s="61">
        <v>0.0005</v>
      </c>
      <c r="AT29" s="61">
        <v>0</v>
      </c>
      <c r="AU29" s="38">
        <v>0</v>
      </c>
      <c r="AV29" s="38">
        <v>0</v>
      </c>
      <c r="AW29" s="38">
        <v>0</v>
      </c>
      <c r="AX29" s="38">
        <v>0</v>
      </c>
      <c r="AY29" s="38">
        <v>0</v>
      </c>
      <c r="AZ29" s="38">
        <v>0</v>
      </c>
      <c r="BA29" s="50"/>
      <c r="BB29" s="50"/>
    </row>
    <row r="30" ht="19.05" customHeight="1" spans="1:54">
      <c r="A30" s="10" t="s">
        <v>37</v>
      </c>
      <c r="B30" s="39">
        <f t="shared" si="4"/>
        <v>-1194.3031</v>
      </c>
      <c r="C30" s="39">
        <f t="shared" si="5"/>
        <v>-1547.11562465526</v>
      </c>
      <c r="D30" s="38"/>
      <c r="E30" s="38">
        <v>0</v>
      </c>
      <c r="F30" s="38">
        <v>0</v>
      </c>
      <c r="G30" s="38">
        <v>0</v>
      </c>
      <c r="H30" s="38">
        <v>0</v>
      </c>
      <c r="I30" s="61">
        <v>0</v>
      </c>
      <c r="J30" s="38">
        <v>0</v>
      </c>
      <c r="K30" s="38">
        <f t="shared" si="0"/>
        <v>0</v>
      </c>
      <c r="L30" s="38">
        <v>145.6593</v>
      </c>
      <c r="M30" s="38">
        <v>11.0328</v>
      </c>
      <c r="N30" s="38">
        <v>39.6813</v>
      </c>
      <c r="O30" s="61">
        <v>99.6827</v>
      </c>
      <c r="P30" s="61">
        <v>3.6077</v>
      </c>
      <c r="Q30" s="38">
        <f t="shared" si="1"/>
        <v>196.3734</v>
      </c>
      <c r="R30" s="38">
        <v>812.6313</v>
      </c>
      <c r="S30" s="38">
        <v>0</v>
      </c>
      <c r="T30" s="38">
        <v>0</v>
      </c>
      <c r="U30" s="38">
        <v>185.2941</v>
      </c>
      <c r="V30" s="61">
        <v>0</v>
      </c>
      <c r="W30" s="38">
        <v>0</v>
      </c>
      <c r="X30" s="38">
        <f t="shared" si="2"/>
        <v>0.0043</v>
      </c>
      <c r="Y30" s="38">
        <f t="shared" si="3"/>
        <v>1194.3031</v>
      </c>
      <c r="Z30" s="38">
        <v>30.061982509911</v>
      </c>
      <c r="AA30" s="38">
        <v>531.305850319484</v>
      </c>
      <c r="AB30" s="38">
        <v>1779.341685096</v>
      </c>
      <c r="AC30" s="38">
        <v>26.227139704018</v>
      </c>
      <c r="AD30" s="38">
        <v>73.173382048</v>
      </c>
      <c r="AE30" s="61">
        <v>298.106351396</v>
      </c>
      <c r="AF30" s="61">
        <v>0</v>
      </c>
      <c r="AG30" s="38">
        <f t="shared" si="6"/>
        <v>2440.11003967741</v>
      </c>
      <c r="AH30" s="38">
        <v>352.812524655255</v>
      </c>
      <c r="AI30" s="13"/>
      <c r="AJ30" s="59"/>
      <c r="AM30" s="38">
        <v>0</v>
      </c>
      <c r="AN30" s="38">
        <v>0</v>
      </c>
      <c r="AO30" s="61">
        <v>0</v>
      </c>
      <c r="AP30" s="61">
        <v>0</v>
      </c>
      <c r="AQ30" s="38">
        <v>0.0042</v>
      </c>
      <c r="AR30" s="38">
        <v>0.0001</v>
      </c>
      <c r="AS30" s="61">
        <v>0.0006</v>
      </c>
      <c r="AT30" s="61">
        <v>0</v>
      </c>
      <c r="AU30" s="38">
        <v>0</v>
      </c>
      <c r="AV30" s="38">
        <v>0</v>
      </c>
      <c r="AW30" s="38">
        <v>0</v>
      </c>
      <c r="AX30" s="38">
        <v>0</v>
      </c>
      <c r="AY30" s="38">
        <v>0</v>
      </c>
      <c r="AZ30" s="38">
        <v>0</v>
      </c>
      <c r="BA30" s="50"/>
      <c r="BB30" s="50"/>
    </row>
    <row r="31" ht="19.05" customHeight="1" spans="1:54">
      <c r="A31" s="10" t="s">
        <v>38</v>
      </c>
      <c r="B31" s="39">
        <f t="shared" si="4"/>
        <v>-1334.3063</v>
      </c>
      <c r="C31" s="39">
        <f t="shared" si="5"/>
        <v>-1160.88918182175</v>
      </c>
      <c r="D31" s="38"/>
      <c r="E31" s="38">
        <v>0</v>
      </c>
      <c r="F31" s="38">
        <v>0</v>
      </c>
      <c r="G31" s="38">
        <v>0</v>
      </c>
      <c r="H31" s="38">
        <v>0</v>
      </c>
      <c r="I31" s="61">
        <v>0</v>
      </c>
      <c r="J31" s="38">
        <v>0</v>
      </c>
      <c r="K31" s="38">
        <f t="shared" si="0"/>
        <v>0</v>
      </c>
      <c r="L31" s="38">
        <v>155.2497</v>
      </c>
      <c r="M31" s="38">
        <v>10.8833</v>
      </c>
      <c r="N31" s="38">
        <v>39.585</v>
      </c>
      <c r="O31" s="61">
        <v>91.7362</v>
      </c>
      <c r="P31" s="61">
        <v>3.3826</v>
      </c>
      <c r="Q31" s="38">
        <f t="shared" si="1"/>
        <v>205.718</v>
      </c>
      <c r="R31" s="38">
        <v>978.5436</v>
      </c>
      <c r="S31" s="38">
        <v>0</v>
      </c>
      <c r="T31" s="38">
        <v>0</v>
      </c>
      <c r="U31" s="38">
        <v>58.3557</v>
      </c>
      <c r="V31" s="61">
        <v>0</v>
      </c>
      <c r="W31" s="38">
        <v>91.6863</v>
      </c>
      <c r="X31" s="38">
        <f t="shared" si="2"/>
        <v>0.0027</v>
      </c>
      <c r="Y31" s="38">
        <f t="shared" si="3"/>
        <v>1334.3063</v>
      </c>
      <c r="Z31" s="38">
        <v>29.813709476107</v>
      </c>
      <c r="AA31" s="38">
        <v>508.320168707641</v>
      </c>
      <c r="AB31" s="38">
        <v>1641.57118790993</v>
      </c>
      <c r="AC31" s="38">
        <v>24.674792286485</v>
      </c>
      <c r="AD31" s="38">
        <v>62.313063119</v>
      </c>
      <c r="AE31" s="61">
        <v>258.144421543</v>
      </c>
      <c r="AF31" s="61">
        <v>0</v>
      </c>
      <c r="AG31" s="38">
        <f t="shared" si="6"/>
        <v>2266.69292149916</v>
      </c>
      <c r="AH31" s="39">
        <v>-173.417118178249</v>
      </c>
      <c r="AI31" s="13"/>
      <c r="AJ31" s="59"/>
      <c r="AM31" s="38">
        <v>0</v>
      </c>
      <c r="AN31" s="38">
        <v>0</v>
      </c>
      <c r="AO31" s="61">
        <v>0</v>
      </c>
      <c r="AP31" s="61">
        <v>0</v>
      </c>
      <c r="AQ31" s="38">
        <v>0.0026</v>
      </c>
      <c r="AR31" s="38">
        <v>0.0001</v>
      </c>
      <c r="AS31" s="61">
        <v>0.0005</v>
      </c>
      <c r="AT31" s="61">
        <v>0</v>
      </c>
      <c r="AU31" s="38">
        <v>0</v>
      </c>
      <c r="AV31" s="38">
        <v>0</v>
      </c>
      <c r="AW31" s="38">
        <v>0</v>
      </c>
      <c r="AX31" s="38">
        <v>0</v>
      </c>
      <c r="AY31" s="38">
        <v>0</v>
      </c>
      <c r="AZ31" s="38">
        <v>0</v>
      </c>
      <c r="BA31" s="50"/>
      <c r="BB31" s="50"/>
    </row>
    <row r="32" ht="19.05" customHeight="1" spans="1:54">
      <c r="A32" s="10" t="s">
        <v>39</v>
      </c>
      <c r="B32" s="39">
        <f t="shared" si="4"/>
        <v>-2149.7968</v>
      </c>
      <c r="C32" s="39">
        <f t="shared" si="5"/>
        <v>-2384.72373892272</v>
      </c>
      <c r="D32" s="38"/>
      <c r="E32" s="38">
        <v>0</v>
      </c>
      <c r="F32" s="38">
        <v>0</v>
      </c>
      <c r="G32" s="38">
        <v>0</v>
      </c>
      <c r="H32" s="38">
        <v>0</v>
      </c>
      <c r="I32" s="61">
        <v>0</v>
      </c>
      <c r="J32" s="38">
        <v>0</v>
      </c>
      <c r="K32" s="38">
        <f t="shared" si="0"/>
        <v>0</v>
      </c>
      <c r="L32" s="38">
        <v>157.2285</v>
      </c>
      <c r="M32" s="38">
        <v>12.0837</v>
      </c>
      <c r="N32" s="38">
        <v>38.4468</v>
      </c>
      <c r="O32" s="61">
        <v>77.2525</v>
      </c>
      <c r="P32" s="61">
        <v>2.86</v>
      </c>
      <c r="Q32" s="38">
        <f t="shared" si="1"/>
        <v>207.759</v>
      </c>
      <c r="R32" s="38">
        <v>991.4897</v>
      </c>
      <c r="S32" s="38">
        <v>0</v>
      </c>
      <c r="T32" s="38">
        <v>574.1108</v>
      </c>
      <c r="U32" s="38">
        <v>171.2546</v>
      </c>
      <c r="V32" s="61">
        <v>0</v>
      </c>
      <c r="W32" s="38">
        <v>205.1776</v>
      </c>
      <c r="X32" s="38">
        <f t="shared" si="2"/>
        <v>0.0051</v>
      </c>
      <c r="Y32" s="38">
        <f t="shared" si="3"/>
        <v>2149.7968</v>
      </c>
      <c r="Z32" s="38">
        <v>30.140930402054</v>
      </c>
      <c r="AA32" s="38">
        <v>519.861213786414</v>
      </c>
      <c r="AB32" s="38">
        <v>1841.67431311458</v>
      </c>
      <c r="AC32" s="38">
        <v>25.681561170835</v>
      </c>
      <c r="AD32" s="38">
        <v>84.261841948</v>
      </c>
      <c r="AE32" s="61">
        <v>348.041324751</v>
      </c>
      <c r="AF32" s="61">
        <v>0</v>
      </c>
      <c r="AG32" s="38">
        <f t="shared" si="6"/>
        <v>2501.61986042188</v>
      </c>
      <c r="AH32" s="38">
        <v>234.926938922723</v>
      </c>
      <c r="AI32" s="13"/>
      <c r="AJ32" s="59"/>
      <c r="AM32" s="38">
        <v>0</v>
      </c>
      <c r="AN32" s="38">
        <v>0</v>
      </c>
      <c r="AO32" s="61">
        <v>0</v>
      </c>
      <c r="AP32" s="61">
        <v>0</v>
      </c>
      <c r="AQ32" s="38">
        <v>0.005</v>
      </c>
      <c r="AR32" s="38">
        <v>0.0001</v>
      </c>
      <c r="AS32" s="61">
        <v>0.0004</v>
      </c>
      <c r="AT32" s="61">
        <v>0</v>
      </c>
      <c r="AU32" s="38">
        <v>0</v>
      </c>
      <c r="AV32" s="38">
        <v>0</v>
      </c>
      <c r="AW32" s="38">
        <v>0</v>
      </c>
      <c r="AX32" s="38">
        <v>0</v>
      </c>
      <c r="AY32" s="38">
        <v>0</v>
      </c>
      <c r="AZ32" s="38">
        <v>0</v>
      </c>
      <c r="BA32" s="50"/>
      <c r="BB32" s="50"/>
    </row>
    <row r="33" ht="19.05" customHeight="1" spans="1:54">
      <c r="A33" s="10" t="s">
        <v>40</v>
      </c>
      <c r="B33" s="39">
        <f t="shared" si="4"/>
        <v>-1849.4882</v>
      </c>
      <c r="C33" s="39">
        <f t="shared" si="5"/>
        <v>-2031.00043559065</v>
      </c>
      <c r="D33" s="38"/>
      <c r="E33" s="38">
        <v>0</v>
      </c>
      <c r="F33" s="38">
        <v>0</v>
      </c>
      <c r="G33" s="38">
        <v>0</v>
      </c>
      <c r="H33" s="38">
        <v>0</v>
      </c>
      <c r="I33" s="61">
        <v>0</v>
      </c>
      <c r="J33" s="38">
        <v>0</v>
      </c>
      <c r="K33" s="38">
        <f t="shared" si="0"/>
        <v>0</v>
      </c>
      <c r="L33" s="38">
        <v>151.1654</v>
      </c>
      <c r="M33" s="38">
        <v>13.5836</v>
      </c>
      <c r="N33" s="38">
        <v>38.466</v>
      </c>
      <c r="O33" s="61">
        <v>92.4546</v>
      </c>
      <c r="P33" s="61">
        <v>2.5986</v>
      </c>
      <c r="Q33" s="38">
        <f t="shared" si="1"/>
        <v>203.215</v>
      </c>
      <c r="R33" s="38">
        <v>1084.5981</v>
      </c>
      <c r="S33" s="38">
        <v>0</v>
      </c>
      <c r="T33" s="38">
        <v>467.6945</v>
      </c>
      <c r="U33" s="38">
        <v>64.4156</v>
      </c>
      <c r="V33" s="61">
        <v>0</v>
      </c>
      <c r="W33" s="38">
        <v>29.5616</v>
      </c>
      <c r="X33" s="38">
        <f t="shared" si="2"/>
        <v>0.0034</v>
      </c>
      <c r="Y33" s="38">
        <f t="shared" si="3"/>
        <v>1849.4882</v>
      </c>
      <c r="Z33" s="38">
        <v>29.929176783819</v>
      </c>
      <c r="AA33" s="38">
        <v>602.347225113767</v>
      </c>
      <c r="AB33" s="38">
        <v>1947.52538385031</v>
      </c>
      <c r="AC33" s="38">
        <v>29.042428085637</v>
      </c>
      <c r="AD33" s="38">
        <v>74.287882179</v>
      </c>
      <c r="AE33" s="61">
        <v>308.283587759</v>
      </c>
      <c r="AF33" s="61">
        <v>0</v>
      </c>
      <c r="AG33" s="38">
        <f t="shared" si="6"/>
        <v>2683.13209601253</v>
      </c>
      <c r="AH33" s="38">
        <v>181.512235590647</v>
      </c>
      <c r="AI33" s="13"/>
      <c r="AJ33" s="59"/>
      <c r="AM33" s="38">
        <v>0</v>
      </c>
      <c r="AN33" s="38">
        <v>0</v>
      </c>
      <c r="AO33" s="61">
        <v>0</v>
      </c>
      <c r="AP33" s="61">
        <v>0</v>
      </c>
      <c r="AQ33" s="38">
        <v>0.0033</v>
      </c>
      <c r="AR33" s="38">
        <v>0.0001</v>
      </c>
      <c r="AS33" s="61">
        <v>0.0006</v>
      </c>
      <c r="AT33" s="61">
        <v>0</v>
      </c>
      <c r="AU33" s="38">
        <v>0</v>
      </c>
      <c r="AV33" s="38">
        <v>0</v>
      </c>
      <c r="AW33" s="38">
        <v>0</v>
      </c>
      <c r="AX33" s="38">
        <v>0</v>
      </c>
      <c r="AY33" s="38">
        <v>0</v>
      </c>
      <c r="AZ33" s="38">
        <v>0</v>
      </c>
      <c r="BA33" s="50"/>
      <c r="BB33" s="50"/>
    </row>
    <row r="34" ht="19.05" customHeight="1" spans="1:54">
      <c r="A34" s="10" t="s">
        <v>41</v>
      </c>
      <c r="B34" s="39">
        <f t="shared" si="4"/>
        <v>-2008.0112</v>
      </c>
      <c r="C34" s="39">
        <f t="shared" si="5"/>
        <v>-2027.56727787919</v>
      </c>
      <c r="D34" s="38"/>
      <c r="E34" s="38">
        <v>0</v>
      </c>
      <c r="F34" s="38">
        <v>0</v>
      </c>
      <c r="G34" s="38">
        <v>0</v>
      </c>
      <c r="H34" s="38">
        <v>0</v>
      </c>
      <c r="I34" s="61">
        <v>0</v>
      </c>
      <c r="J34" s="38">
        <v>0</v>
      </c>
      <c r="K34" s="38">
        <f t="shared" si="0"/>
        <v>0</v>
      </c>
      <c r="L34" s="38">
        <v>151.874</v>
      </c>
      <c r="M34" s="38">
        <v>14.2194</v>
      </c>
      <c r="N34" s="38">
        <v>39.1757</v>
      </c>
      <c r="O34" s="61">
        <v>75.342</v>
      </c>
      <c r="P34" s="61">
        <v>2.4033</v>
      </c>
      <c r="Q34" s="38">
        <f t="shared" si="1"/>
        <v>205.2691</v>
      </c>
      <c r="R34" s="38">
        <v>860.5489</v>
      </c>
      <c r="S34" s="38">
        <v>0</v>
      </c>
      <c r="T34" s="38">
        <v>595.977</v>
      </c>
      <c r="U34" s="38">
        <v>115.2887</v>
      </c>
      <c r="V34" s="61">
        <v>0</v>
      </c>
      <c r="W34" s="38">
        <v>230.9242</v>
      </c>
      <c r="X34" s="38">
        <f t="shared" si="2"/>
        <v>0.0033</v>
      </c>
      <c r="Y34" s="38">
        <f t="shared" si="3"/>
        <v>2008.0112</v>
      </c>
      <c r="Z34" s="38">
        <v>30.059761520152</v>
      </c>
      <c r="AA34" s="38">
        <v>572.688379554756</v>
      </c>
      <c r="AB34" s="38">
        <v>1986.90134827018</v>
      </c>
      <c r="AC34" s="38">
        <v>28.000164076636</v>
      </c>
      <c r="AD34" s="38">
        <v>85.03852047</v>
      </c>
      <c r="AE34" s="61">
        <v>374.407952565</v>
      </c>
      <c r="AF34" s="61">
        <v>0</v>
      </c>
      <c r="AG34" s="38">
        <f t="shared" si="6"/>
        <v>2702.68817389172</v>
      </c>
      <c r="AH34" s="38">
        <v>19.5560778791919</v>
      </c>
      <c r="AI34" s="13"/>
      <c r="AJ34" s="59"/>
      <c r="AM34" s="38">
        <v>0</v>
      </c>
      <c r="AN34" s="38">
        <v>0</v>
      </c>
      <c r="AO34" s="61">
        <v>0</v>
      </c>
      <c r="AP34" s="61">
        <v>0</v>
      </c>
      <c r="AQ34" s="38">
        <v>0.0032</v>
      </c>
      <c r="AR34" s="38">
        <v>0.0001</v>
      </c>
      <c r="AS34" s="61">
        <v>0.0006</v>
      </c>
      <c r="AT34" s="61">
        <v>0</v>
      </c>
      <c r="AU34" s="38">
        <v>0</v>
      </c>
      <c r="AV34" s="38">
        <v>0</v>
      </c>
      <c r="AW34" s="38">
        <v>0</v>
      </c>
      <c r="AX34" s="38">
        <v>0</v>
      </c>
      <c r="AY34" s="38">
        <v>0</v>
      </c>
      <c r="AZ34" s="38">
        <v>0</v>
      </c>
      <c r="BA34" s="50"/>
      <c r="BB34" s="50"/>
    </row>
    <row r="35" ht="19.05" customHeight="1" spans="1:54">
      <c r="A35" s="10" t="s">
        <v>42</v>
      </c>
      <c r="B35" s="39">
        <f t="shared" si="4"/>
        <v>-1348.6981</v>
      </c>
      <c r="C35" s="39">
        <f t="shared" si="5"/>
        <v>-1292.73864391777</v>
      </c>
      <c r="D35" s="38"/>
      <c r="E35" s="38">
        <v>0</v>
      </c>
      <c r="F35" s="38">
        <v>0</v>
      </c>
      <c r="G35" s="38">
        <v>0</v>
      </c>
      <c r="H35" s="38">
        <v>0</v>
      </c>
      <c r="I35" s="61">
        <v>0</v>
      </c>
      <c r="J35" s="38">
        <v>0</v>
      </c>
      <c r="K35" s="38">
        <f t="shared" si="0"/>
        <v>0</v>
      </c>
      <c r="L35" s="38">
        <v>156.491</v>
      </c>
      <c r="M35" s="38">
        <v>10.5094</v>
      </c>
      <c r="N35" s="38">
        <v>39.1832</v>
      </c>
      <c r="O35" s="61">
        <v>82.2811</v>
      </c>
      <c r="P35" s="61">
        <v>2.4696</v>
      </c>
      <c r="Q35" s="38">
        <f t="shared" si="1"/>
        <v>206.1836</v>
      </c>
      <c r="R35" s="38">
        <v>849.5439</v>
      </c>
      <c r="S35" s="38">
        <v>0</v>
      </c>
      <c r="T35" s="38">
        <v>249.2163</v>
      </c>
      <c r="U35" s="38">
        <v>43.7521</v>
      </c>
      <c r="V35" s="61">
        <v>0</v>
      </c>
      <c r="W35" s="38">
        <v>0</v>
      </c>
      <c r="X35" s="38">
        <f t="shared" si="2"/>
        <v>0.0022</v>
      </c>
      <c r="Y35" s="38">
        <f t="shared" si="3"/>
        <v>1348.6981</v>
      </c>
      <c r="Z35" s="38">
        <v>30.079273532197</v>
      </c>
      <c r="AA35" s="38">
        <v>569.497411743636</v>
      </c>
      <c r="AB35" s="38">
        <v>1945.14219015235</v>
      </c>
      <c r="AC35" s="38">
        <v>28.547270306305</v>
      </c>
      <c r="AD35" s="38">
        <v>73.462572075</v>
      </c>
      <c r="AE35" s="61">
        <v>303.259554798</v>
      </c>
      <c r="AF35" s="61">
        <v>0</v>
      </c>
      <c r="AG35" s="38">
        <f t="shared" si="6"/>
        <v>2646.72871780949</v>
      </c>
      <c r="AH35" s="39">
        <v>-55.959456082232</v>
      </c>
      <c r="AI35" s="13"/>
      <c r="AJ35" s="59"/>
      <c r="AM35" s="38">
        <v>0</v>
      </c>
      <c r="AN35" s="38">
        <v>0</v>
      </c>
      <c r="AO35" s="61">
        <v>0</v>
      </c>
      <c r="AP35" s="61">
        <v>0</v>
      </c>
      <c r="AQ35" s="38">
        <v>0.0021</v>
      </c>
      <c r="AR35" s="38">
        <v>0.0001</v>
      </c>
      <c r="AS35" s="61">
        <v>0.0006</v>
      </c>
      <c r="AT35" s="61">
        <v>0</v>
      </c>
      <c r="AU35" s="38">
        <v>0</v>
      </c>
      <c r="AV35" s="38">
        <v>0</v>
      </c>
      <c r="AW35" s="38">
        <v>0</v>
      </c>
      <c r="AX35" s="38">
        <v>0</v>
      </c>
      <c r="AY35" s="38">
        <v>0</v>
      </c>
      <c r="AZ35" s="38">
        <v>0</v>
      </c>
      <c r="BA35" s="50"/>
      <c r="BB35" s="50"/>
    </row>
    <row r="36" ht="19.05" customHeight="1" spans="1:54">
      <c r="A36" s="10" t="s">
        <v>43</v>
      </c>
      <c r="B36" s="39">
        <f t="shared" si="4"/>
        <v>-1184.0376</v>
      </c>
      <c r="C36" s="39">
        <f t="shared" si="5"/>
        <v>-1203.14441042095</v>
      </c>
      <c r="D36" s="38"/>
      <c r="E36" s="38">
        <v>0</v>
      </c>
      <c r="F36" s="38">
        <v>0</v>
      </c>
      <c r="G36" s="38">
        <v>0</v>
      </c>
      <c r="H36" s="38">
        <v>0</v>
      </c>
      <c r="I36" s="61">
        <v>0</v>
      </c>
      <c r="J36" s="38">
        <v>0</v>
      </c>
      <c r="K36" s="38">
        <f t="shared" si="0"/>
        <v>0</v>
      </c>
      <c r="L36" s="38">
        <v>149.8001</v>
      </c>
      <c r="M36" s="38">
        <v>12.6478</v>
      </c>
      <c r="N36" s="38">
        <v>39.1825</v>
      </c>
      <c r="O36" s="61">
        <v>77.4161</v>
      </c>
      <c r="P36" s="61">
        <v>2.2752</v>
      </c>
      <c r="Q36" s="38">
        <f t="shared" si="1"/>
        <v>201.6304</v>
      </c>
      <c r="R36" s="38">
        <v>902.6269</v>
      </c>
      <c r="S36" s="38">
        <v>0</v>
      </c>
      <c r="T36" s="38">
        <v>0</v>
      </c>
      <c r="U36" s="38">
        <v>79.7741</v>
      </c>
      <c r="V36" s="61">
        <v>0</v>
      </c>
      <c r="W36" s="38">
        <v>0</v>
      </c>
      <c r="X36" s="38">
        <f t="shared" si="2"/>
        <v>0.0062</v>
      </c>
      <c r="Y36" s="38">
        <f t="shared" si="3"/>
        <v>1184.0376</v>
      </c>
      <c r="Z36" s="38">
        <v>30.138003365674</v>
      </c>
      <c r="AA36" s="38">
        <v>601.134289935609</v>
      </c>
      <c r="AB36" s="38">
        <v>1931.38896977416</v>
      </c>
      <c r="AC36" s="38">
        <v>29.263745896001</v>
      </c>
      <c r="AD36" s="38">
        <v>73.910519259</v>
      </c>
      <c r="AE36" s="61">
        <v>303.962614652</v>
      </c>
      <c r="AF36" s="61">
        <v>0</v>
      </c>
      <c r="AG36" s="38">
        <f t="shared" si="6"/>
        <v>2665.83552823045</v>
      </c>
      <c r="AH36" s="38">
        <v>19.106810420953</v>
      </c>
      <c r="AI36" s="13"/>
      <c r="AJ36" s="59"/>
      <c r="AM36" s="38">
        <v>0</v>
      </c>
      <c r="AN36" s="38">
        <v>0</v>
      </c>
      <c r="AO36" s="61">
        <v>0</v>
      </c>
      <c r="AP36" s="61">
        <v>0</v>
      </c>
      <c r="AQ36" s="38">
        <v>0.0058</v>
      </c>
      <c r="AR36" s="38">
        <v>0.0004</v>
      </c>
      <c r="AS36" s="61">
        <v>0.0005</v>
      </c>
      <c r="AT36" s="61">
        <v>0</v>
      </c>
      <c r="AU36" s="38">
        <v>0</v>
      </c>
      <c r="AV36" s="38">
        <v>0</v>
      </c>
      <c r="AW36" s="38">
        <v>0</v>
      </c>
      <c r="AX36" s="38">
        <v>0</v>
      </c>
      <c r="AY36" s="38">
        <v>0</v>
      </c>
      <c r="AZ36" s="38">
        <v>0</v>
      </c>
      <c r="BA36" s="50"/>
      <c r="BB36" s="50"/>
    </row>
    <row r="37" ht="19.05" customHeight="1" spans="1:54">
      <c r="A37" s="10" t="s">
        <v>44</v>
      </c>
      <c r="B37" s="39">
        <f t="shared" si="4"/>
        <v>-1837.0083</v>
      </c>
      <c r="C37" s="39">
        <f t="shared" si="5"/>
        <v>-1843.04937447203</v>
      </c>
      <c r="D37" s="38"/>
      <c r="E37" s="38">
        <v>0</v>
      </c>
      <c r="F37" s="38">
        <v>0</v>
      </c>
      <c r="G37" s="38">
        <v>0</v>
      </c>
      <c r="H37" s="38">
        <v>0</v>
      </c>
      <c r="I37" s="61">
        <v>0</v>
      </c>
      <c r="J37" s="38">
        <v>0</v>
      </c>
      <c r="K37" s="38">
        <f t="shared" si="0"/>
        <v>0</v>
      </c>
      <c r="L37" s="38">
        <v>150.9261</v>
      </c>
      <c r="M37" s="38">
        <v>13.701</v>
      </c>
      <c r="N37" s="38">
        <v>39.3805</v>
      </c>
      <c r="O37" s="61">
        <v>75.0676</v>
      </c>
      <c r="P37" s="61">
        <v>2.3486</v>
      </c>
      <c r="Q37" s="38">
        <f t="shared" si="1"/>
        <v>204.0076</v>
      </c>
      <c r="R37" s="38">
        <v>942.9238</v>
      </c>
      <c r="S37" s="38">
        <v>0</v>
      </c>
      <c r="T37" s="38">
        <v>565.3412</v>
      </c>
      <c r="U37" s="38">
        <v>124.7329</v>
      </c>
      <c r="V37" s="61">
        <v>0</v>
      </c>
      <c r="W37" s="38">
        <v>0</v>
      </c>
      <c r="X37" s="38">
        <f t="shared" si="2"/>
        <v>0.0028</v>
      </c>
      <c r="Y37" s="38">
        <f t="shared" si="3"/>
        <v>1837.0083</v>
      </c>
      <c r="Z37" s="38">
        <v>30.409585437797</v>
      </c>
      <c r="AA37" s="38">
        <v>554.381091956711</v>
      </c>
      <c r="AB37" s="38">
        <v>1972.14991578</v>
      </c>
      <c r="AC37" s="38">
        <v>27.837912287967</v>
      </c>
      <c r="AD37" s="38">
        <v>87.09809724</v>
      </c>
      <c r="AE37" s="61">
        <v>352.777911662</v>
      </c>
      <c r="AF37" s="61">
        <v>0</v>
      </c>
      <c r="AG37" s="38">
        <f t="shared" si="6"/>
        <v>2671.87660270248</v>
      </c>
      <c r="AH37" s="38">
        <v>6.04107447203069</v>
      </c>
      <c r="AI37" s="13"/>
      <c r="AJ37" s="59"/>
      <c r="AM37" s="38">
        <v>0</v>
      </c>
      <c r="AN37" s="38">
        <v>0</v>
      </c>
      <c r="AO37" s="61">
        <v>0</v>
      </c>
      <c r="AP37" s="61">
        <v>0</v>
      </c>
      <c r="AQ37" s="38">
        <v>0.0027</v>
      </c>
      <c r="AR37" s="38">
        <v>0.0001</v>
      </c>
      <c r="AS37" s="61">
        <v>0.0003</v>
      </c>
      <c r="AT37" s="61">
        <v>0</v>
      </c>
      <c r="AU37" s="38">
        <v>0</v>
      </c>
      <c r="AV37" s="38">
        <v>0</v>
      </c>
      <c r="AW37" s="38">
        <v>0</v>
      </c>
      <c r="AX37" s="38">
        <v>0</v>
      </c>
      <c r="AY37" s="38">
        <v>0</v>
      </c>
      <c r="AZ37" s="38">
        <v>0</v>
      </c>
      <c r="BA37" s="50"/>
      <c r="BB37" s="50"/>
    </row>
    <row r="38" ht="19.05" customHeight="1" spans="1:54">
      <c r="A38" s="10" t="s">
        <v>45</v>
      </c>
      <c r="B38" s="39">
        <f t="shared" si="4"/>
        <v>-1547.4796</v>
      </c>
      <c r="C38" s="39">
        <f t="shared" si="5"/>
        <v>-1543.26727100317</v>
      </c>
      <c r="D38" s="38"/>
      <c r="E38" s="38">
        <v>0</v>
      </c>
      <c r="F38" s="38">
        <v>0</v>
      </c>
      <c r="G38" s="38">
        <v>0</v>
      </c>
      <c r="H38" s="38">
        <v>0</v>
      </c>
      <c r="I38" s="61">
        <v>0</v>
      </c>
      <c r="J38" s="38">
        <v>0</v>
      </c>
      <c r="K38" s="38">
        <f t="shared" si="0"/>
        <v>0</v>
      </c>
      <c r="L38" s="38">
        <v>134.3887</v>
      </c>
      <c r="M38" s="38">
        <v>6.8998</v>
      </c>
      <c r="N38" s="38">
        <v>39.2906</v>
      </c>
      <c r="O38" s="61">
        <v>68.14</v>
      </c>
      <c r="P38" s="61">
        <v>2.0917</v>
      </c>
      <c r="Q38" s="38">
        <f t="shared" si="1"/>
        <v>180.5791</v>
      </c>
      <c r="R38" s="38">
        <v>1045.9516</v>
      </c>
      <c r="S38" s="38">
        <v>0</v>
      </c>
      <c r="T38" s="38">
        <v>273.4473</v>
      </c>
      <c r="U38" s="38">
        <v>47.4986</v>
      </c>
      <c r="V38" s="61">
        <v>0</v>
      </c>
      <c r="W38" s="38">
        <v>0</v>
      </c>
      <c r="X38" s="38">
        <f t="shared" si="2"/>
        <v>0.003</v>
      </c>
      <c r="Y38" s="38">
        <f t="shared" si="3"/>
        <v>1547.4796</v>
      </c>
      <c r="Z38" s="38">
        <v>30.01852108552</v>
      </c>
      <c r="AA38" s="38">
        <v>610.595001630084</v>
      </c>
      <c r="AB38" s="38">
        <v>1927.06997875487</v>
      </c>
      <c r="AC38" s="38">
        <v>28.941638380169</v>
      </c>
      <c r="AD38" s="38">
        <v>71.039133855</v>
      </c>
      <c r="AE38" s="61">
        <v>316.674269558</v>
      </c>
      <c r="AF38" s="61">
        <v>0</v>
      </c>
      <c r="AG38" s="38">
        <f t="shared" si="6"/>
        <v>2667.66427370564</v>
      </c>
      <c r="AH38" s="39">
        <v>-4.21232899683264</v>
      </c>
      <c r="AI38" s="13"/>
      <c r="AJ38" s="59"/>
      <c r="AM38" s="38">
        <v>0</v>
      </c>
      <c r="AN38" s="38">
        <v>0</v>
      </c>
      <c r="AO38" s="61">
        <v>0</v>
      </c>
      <c r="AP38" s="61">
        <v>0</v>
      </c>
      <c r="AQ38" s="38">
        <v>0.0029</v>
      </c>
      <c r="AR38" s="38">
        <v>0.0001</v>
      </c>
      <c r="AS38" s="61">
        <v>0.0005</v>
      </c>
      <c r="AT38" s="61">
        <v>0</v>
      </c>
      <c r="AU38" s="38">
        <v>0</v>
      </c>
      <c r="AV38" s="38">
        <v>0</v>
      </c>
      <c r="AW38" s="38">
        <v>0</v>
      </c>
      <c r="AX38" s="38">
        <v>0</v>
      </c>
      <c r="AY38" s="38">
        <v>0</v>
      </c>
      <c r="AZ38" s="38">
        <v>0</v>
      </c>
      <c r="BA38" s="50"/>
      <c r="BB38" s="50"/>
    </row>
    <row r="39" ht="19.05" customHeight="1" spans="1:54">
      <c r="A39" s="10" t="s">
        <v>46</v>
      </c>
      <c r="B39" s="39">
        <f t="shared" si="4"/>
        <v>-887.6078</v>
      </c>
      <c r="C39" s="39">
        <f t="shared" si="5"/>
        <v>-624.718360013913</v>
      </c>
      <c r="D39" s="38"/>
      <c r="E39" s="38">
        <v>0</v>
      </c>
      <c r="F39" s="38">
        <v>0</v>
      </c>
      <c r="G39" s="38">
        <v>0</v>
      </c>
      <c r="H39" s="38">
        <v>0</v>
      </c>
      <c r="I39" s="61">
        <v>0</v>
      </c>
      <c r="J39" s="38">
        <v>0</v>
      </c>
      <c r="K39" s="38">
        <f t="shared" si="0"/>
        <v>0</v>
      </c>
      <c r="L39" s="38">
        <v>140.1565</v>
      </c>
      <c r="M39" s="38">
        <v>7.1842</v>
      </c>
      <c r="N39" s="38">
        <v>38.7817</v>
      </c>
      <c r="O39" s="61">
        <v>71.5688</v>
      </c>
      <c r="P39" s="61">
        <v>2.0818</v>
      </c>
      <c r="Q39" s="38">
        <f t="shared" si="1"/>
        <v>186.1224</v>
      </c>
      <c r="R39" s="38">
        <v>678.9717</v>
      </c>
      <c r="S39" s="38">
        <v>0</v>
      </c>
      <c r="T39" s="38">
        <v>0</v>
      </c>
      <c r="U39" s="38">
        <v>22.5096</v>
      </c>
      <c r="V39" s="61">
        <v>0</v>
      </c>
      <c r="W39" s="38">
        <v>0</v>
      </c>
      <c r="X39" s="38">
        <f t="shared" si="2"/>
        <v>0.0041</v>
      </c>
      <c r="Y39" s="38">
        <f t="shared" si="3"/>
        <v>887.6078</v>
      </c>
      <c r="Z39" s="38">
        <v>29.924386538778</v>
      </c>
      <c r="AA39" s="38">
        <v>540.636362299542</v>
      </c>
      <c r="AB39" s="38">
        <v>1744.73150399353</v>
      </c>
      <c r="AC39" s="38">
        <v>25.904347773703</v>
      </c>
      <c r="AD39" s="38">
        <v>63.578233114</v>
      </c>
      <c r="AE39" s="61">
        <v>263.305446668</v>
      </c>
      <c r="AF39" s="61">
        <v>0</v>
      </c>
      <c r="AG39" s="38">
        <f t="shared" si="6"/>
        <v>2404.77483371956</v>
      </c>
      <c r="AH39" s="39">
        <v>-262.889439986087</v>
      </c>
      <c r="AI39" s="13"/>
      <c r="AJ39" s="59"/>
      <c r="AM39" s="38">
        <v>0</v>
      </c>
      <c r="AN39" s="38">
        <v>0</v>
      </c>
      <c r="AO39" s="61">
        <v>0</v>
      </c>
      <c r="AP39" s="61">
        <v>0</v>
      </c>
      <c r="AQ39" s="38">
        <v>0.004</v>
      </c>
      <c r="AR39" s="38">
        <v>0.0001</v>
      </c>
      <c r="AS39" s="61">
        <v>0.0004</v>
      </c>
      <c r="AT39" s="61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0</v>
      </c>
      <c r="BA39" s="50"/>
      <c r="BB39" s="50"/>
    </row>
    <row r="40" ht="22.75" customHeight="1" spans="34:54">
      <c r="AH40" s="13"/>
      <c r="AI40" s="47">
        <v>45656</v>
      </c>
      <c r="AJ40" s="59">
        <v>1928.2685812507</v>
      </c>
      <c r="AK40" s="62">
        <v>51.652397829</v>
      </c>
      <c r="AL40" s="13"/>
      <c r="AQ40" s="50"/>
      <c r="AU40" s="50"/>
      <c r="AV40" s="50"/>
      <c r="AW40" s="50"/>
      <c r="AX40" s="50"/>
      <c r="AZ40" s="50"/>
      <c r="BA40" s="50"/>
      <c r="BB40" s="50"/>
    </row>
    <row r="41" ht="22.75" customHeight="1" spans="36:54">
      <c r="AJ41" s="13"/>
      <c r="AQ41" s="50"/>
      <c r="AU41" s="50"/>
      <c r="AV41" s="50"/>
      <c r="AW41" s="50"/>
      <c r="AX41" s="50"/>
      <c r="AZ41" s="50"/>
      <c r="BA41" s="50"/>
      <c r="BB41" s="50"/>
    </row>
    <row r="42" ht="14.3" customHeight="1" spans="43:54">
      <c r="AQ42" s="50"/>
      <c r="AU42" s="50"/>
      <c r="AV42" s="50"/>
      <c r="AW42" s="50"/>
      <c r="AX42" s="50"/>
      <c r="AZ42" s="50"/>
      <c r="BA42" s="50"/>
      <c r="BB42" s="50"/>
    </row>
    <row r="43" ht="14.3" customHeight="1" spans="43:54">
      <c r="AQ43" s="50"/>
      <c r="AU43" s="50"/>
      <c r="AV43" s="50"/>
      <c r="AW43" s="50"/>
      <c r="AX43" s="50"/>
      <c r="AZ43" s="50"/>
      <c r="BA43" s="50"/>
      <c r="BB43" s="50"/>
    </row>
  </sheetData>
  <mergeCells count="31">
    <mergeCell ref="A1:C1"/>
    <mergeCell ref="A2:C2"/>
    <mergeCell ref="D3:K3"/>
    <mergeCell ref="L3:Y3"/>
    <mergeCell ref="Z3:AH3"/>
    <mergeCell ref="AM3:AT3"/>
    <mergeCell ref="AU3:AZ3"/>
    <mergeCell ref="E4:G4"/>
    <mergeCell ref="H4:I4"/>
    <mergeCell ref="L4:Q4"/>
    <mergeCell ref="R4:T4"/>
    <mergeCell ref="U4:V4"/>
    <mergeCell ref="AM4:AP4"/>
    <mergeCell ref="AQ4:AT4"/>
    <mergeCell ref="AU4:AZ4"/>
    <mergeCell ref="A3:A5"/>
    <mergeCell ref="B3:B5"/>
    <mergeCell ref="C3:C5"/>
    <mergeCell ref="D4:D5"/>
    <mergeCell ref="K4:K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</mergeCells>
  <pageMargins left="0.75" right="0.75" top="0.270000010728836" bottom="0.270000010728836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1"/>
  <sheetViews>
    <sheetView workbookViewId="0">
      <selection activeCell="A1" sqref="A1:C1"/>
    </sheetView>
  </sheetViews>
  <sheetFormatPr defaultColWidth="10" defaultRowHeight="13.5"/>
  <cols>
    <col min="1" max="1" width="16.4083333333333" customWidth="1"/>
    <col min="2" max="29" width="11.2833333333333" customWidth="1"/>
    <col min="30" max="31" width="9" hidden="1"/>
    <col min="32" max="34" width="9.76666666666667" customWidth="1"/>
  </cols>
  <sheetData>
    <row r="1" ht="31.65" customHeight="1" spans="1:5">
      <c r="A1" s="7" t="s">
        <v>184</v>
      </c>
      <c r="B1" s="7"/>
      <c r="C1" s="7"/>
      <c r="E1" s="13"/>
    </row>
    <row r="2" ht="17.05" customHeight="1" spans="1:5">
      <c r="A2" s="16" t="s">
        <v>46</v>
      </c>
      <c r="B2" s="16"/>
      <c r="C2" s="16"/>
      <c r="E2" s="13"/>
    </row>
    <row r="3" ht="17.05" customHeight="1" spans="1:34">
      <c r="A3" s="32" t="s">
        <v>1</v>
      </c>
      <c r="B3" s="32" t="s">
        <v>2</v>
      </c>
      <c r="C3" s="33" t="s">
        <v>185</v>
      </c>
      <c r="D3" s="34" t="s">
        <v>48</v>
      </c>
      <c r="E3" s="34"/>
      <c r="F3" s="34"/>
      <c r="G3" s="34"/>
      <c r="H3" s="40" t="s">
        <v>49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4" t="s">
        <v>50</v>
      </c>
      <c r="T3" s="44"/>
      <c r="U3" s="44"/>
      <c r="V3" s="44"/>
      <c r="W3" s="44"/>
      <c r="X3" s="44"/>
      <c r="Y3" s="44"/>
      <c r="Z3" s="44"/>
      <c r="AA3" s="44"/>
      <c r="AB3" s="44"/>
      <c r="AC3" s="44"/>
      <c r="AG3" s="35" t="s">
        <v>51</v>
      </c>
      <c r="AH3" s="35"/>
    </row>
    <row r="4" ht="22.75" customHeight="1" spans="1:34">
      <c r="A4" s="32"/>
      <c r="B4" s="32"/>
      <c r="C4" s="33"/>
      <c r="D4" s="35" t="s">
        <v>186</v>
      </c>
      <c r="E4" s="35" t="s">
        <v>187</v>
      </c>
      <c r="F4" s="35" t="s">
        <v>188</v>
      </c>
      <c r="G4" s="57" t="s">
        <v>54</v>
      </c>
      <c r="H4" s="8" t="s">
        <v>55</v>
      </c>
      <c r="I4" s="8"/>
      <c r="J4" s="8"/>
      <c r="K4" s="8"/>
      <c r="L4" s="8"/>
      <c r="M4" s="8"/>
      <c r="N4" s="8"/>
      <c r="O4" s="8"/>
      <c r="P4" s="8"/>
      <c r="Q4" s="40" t="s">
        <v>56</v>
      </c>
      <c r="R4" s="40" t="s">
        <v>57</v>
      </c>
      <c r="S4" s="35" t="s">
        <v>189</v>
      </c>
      <c r="T4" s="35" t="s">
        <v>190</v>
      </c>
      <c r="U4" s="35" t="s">
        <v>191</v>
      </c>
      <c r="V4" s="35" t="s">
        <v>192</v>
      </c>
      <c r="W4" s="35" t="s">
        <v>193</v>
      </c>
      <c r="X4" s="35" t="s">
        <v>194</v>
      </c>
      <c r="Y4" s="35" t="s">
        <v>195</v>
      </c>
      <c r="Z4" s="35" t="s">
        <v>196</v>
      </c>
      <c r="AA4" s="35" t="s">
        <v>197</v>
      </c>
      <c r="AB4" s="44" t="s">
        <v>60</v>
      </c>
      <c r="AC4" s="44" t="s">
        <v>61</v>
      </c>
      <c r="AG4" s="35" t="s">
        <v>62</v>
      </c>
      <c r="AH4" s="35" t="s">
        <v>63</v>
      </c>
    </row>
    <row r="5" ht="42.95" customHeight="1" spans="1:34">
      <c r="A5" s="32"/>
      <c r="B5" s="32"/>
      <c r="C5" s="33"/>
      <c r="D5" s="35"/>
      <c r="E5" s="35"/>
      <c r="F5" s="35"/>
      <c r="G5" s="57"/>
      <c r="H5" s="35" t="s">
        <v>195</v>
      </c>
      <c r="I5" s="35" t="s">
        <v>191</v>
      </c>
      <c r="J5" s="35" t="s">
        <v>190</v>
      </c>
      <c r="K5" s="35" t="s">
        <v>196</v>
      </c>
      <c r="L5" s="35" t="s">
        <v>194</v>
      </c>
      <c r="M5" s="35" t="s">
        <v>193</v>
      </c>
      <c r="N5" s="35" t="s">
        <v>189</v>
      </c>
      <c r="O5" s="35" t="s">
        <v>192</v>
      </c>
      <c r="P5" s="40" t="s">
        <v>89</v>
      </c>
      <c r="Q5" s="40"/>
      <c r="R5" s="40"/>
      <c r="S5" s="35"/>
      <c r="T5" s="35"/>
      <c r="U5" s="35"/>
      <c r="V5" s="35"/>
      <c r="W5" s="35"/>
      <c r="X5" s="35"/>
      <c r="Y5" s="35"/>
      <c r="Z5" s="35"/>
      <c r="AA5" s="35"/>
      <c r="AB5" s="44"/>
      <c r="AC5" s="44"/>
      <c r="AG5" s="35"/>
      <c r="AH5" s="35"/>
    </row>
    <row r="6" ht="22.75" customHeight="1" spans="1:34">
      <c r="A6" s="36" t="s">
        <v>101</v>
      </c>
      <c r="B6" s="58"/>
      <c r="C6" s="58"/>
      <c r="D6" s="37">
        <v>229.47773</v>
      </c>
      <c r="E6" s="37">
        <v>11393.083</v>
      </c>
      <c r="F6" s="37">
        <v>9150.0248</v>
      </c>
      <c r="G6" s="37">
        <f t="shared" ref="G6:G39" si="0">SUM(D6:F6)</f>
        <v>20772.58553</v>
      </c>
      <c r="H6" s="37">
        <v>23.9472</v>
      </c>
      <c r="I6" s="37">
        <v>2.7916</v>
      </c>
      <c r="J6" s="37">
        <v>4109.3348</v>
      </c>
      <c r="K6" s="37">
        <v>80.1392</v>
      </c>
      <c r="L6" s="37">
        <v>5246.0584</v>
      </c>
      <c r="M6" s="37">
        <v>877.132</v>
      </c>
      <c r="N6" s="37">
        <v>3281.8296</v>
      </c>
      <c r="O6" s="37">
        <v>7478.5584</v>
      </c>
      <c r="P6" s="37">
        <f t="shared" ref="P6:P39" si="1">SUM(H6,I6,J6,K6,L6,M6,N6,O6)</f>
        <v>21099.7912</v>
      </c>
      <c r="Q6" s="37">
        <f t="shared" ref="Q6:Q39" si="2">SUM(AG6:AH6)</f>
        <v>0.0972</v>
      </c>
      <c r="R6" s="37">
        <f t="shared" ref="R6:R39" si="3">SUM(P6+Q6)</f>
        <v>21099.8884</v>
      </c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G6" s="37">
        <v>0.0345</v>
      </c>
      <c r="AH6" s="37">
        <v>0.0627</v>
      </c>
    </row>
    <row r="7" ht="19.05" customHeight="1" spans="1:34">
      <c r="A7" s="36" t="s">
        <v>102</v>
      </c>
      <c r="B7" s="58"/>
      <c r="C7" s="58"/>
      <c r="D7" s="37">
        <v>229.47773</v>
      </c>
      <c r="E7" s="37">
        <v>11393.083</v>
      </c>
      <c r="F7" s="37">
        <v>9150.0248</v>
      </c>
      <c r="G7" s="37">
        <f t="shared" si="0"/>
        <v>20772.58553</v>
      </c>
      <c r="H7" s="37">
        <v>23.9472</v>
      </c>
      <c r="I7" s="37">
        <v>2.7916</v>
      </c>
      <c r="J7" s="37">
        <v>4109.3348</v>
      </c>
      <c r="K7" s="37">
        <v>80.1392</v>
      </c>
      <c r="L7" s="37">
        <v>5246.0584</v>
      </c>
      <c r="M7" s="37">
        <v>877.132</v>
      </c>
      <c r="N7" s="37">
        <v>3281.8296</v>
      </c>
      <c r="O7" s="37">
        <v>7478.5584</v>
      </c>
      <c r="P7" s="37">
        <f t="shared" si="1"/>
        <v>21099.7912</v>
      </c>
      <c r="Q7" s="37">
        <f t="shared" si="2"/>
        <v>0.0972</v>
      </c>
      <c r="R7" s="37">
        <f t="shared" si="3"/>
        <v>21099.8884</v>
      </c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G7" s="37">
        <v>0.0345</v>
      </c>
      <c r="AH7" s="37">
        <v>0.0627</v>
      </c>
    </row>
    <row r="8" ht="22.75" customHeight="1" spans="1:34">
      <c r="A8" s="10" t="s">
        <v>15</v>
      </c>
      <c r="B8" s="38">
        <f t="shared" ref="B8:B39" si="4">G8-R8</f>
        <v>6.2713</v>
      </c>
      <c r="C8" s="39">
        <f t="shared" ref="C8:C39" si="5">G8-R8-AC8</f>
        <v>-4.73262094864606</v>
      </c>
      <c r="D8" s="38">
        <v>22.1098</v>
      </c>
      <c r="E8" s="38">
        <v>353.8959</v>
      </c>
      <c r="F8" s="38">
        <v>185.5682</v>
      </c>
      <c r="G8" s="38">
        <f t="shared" si="0"/>
        <v>561.5739</v>
      </c>
      <c r="H8" s="38">
        <v>0.6916</v>
      </c>
      <c r="I8" s="38">
        <v>0.1642</v>
      </c>
      <c r="J8" s="38">
        <v>110.6853</v>
      </c>
      <c r="K8" s="38">
        <v>20.9648</v>
      </c>
      <c r="L8" s="38">
        <v>205.3213</v>
      </c>
      <c r="M8" s="38">
        <v>26.7123</v>
      </c>
      <c r="N8" s="38">
        <v>62.5237</v>
      </c>
      <c r="O8" s="38">
        <v>128.2369</v>
      </c>
      <c r="P8" s="38">
        <f t="shared" si="1"/>
        <v>555.3001</v>
      </c>
      <c r="Q8" s="38">
        <f t="shared" si="2"/>
        <v>0.0025</v>
      </c>
      <c r="R8" s="38">
        <f t="shared" si="3"/>
        <v>555.3026</v>
      </c>
      <c r="S8" s="38">
        <v>49.729083329895</v>
      </c>
      <c r="T8" s="38">
        <v>501.395185204413</v>
      </c>
      <c r="U8" s="38">
        <v>0.501442790017</v>
      </c>
      <c r="V8" s="38">
        <v>155.103613141958</v>
      </c>
      <c r="W8" s="38">
        <v>25.561801617888</v>
      </c>
      <c r="X8" s="38">
        <v>111.466087970602</v>
      </c>
      <c r="Y8" s="38">
        <v>40.079250793443</v>
      </c>
      <c r="Z8" s="38">
        <v>258.66599430336</v>
      </c>
      <c r="AA8" s="38">
        <v>0.369742110985</v>
      </c>
      <c r="AB8" s="38">
        <f t="shared" ref="AB8:AB39" si="6">SUM(S8,T8,U8,V8,W8,X8,Y8,Z8,AA8)</f>
        <v>1142.87220126256</v>
      </c>
      <c r="AC8" s="38">
        <v>11.0039209486461</v>
      </c>
      <c r="AD8" s="46"/>
      <c r="AE8" s="46"/>
      <c r="AF8" s="46"/>
      <c r="AG8" s="38">
        <v>0</v>
      </c>
      <c r="AH8" s="38">
        <v>0.0025</v>
      </c>
    </row>
    <row r="9" ht="22.75" customHeight="1" spans="1:34">
      <c r="A9" s="10" t="s">
        <v>16</v>
      </c>
      <c r="B9" s="39">
        <f t="shared" si="4"/>
        <v>-41.5684</v>
      </c>
      <c r="C9" s="39">
        <f t="shared" si="5"/>
        <v>-1.23407238069592</v>
      </c>
      <c r="D9" s="38">
        <v>6.1769</v>
      </c>
      <c r="E9" s="38">
        <v>339.2542</v>
      </c>
      <c r="F9" s="38">
        <v>195.3998</v>
      </c>
      <c r="G9" s="38">
        <f t="shared" si="0"/>
        <v>540.8309</v>
      </c>
      <c r="H9" s="38">
        <v>0.7288</v>
      </c>
      <c r="I9" s="38">
        <v>0.1462</v>
      </c>
      <c r="J9" s="38">
        <v>110.9422</v>
      </c>
      <c r="K9" s="38">
        <v>15.0776</v>
      </c>
      <c r="L9" s="38">
        <v>190.5428</v>
      </c>
      <c r="M9" s="38">
        <v>24.6242</v>
      </c>
      <c r="N9" s="38">
        <v>94.044</v>
      </c>
      <c r="O9" s="38">
        <v>146.2919</v>
      </c>
      <c r="P9" s="38">
        <f t="shared" si="1"/>
        <v>582.3977</v>
      </c>
      <c r="Q9" s="38">
        <f t="shared" si="2"/>
        <v>0.0016</v>
      </c>
      <c r="R9" s="38">
        <f t="shared" si="3"/>
        <v>582.3993</v>
      </c>
      <c r="S9" s="38">
        <v>46.279403753658</v>
      </c>
      <c r="T9" s="38">
        <v>476.713089636167</v>
      </c>
      <c r="U9" s="38">
        <v>0.510410077769</v>
      </c>
      <c r="V9" s="38">
        <v>157.945597853265</v>
      </c>
      <c r="W9" s="38">
        <v>25.884555471113</v>
      </c>
      <c r="X9" s="38">
        <v>103.999809188087</v>
      </c>
      <c r="Y9" s="38">
        <v>41.142253915771</v>
      </c>
      <c r="Z9" s="38">
        <v>249.683182704603</v>
      </c>
      <c r="AA9" s="38">
        <v>0.379571042824</v>
      </c>
      <c r="AB9" s="38">
        <f t="shared" si="6"/>
        <v>1102.53787364326</v>
      </c>
      <c r="AC9" s="39">
        <v>-40.3343276193041</v>
      </c>
      <c r="AD9" s="46"/>
      <c r="AE9" s="46"/>
      <c r="AF9" s="46"/>
      <c r="AG9" s="38">
        <v>0</v>
      </c>
      <c r="AH9" s="38">
        <v>0.0016</v>
      </c>
    </row>
    <row r="10" ht="22.75" customHeight="1" spans="1:34">
      <c r="A10" s="10" t="s">
        <v>17</v>
      </c>
      <c r="B10" s="39">
        <f t="shared" si="4"/>
        <v>-7.1418000000001</v>
      </c>
      <c r="C10" s="39">
        <f t="shared" si="5"/>
        <v>-8.60724178605005</v>
      </c>
      <c r="D10" s="38">
        <v>8.7793</v>
      </c>
      <c r="E10" s="38">
        <v>388.2676</v>
      </c>
      <c r="F10" s="38">
        <v>218.475</v>
      </c>
      <c r="G10" s="38">
        <f t="shared" si="0"/>
        <v>615.5219</v>
      </c>
      <c r="H10" s="38">
        <v>0.686</v>
      </c>
      <c r="I10" s="38">
        <v>0.1007</v>
      </c>
      <c r="J10" s="38">
        <v>101.7364</v>
      </c>
      <c r="K10" s="38">
        <v>3.6496</v>
      </c>
      <c r="L10" s="38">
        <v>192.5811</v>
      </c>
      <c r="M10" s="38">
        <v>25.7491</v>
      </c>
      <c r="N10" s="38">
        <v>135.4475</v>
      </c>
      <c r="O10" s="38">
        <v>162.7116</v>
      </c>
      <c r="P10" s="38">
        <f t="shared" si="1"/>
        <v>622.662</v>
      </c>
      <c r="Q10" s="38">
        <f t="shared" si="2"/>
        <v>0.0017</v>
      </c>
      <c r="R10" s="38">
        <f t="shared" si="3"/>
        <v>622.6637</v>
      </c>
      <c r="S10" s="38">
        <v>46.984861715783</v>
      </c>
      <c r="T10" s="38">
        <v>479.614491914993</v>
      </c>
      <c r="U10" s="38">
        <v>0.489655018194</v>
      </c>
      <c r="V10" s="38">
        <v>152.498332802984</v>
      </c>
      <c r="W10" s="38">
        <v>25.992788259445</v>
      </c>
      <c r="X10" s="38">
        <v>104.217834072034</v>
      </c>
      <c r="Y10" s="38">
        <v>40.174475558687</v>
      </c>
      <c r="Z10" s="38">
        <v>253.663562539612</v>
      </c>
      <c r="AA10" s="38">
        <v>0.367313547575</v>
      </c>
      <c r="AB10" s="38">
        <f t="shared" si="6"/>
        <v>1104.00331542931</v>
      </c>
      <c r="AC10" s="38">
        <v>1.46544178604995</v>
      </c>
      <c r="AD10" s="46"/>
      <c r="AE10" s="46"/>
      <c r="AF10" s="46"/>
      <c r="AG10" s="38">
        <v>0</v>
      </c>
      <c r="AH10" s="38">
        <v>0.0017</v>
      </c>
    </row>
    <row r="11" ht="22.75" customHeight="1" spans="1:34">
      <c r="A11" s="10" t="s">
        <v>18</v>
      </c>
      <c r="B11" s="39">
        <f t="shared" si="4"/>
        <v>-31.2611999999998</v>
      </c>
      <c r="C11" s="39">
        <f t="shared" si="5"/>
        <v>-7.58018643315802</v>
      </c>
      <c r="D11" s="38">
        <v>2.36</v>
      </c>
      <c r="E11" s="38">
        <v>389.2318</v>
      </c>
      <c r="F11" s="38">
        <v>256.425</v>
      </c>
      <c r="G11" s="38">
        <f t="shared" si="0"/>
        <v>648.0168</v>
      </c>
      <c r="H11" s="38">
        <v>0.7264</v>
      </c>
      <c r="I11" s="38">
        <v>0.0759</v>
      </c>
      <c r="J11" s="38">
        <v>153.1864</v>
      </c>
      <c r="K11" s="38">
        <v>3.8688</v>
      </c>
      <c r="L11" s="38">
        <v>215.3437</v>
      </c>
      <c r="M11" s="38">
        <v>25.7002</v>
      </c>
      <c r="N11" s="38">
        <v>96.3616</v>
      </c>
      <c r="O11" s="38">
        <v>184.013</v>
      </c>
      <c r="P11" s="38">
        <f t="shared" si="1"/>
        <v>679.276</v>
      </c>
      <c r="Q11" s="38">
        <f t="shared" si="2"/>
        <v>0.002</v>
      </c>
      <c r="R11" s="38">
        <f t="shared" si="3"/>
        <v>679.278</v>
      </c>
      <c r="S11" s="38">
        <v>46.494019095942</v>
      </c>
      <c r="T11" s="38">
        <v>463.787215164332</v>
      </c>
      <c r="U11" s="38">
        <v>0.498035910678</v>
      </c>
      <c r="V11" s="38">
        <v>153.681778991273</v>
      </c>
      <c r="W11" s="38">
        <v>25.704170793327</v>
      </c>
      <c r="X11" s="38">
        <v>102.411341858588</v>
      </c>
      <c r="Y11" s="38">
        <v>39.816805673233</v>
      </c>
      <c r="Z11" s="38">
        <v>247.557850652816</v>
      </c>
      <c r="AA11" s="38">
        <v>0.371083722276</v>
      </c>
      <c r="AB11" s="38">
        <f t="shared" si="6"/>
        <v>1080.32230186246</v>
      </c>
      <c r="AC11" s="39">
        <v>-23.6810135668418</v>
      </c>
      <c r="AD11" s="46"/>
      <c r="AE11" s="46"/>
      <c r="AF11" s="46"/>
      <c r="AG11" s="38">
        <v>0</v>
      </c>
      <c r="AH11" s="38">
        <v>0.002</v>
      </c>
    </row>
    <row r="12" ht="22.75" customHeight="1" spans="1:34">
      <c r="A12" s="10" t="s">
        <v>19</v>
      </c>
      <c r="B12" s="38">
        <f t="shared" si="4"/>
        <v>9.80449999999996</v>
      </c>
      <c r="C12" s="39">
        <f t="shared" si="5"/>
        <v>-24.8736218583829</v>
      </c>
      <c r="D12" s="38">
        <v>2.369</v>
      </c>
      <c r="E12" s="38">
        <v>381.0327</v>
      </c>
      <c r="F12" s="38">
        <v>274.825</v>
      </c>
      <c r="G12" s="38">
        <f t="shared" si="0"/>
        <v>658.2267</v>
      </c>
      <c r="H12" s="38">
        <v>0.6524</v>
      </c>
      <c r="I12" s="38">
        <v>0.1448</v>
      </c>
      <c r="J12" s="38">
        <v>105.0182</v>
      </c>
      <c r="K12" s="38">
        <v>3.6312</v>
      </c>
      <c r="L12" s="38">
        <v>164.955</v>
      </c>
      <c r="M12" s="38">
        <v>24.2663</v>
      </c>
      <c r="N12" s="38">
        <v>145.0099</v>
      </c>
      <c r="O12" s="38">
        <v>204.7425</v>
      </c>
      <c r="P12" s="38">
        <f t="shared" si="1"/>
        <v>648.4203</v>
      </c>
      <c r="Q12" s="38">
        <f t="shared" si="2"/>
        <v>0.0019</v>
      </c>
      <c r="R12" s="38">
        <f t="shared" si="3"/>
        <v>648.4222</v>
      </c>
      <c r="S12" s="38">
        <v>47.105641905086</v>
      </c>
      <c r="T12" s="38">
        <v>488.282991748932</v>
      </c>
      <c r="U12" s="38">
        <v>0.504838117802</v>
      </c>
      <c r="V12" s="38">
        <v>154.559797729681</v>
      </c>
      <c r="W12" s="38">
        <v>25.63699616522</v>
      </c>
      <c r="X12" s="38">
        <v>105.100582601483</v>
      </c>
      <c r="Y12" s="38">
        <v>40.061031322621</v>
      </c>
      <c r="Z12" s="38">
        <v>253.370690287847</v>
      </c>
      <c r="AA12" s="38">
        <v>0.377853842176</v>
      </c>
      <c r="AB12" s="38">
        <f t="shared" si="6"/>
        <v>1115.00042372085</v>
      </c>
      <c r="AC12" s="38">
        <v>34.6781218583828</v>
      </c>
      <c r="AD12" s="46"/>
      <c r="AE12" s="46"/>
      <c r="AF12" s="46"/>
      <c r="AG12" s="38">
        <v>0</v>
      </c>
      <c r="AH12" s="38">
        <v>0.0019</v>
      </c>
    </row>
    <row r="13" ht="22.75" customHeight="1" spans="1:34">
      <c r="A13" s="10" t="s">
        <v>20</v>
      </c>
      <c r="B13" s="39">
        <f t="shared" si="4"/>
        <v>-5.74479999999994</v>
      </c>
      <c r="C13" s="39">
        <f t="shared" si="5"/>
        <v>-10.5717147185251</v>
      </c>
      <c r="D13" s="38">
        <v>0</v>
      </c>
      <c r="E13" s="38">
        <v>381.4674</v>
      </c>
      <c r="F13" s="38">
        <v>284.55</v>
      </c>
      <c r="G13" s="38">
        <f t="shared" si="0"/>
        <v>666.0174</v>
      </c>
      <c r="H13" s="38">
        <v>0.732</v>
      </c>
      <c r="I13" s="38">
        <v>0.1182</v>
      </c>
      <c r="J13" s="38">
        <v>104.1762</v>
      </c>
      <c r="K13" s="38">
        <v>1.732</v>
      </c>
      <c r="L13" s="38">
        <v>161.0331</v>
      </c>
      <c r="M13" s="38">
        <v>24.8618</v>
      </c>
      <c r="N13" s="38">
        <v>169.7793</v>
      </c>
      <c r="O13" s="38">
        <v>209.3276</v>
      </c>
      <c r="P13" s="38">
        <f t="shared" si="1"/>
        <v>671.7602</v>
      </c>
      <c r="Q13" s="38">
        <f t="shared" si="2"/>
        <v>0.002</v>
      </c>
      <c r="R13" s="38">
        <f t="shared" si="3"/>
        <v>671.7622</v>
      </c>
      <c r="S13" s="38">
        <v>47.296481251519</v>
      </c>
      <c r="T13" s="38">
        <v>490.769926748514</v>
      </c>
      <c r="U13" s="38">
        <v>0.516288822612</v>
      </c>
      <c r="V13" s="38">
        <v>157.831764497714</v>
      </c>
      <c r="W13" s="38">
        <v>25.716312829434</v>
      </c>
      <c r="X13" s="38">
        <v>104.661357377954</v>
      </c>
      <c r="Y13" s="38">
        <v>40.795282774205</v>
      </c>
      <c r="Z13" s="38">
        <v>251.856914491731</v>
      </c>
      <c r="AA13" s="38">
        <v>0.38300964569</v>
      </c>
      <c r="AB13" s="38">
        <f t="shared" si="6"/>
        <v>1119.82733843937</v>
      </c>
      <c r="AC13" s="38">
        <v>4.82691471852513</v>
      </c>
      <c r="AD13" s="46"/>
      <c r="AE13" s="46"/>
      <c r="AF13" s="46"/>
      <c r="AG13" s="38">
        <v>0</v>
      </c>
      <c r="AH13" s="38">
        <v>0.002</v>
      </c>
    </row>
    <row r="14" ht="22.75" customHeight="1" spans="1:34">
      <c r="A14" s="10" t="s">
        <v>21</v>
      </c>
      <c r="B14" s="38">
        <f t="shared" si="4"/>
        <v>47.0309999999999</v>
      </c>
      <c r="C14" s="39">
        <f t="shared" si="5"/>
        <v>-14.3595327403</v>
      </c>
      <c r="D14" s="38">
        <v>8.8847</v>
      </c>
      <c r="E14" s="38">
        <v>342.1899</v>
      </c>
      <c r="F14" s="38">
        <v>289.7</v>
      </c>
      <c r="G14" s="38">
        <f t="shared" si="0"/>
        <v>640.7746</v>
      </c>
      <c r="H14" s="38">
        <v>0.7212</v>
      </c>
      <c r="I14" s="38">
        <v>0.1732</v>
      </c>
      <c r="J14" s="38">
        <v>107.163</v>
      </c>
      <c r="K14" s="38">
        <v>10.568</v>
      </c>
      <c r="L14" s="38">
        <v>164.8105</v>
      </c>
      <c r="M14" s="38">
        <v>25.3736</v>
      </c>
      <c r="N14" s="38">
        <v>68.4532</v>
      </c>
      <c r="O14" s="38">
        <v>216.4791</v>
      </c>
      <c r="P14" s="38">
        <f t="shared" si="1"/>
        <v>593.7418</v>
      </c>
      <c r="Q14" s="38">
        <f t="shared" si="2"/>
        <v>0.0018</v>
      </c>
      <c r="R14" s="38">
        <f t="shared" si="3"/>
        <v>593.7436</v>
      </c>
      <c r="S14" s="38">
        <v>52.90480724243</v>
      </c>
      <c r="T14" s="38">
        <v>530.195852933641</v>
      </c>
      <c r="U14" s="38">
        <v>0.529753799104</v>
      </c>
      <c r="V14" s="38">
        <v>160.376341495146</v>
      </c>
      <c r="W14" s="38">
        <v>25.406819276266</v>
      </c>
      <c r="X14" s="38">
        <v>116.345425049195</v>
      </c>
      <c r="Y14" s="38">
        <v>40.851014578697</v>
      </c>
      <c r="Z14" s="38">
        <v>254.22232823977</v>
      </c>
      <c r="AA14" s="38">
        <v>0.385528565424</v>
      </c>
      <c r="AB14" s="38">
        <f t="shared" si="6"/>
        <v>1181.21787117967</v>
      </c>
      <c r="AC14" s="38">
        <v>61.3905327402999</v>
      </c>
      <c r="AD14" s="46"/>
      <c r="AE14" s="46"/>
      <c r="AF14" s="46"/>
      <c r="AG14" s="38">
        <v>0</v>
      </c>
      <c r="AH14" s="38">
        <v>0.0018</v>
      </c>
    </row>
    <row r="15" ht="22.75" customHeight="1" spans="1:34">
      <c r="A15" s="10" t="s">
        <v>22</v>
      </c>
      <c r="B15" s="39">
        <f t="shared" si="4"/>
        <v>-45.37662</v>
      </c>
      <c r="C15" s="38">
        <f t="shared" si="5"/>
        <v>12.313506487129</v>
      </c>
      <c r="D15" s="38">
        <v>16.56468</v>
      </c>
      <c r="E15" s="38">
        <v>288.4984</v>
      </c>
      <c r="F15" s="38">
        <v>262.575</v>
      </c>
      <c r="G15" s="38">
        <f t="shared" si="0"/>
        <v>567.63808</v>
      </c>
      <c r="H15" s="38">
        <v>0.7072</v>
      </c>
      <c r="I15" s="38">
        <v>0.112</v>
      </c>
      <c r="J15" s="38">
        <v>143.4236</v>
      </c>
      <c r="K15" s="38">
        <v>7.8984</v>
      </c>
      <c r="L15" s="38">
        <v>173.8337</v>
      </c>
      <c r="M15" s="38">
        <v>24.7417</v>
      </c>
      <c r="N15" s="38">
        <v>66.0394</v>
      </c>
      <c r="O15" s="38">
        <v>196.2569</v>
      </c>
      <c r="P15" s="38">
        <f t="shared" si="1"/>
        <v>613.0129</v>
      </c>
      <c r="Q15" s="38">
        <f t="shared" si="2"/>
        <v>0.0018</v>
      </c>
      <c r="R15" s="38">
        <f t="shared" si="3"/>
        <v>613.0147</v>
      </c>
      <c r="S15" s="38">
        <v>49.251558562554</v>
      </c>
      <c r="T15" s="38">
        <v>491.404599852353</v>
      </c>
      <c r="U15" s="38">
        <v>0.496332791924</v>
      </c>
      <c r="V15" s="38">
        <v>154.144771848245</v>
      </c>
      <c r="W15" s="38">
        <v>25.328012761139</v>
      </c>
      <c r="X15" s="38">
        <v>108.556894355839</v>
      </c>
      <c r="Y15" s="38">
        <v>40.252991736693</v>
      </c>
      <c r="Z15" s="38">
        <v>253.72246143602</v>
      </c>
      <c r="AA15" s="38">
        <v>0.370121347777</v>
      </c>
      <c r="AB15" s="38">
        <f t="shared" si="6"/>
        <v>1123.52774469254</v>
      </c>
      <c r="AC15" s="39">
        <v>-57.690126487129</v>
      </c>
      <c r="AD15" s="46"/>
      <c r="AE15" s="46"/>
      <c r="AF15" s="46"/>
      <c r="AG15" s="38">
        <v>0</v>
      </c>
      <c r="AH15" s="38">
        <v>0.0018</v>
      </c>
    </row>
    <row r="16" ht="22.75" customHeight="1" spans="1:34">
      <c r="A16" s="10" t="s">
        <v>23</v>
      </c>
      <c r="B16" s="39">
        <f t="shared" si="4"/>
        <v>-30.6637500000001</v>
      </c>
      <c r="C16" s="39">
        <f t="shared" si="5"/>
        <v>-1.96710459558301</v>
      </c>
      <c r="D16" s="38">
        <v>19.44545</v>
      </c>
      <c r="E16" s="38">
        <v>360.8357</v>
      </c>
      <c r="F16" s="38">
        <v>293.225</v>
      </c>
      <c r="G16" s="38">
        <f t="shared" si="0"/>
        <v>673.50615</v>
      </c>
      <c r="H16" s="38">
        <v>0.6992</v>
      </c>
      <c r="I16" s="38">
        <v>0.091</v>
      </c>
      <c r="J16" s="38">
        <v>176.8062</v>
      </c>
      <c r="K16" s="38">
        <v>7.5376</v>
      </c>
      <c r="L16" s="38">
        <v>155.5968</v>
      </c>
      <c r="M16" s="38">
        <v>24.9359</v>
      </c>
      <c r="N16" s="38">
        <v>107.5145</v>
      </c>
      <c r="O16" s="38">
        <v>230.9869</v>
      </c>
      <c r="P16" s="38">
        <f t="shared" si="1"/>
        <v>704.1681</v>
      </c>
      <c r="Q16" s="38">
        <f t="shared" si="2"/>
        <v>0.0018</v>
      </c>
      <c r="R16" s="38">
        <f t="shared" si="3"/>
        <v>704.1699</v>
      </c>
      <c r="S16" s="38">
        <v>46.318776563661</v>
      </c>
      <c r="T16" s="38">
        <v>464.764642161804</v>
      </c>
      <c r="U16" s="38">
        <v>0.494053499199</v>
      </c>
      <c r="V16" s="38">
        <v>150.293020028225</v>
      </c>
      <c r="W16" s="38">
        <v>25.639679182521</v>
      </c>
      <c r="X16" s="38">
        <v>103.629308298241</v>
      </c>
      <c r="Y16" s="38">
        <v>38.488102567224</v>
      </c>
      <c r="Z16" s="38">
        <v>264.832121132879</v>
      </c>
      <c r="AA16" s="38">
        <v>0.371395854373</v>
      </c>
      <c r="AB16" s="38">
        <f t="shared" si="6"/>
        <v>1094.83109928813</v>
      </c>
      <c r="AC16" s="39">
        <v>-28.696645404417</v>
      </c>
      <c r="AD16" s="46"/>
      <c r="AE16" s="46"/>
      <c r="AF16" s="46"/>
      <c r="AG16" s="38">
        <v>0</v>
      </c>
      <c r="AH16" s="38">
        <v>0.0018</v>
      </c>
    </row>
    <row r="17" ht="22.75" customHeight="1" spans="1:34">
      <c r="A17" s="10" t="s">
        <v>24</v>
      </c>
      <c r="B17" s="39">
        <f t="shared" si="4"/>
        <v>-16.9459999999999</v>
      </c>
      <c r="C17" s="39">
        <f t="shared" si="5"/>
        <v>-5.41958964491096</v>
      </c>
      <c r="D17" s="38">
        <v>5.4569</v>
      </c>
      <c r="E17" s="38">
        <v>388.661</v>
      </c>
      <c r="F17" s="38">
        <v>319.925</v>
      </c>
      <c r="G17" s="38">
        <f t="shared" si="0"/>
        <v>714.0429</v>
      </c>
      <c r="H17" s="38">
        <v>0.68</v>
      </c>
      <c r="I17" s="38">
        <v>0.092</v>
      </c>
      <c r="J17" s="38">
        <v>165.3321</v>
      </c>
      <c r="K17" s="38">
        <v>8.992</v>
      </c>
      <c r="L17" s="38">
        <v>150.7143</v>
      </c>
      <c r="M17" s="38">
        <v>24.0286</v>
      </c>
      <c r="N17" s="38">
        <v>120.4866</v>
      </c>
      <c r="O17" s="38">
        <v>260.6614</v>
      </c>
      <c r="P17" s="38">
        <f t="shared" si="1"/>
        <v>730.987</v>
      </c>
      <c r="Q17" s="38">
        <f t="shared" si="2"/>
        <v>0.0019</v>
      </c>
      <c r="R17" s="38">
        <f t="shared" si="3"/>
        <v>730.9889</v>
      </c>
      <c r="S17" s="38">
        <v>45.587670540267</v>
      </c>
      <c r="T17" s="38">
        <v>457.308079382367</v>
      </c>
      <c r="U17" s="38">
        <v>0.499377790069</v>
      </c>
      <c r="V17" s="38">
        <v>153.117921065554</v>
      </c>
      <c r="W17" s="38">
        <v>25.42003623181</v>
      </c>
      <c r="X17" s="38">
        <v>102.697846827679</v>
      </c>
      <c r="Y17" s="38">
        <v>39.474573506791</v>
      </c>
      <c r="Z17" s="38">
        <v>258.823131835018</v>
      </c>
      <c r="AA17" s="38">
        <v>0.376051753483</v>
      </c>
      <c r="AB17" s="38">
        <f t="shared" si="6"/>
        <v>1083.30468893304</v>
      </c>
      <c r="AC17" s="39">
        <v>-11.526410355089</v>
      </c>
      <c r="AD17" s="46"/>
      <c r="AE17" s="46"/>
      <c r="AF17" s="46"/>
      <c r="AG17" s="38">
        <v>0</v>
      </c>
      <c r="AH17" s="38">
        <v>0.0019</v>
      </c>
    </row>
    <row r="18" ht="22.75" customHeight="1" spans="1:34">
      <c r="A18" s="10" t="s">
        <v>25</v>
      </c>
      <c r="B18" s="39">
        <f t="shared" si="4"/>
        <v>-10.8107</v>
      </c>
      <c r="C18" s="39">
        <f t="shared" si="5"/>
        <v>-12.038676202342</v>
      </c>
      <c r="D18" s="38">
        <v>0</v>
      </c>
      <c r="E18" s="38">
        <v>394.8408</v>
      </c>
      <c r="F18" s="38">
        <v>313.65</v>
      </c>
      <c r="G18" s="38">
        <f t="shared" si="0"/>
        <v>708.4908</v>
      </c>
      <c r="H18" s="38">
        <v>0.8036</v>
      </c>
      <c r="I18" s="38">
        <v>0.115</v>
      </c>
      <c r="J18" s="38">
        <v>162.4523</v>
      </c>
      <c r="K18" s="38">
        <v>0</v>
      </c>
      <c r="L18" s="38">
        <v>142.9728</v>
      </c>
      <c r="M18" s="38">
        <v>24.4498</v>
      </c>
      <c r="N18" s="38">
        <v>117.0423</v>
      </c>
      <c r="O18" s="38">
        <v>271.4638</v>
      </c>
      <c r="P18" s="38">
        <f t="shared" si="1"/>
        <v>719.2996</v>
      </c>
      <c r="Q18" s="38">
        <f t="shared" si="2"/>
        <v>0.0019</v>
      </c>
      <c r="R18" s="38">
        <f t="shared" si="3"/>
        <v>719.3015</v>
      </c>
      <c r="S18" s="38">
        <v>45.500145957287</v>
      </c>
      <c r="T18" s="38">
        <v>455.626063866224</v>
      </c>
      <c r="U18" s="38">
        <v>0.50614491847</v>
      </c>
      <c r="V18" s="38">
        <v>154.385239542341</v>
      </c>
      <c r="W18" s="38">
        <v>25.784200031266</v>
      </c>
      <c r="X18" s="38">
        <v>103.240206921082</v>
      </c>
      <c r="Y18" s="38">
        <v>39.15895902807</v>
      </c>
      <c r="Z18" s="38">
        <v>259.949848192729</v>
      </c>
      <c r="AA18" s="38">
        <v>0.381856677911</v>
      </c>
      <c r="AB18" s="38">
        <f t="shared" si="6"/>
        <v>1084.53266513538</v>
      </c>
      <c r="AC18" s="38">
        <v>1.22797620234201</v>
      </c>
      <c r="AD18" s="46"/>
      <c r="AE18" s="46"/>
      <c r="AF18" s="46"/>
      <c r="AG18" s="38">
        <v>0</v>
      </c>
      <c r="AH18" s="38">
        <v>0.0019</v>
      </c>
    </row>
    <row r="19" ht="22.75" customHeight="1" spans="1:34">
      <c r="A19" s="10" t="s">
        <v>26</v>
      </c>
      <c r="B19" s="38">
        <f t="shared" si="4"/>
        <v>19.5155000000001</v>
      </c>
      <c r="C19" s="39">
        <f t="shared" si="5"/>
        <v>-7.73743779409881</v>
      </c>
      <c r="D19" s="38">
        <v>19.6191</v>
      </c>
      <c r="E19" s="38">
        <v>393.3046</v>
      </c>
      <c r="F19" s="38">
        <v>336.7</v>
      </c>
      <c r="G19" s="38">
        <f t="shared" si="0"/>
        <v>749.6237</v>
      </c>
      <c r="H19" s="38">
        <v>0.7576</v>
      </c>
      <c r="I19" s="38">
        <v>0.083</v>
      </c>
      <c r="J19" s="38">
        <v>91.9401</v>
      </c>
      <c r="K19" s="38">
        <v>16.5312</v>
      </c>
      <c r="L19" s="38">
        <v>167.3911</v>
      </c>
      <c r="M19" s="38">
        <v>25.756</v>
      </c>
      <c r="N19" s="38">
        <v>125.9116</v>
      </c>
      <c r="O19" s="38">
        <v>301.7358</v>
      </c>
      <c r="P19" s="38">
        <f t="shared" si="1"/>
        <v>730.1064</v>
      </c>
      <c r="Q19" s="38">
        <f t="shared" si="2"/>
        <v>0.0018</v>
      </c>
      <c r="R19" s="38">
        <f t="shared" si="3"/>
        <v>730.1082</v>
      </c>
      <c r="S19" s="38">
        <v>47.959797176935</v>
      </c>
      <c r="T19" s="38">
        <v>485.128043485036</v>
      </c>
      <c r="U19" s="38">
        <v>0.495668143287</v>
      </c>
      <c r="V19" s="38">
        <v>149.80412725428</v>
      </c>
      <c r="W19" s="38">
        <v>25.99117964979</v>
      </c>
      <c r="X19" s="38">
        <v>108.615454887132</v>
      </c>
      <c r="Y19" s="38">
        <v>37.379407199273</v>
      </c>
      <c r="Z19" s="38">
        <v>256.028178461403</v>
      </c>
      <c r="AA19" s="38">
        <v>0.383746672343</v>
      </c>
      <c r="AB19" s="38">
        <f t="shared" si="6"/>
        <v>1111.78560292948</v>
      </c>
      <c r="AC19" s="38">
        <v>27.2529377940989</v>
      </c>
      <c r="AD19" s="46"/>
      <c r="AE19" s="46"/>
      <c r="AF19" s="46"/>
      <c r="AG19" s="38">
        <v>0</v>
      </c>
      <c r="AH19" s="38">
        <v>0.0018</v>
      </c>
    </row>
    <row r="20" ht="22.75" customHeight="1" spans="1:34">
      <c r="A20" s="10" t="s">
        <v>27</v>
      </c>
      <c r="B20" s="39">
        <f t="shared" si="4"/>
        <v>-13.8778</v>
      </c>
      <c r="C20" s="39">
        <f t="shared" si="5"/>
        <v>-9.24702013760611</v>
      </c>
      <c r="D20" s="38">
        <v>3.7216</v>
      </c>
      <c r="E20" s="38">
        <v>327.3259</v>
      </c>
      <c r="F20" s="38">
        <v>319.125</v>
      </c>
      <c r="G20" s="38">
        <f t="shared" si="0"/>
        <v>650.1725</v>
      </c>
      <c r="H20" s="38">
        <v>0.8412</v>
      </c>
      <c r="I20" s="38">
        <v>0.047</v>
      </c>
      <c r="J20" s="38">
        <v>107.8886</v>
      </c>
      <c r="K20" s="38">
        <v>0</v>
      </c>
      <c r="L20" s="38">
        <v>153.4974</v>
      </c>
      <c r="M20" s="38">
        <v>26.0174</v>
      </c>
      <c r="N20" s="38">
        <v>92.0603</v>
      </c>
      <c r="O20" s="38">
        <v>283.6966</v>
      </c>
      <c r="P20" s="38">
        <f t="shared" si="1"/>
        <v>664.0485</v>
      </c>
      <c r="Q20" s="38">
        <f t="shared" si="2"/>
        <v>0.0018</v>
      </c>
      <c r="R20" s="38">
        <f t="shared" si="3"/>
        <v>664.0503</v>
      </c>
      <c r="S20" s="38">
        <v>46.743877776716</v>
      </c>
      <c r="T20" s="38">
        <v>479.713187216331</v>
      </c>
      <c r="U20" s="38">
        <v>0.510840563045</v>
      </c>
      <c r="V20" s="38">
        <v>154.259957005351</v>
      </c>
      <c r="W20" s="38">
        <v>26.089979538592</v>
      </c>
      <c r="X20" s="38">
        <v>102.808220145621</v>
      </c>
      <c r="Y20" s="38">
        <v>40.200896118304</v>
      </c>
      <c r="Z20" s="38">
        <v>256.437653057405</v>
      </c>
      <c r="AA20" s="38">
        <v>0.39021164572</v>
      </c>
      <c r="AB20" s="38">
        <f t="shared" si="6"/>
        <v>1107.15482306709</v>
      </c>
      <c r="AC20" s="39">
        <v>-4.63077986239387</v>
      </c>
      <c r="AD20" s="46"/>
      <c r="AE20" s="46"/>
      <c r="AF20" s="46"/>
      <c r="AG20" s="38">
        <v>0</v>
      </c>
      <c r="AH20" s="38">
        <v>0.0018</v>
      </c>
    </row>
    <row r="21" ht="22.75" customHeight="1" spans="1:34">
      <c r="A21" s="10" t="s">
        <v>28</v>
      </c>
      <c r="B21" s="39">
        <f t="shared" si="4"/>
        <v>-34.654</v>
      </c>
      <c r="C21" s="39">
        <f t="shared" si="5"/>
        <v>-8.19665469321399</v>
      </c>
      <c r="D21" s="38">
        <v>4.5547</v>
      </c>
      <c r="E21" s="38">
        <v>375.415</v>
      </c>
      <c r="F21" s="38">
        <v>304.675</v>
      </c>
      <c r="G21" s="38">
        <f t="shared" si="0"/>
        <v>684.6447</v>
      </c>
      <c r="H21" s="38">
        <v>0.812</v>
      </c>
      <c r="I21" s="38">
        <v>0.094</v>
      </c>
      <c r="J21" s="38">
        <v>115.322</v>
      </c>
      <c r="K21" s="38">
        <v>0</v>
      </c>
      <c r="L21" s="38">
        <v>204.0029</v>
      </c>
      <c r="M21" s="38">
        <v>25.9463</v>
      </c>
      <c r="N21" s="38">
        <v>96.1881</v>
      </c>
      <c r="O21" s="38">
        <v>276.9315</v>
      </c>
      <c r="P21" s="38">
        <f t="shared" si="1"/>
        <v>719.2968</v>
      </c>
      <c r="Q21" s="38">
        <f t="shared" si="2"/>
        <v>0.0019</v>
      </c>
      <c r="R21" s="38">
        <f t="shared" si="3"/>
        <v>719.2987</v>
      </c>
      <c r="S21" s="38">
        <v>43.782319514818</v>
      </c>
      <c r="T21" s="38">
        <v>461.435781197542</v>
      </c>
      <c r="U21" s="38">
        <v>0.516187902912</v>
      </c>
      <c r="V21" s="38">
        <v>153.929737394151</v>
      </c>
      <c r="W21" s="38">
        <v>26.14044122273</v>
      </c>
      <c r="X21" s="38">
        <v>96.631551437149</v>
      </c>
      <c r="Y21" s="38">
        <v>37.660121016156</v>
      </c>
      <c r="Z21" s="38">
        <v>260.210320787186</v>
      </c>
      <c r="AA21" s="38">
        <v>0.391017287655</v>
      </c>
      <c r="AB21" s="38">
        <f t="shared" si="6"/>
        <v>1080.6974777603</v>
      </c>
      <c r="AC21" s="39">
        <v>-26.457345306786</v>
      </c>
      <c r="AD21" s="46"/>
      <c r="AE21" s="46"/>
      <c r="AF21" s="46"/>
      <c r="AG21" s="38">
        <v>0</v>
      </c>
      <c r="AH21" s="38">
        <v>0.0019</v>
      </c>
    </row>
    <row r="22" ht="22.75" customHeight="1" spans="1:34">
      <c r="A22" s="10" t="s">
        <v>29</v>
      </c>
      <c r="B22" s="38">
        <f t="shared" si="4"/>
        <v>15.8115999999999</v>
      </c>
      <c r="C22" s="38">
        <f t="shared" si="5"/>
        <v>9.50908452096598</v>
      </c>
      <c r="D22" s="38">
        <v>5.6773</v>
      </c>
      <c r="E22" s="38">
        <v>390.682</v>
      </c>
      <c r="F22" s="38">
        <v>334.975</v>
      </c>
      <c r="G22" s="38">
        <f t="shared" si="0"/>
        <v>731.3343</v>
      </c>
      <c r="H22" s="38">
        <v>0.8</v>
      </c>
      <c r="I22" s="38">
        <v>0.113</v>
      </c>
      <c r="J22" s="38">
        <v>112.5074</v>
      </c>
      <c r="K22" s="38">
        <v>0</v>
      </c>
      <c r="L22" s="38">
        <v>202.5296</v>
      </c>
      <c r="M22" s="38">
        <v>27.6497</v>
      </c>
      <c r="N22" s="38">
        <v>110.5084</v>
      </c>
      <c r="O22" s="38">
        <v>261.4125</v>
      </c>
      <c r="P22" s="38">
        <f t="shared" si="1"/>
        <v>715.5206</v>
      </c>
      <c r="Q22" s="38">
        <f t="shared" si="2"/>
        <v>0.0021</v>
      </c>
      <c r="R22" s="38">
        <f t="shared" si="3"/>
        <v>715.5227</v>
      </c>
      <c r="S22" s="38">
        <v>45.347309419652</v>
      </c>
      <c r="T22" s="38">
        <v>464.371387732899</v>
      </c>
      <c r="U22" s="38">
        <v>0.495746136977</v>
      </c>
      <c r="V22" s="38">
        <v>150.336535190645</v>
      </c>
      <c r="W22" s="38">
        <v>25.910841610606</v>
      </c>
      <c r="X22" s="38">
        <v>100.529237550497</v>
      </c>
      <c r="Y22" s="38">
        <v>37.667177867493</v>
      </c>
      <c r="Z22" s="38">
        <v>261.961051493526</v>
      </c>
      <c r="AA22" s="38">
        <v>0.380706237038</v>
      </c>
      <c r="AB22" s="38">
        <f t="shared" si="6"/>
        <v>1086.99999323933</v>
      </c>
      <c r="AC22" s="38">
        <v>6.3025154790339</v>
      </c>
      <c r="AD22" s="46"/>
      <c r="AE22" s="46"/>
      <c r="AF22" s="46"/>
      <c r="AG22" s="38">
        <v>0</v>
      </c>
      <c r="AH22" s="38">
        <v>0.0021</v>
      </c>
    </row>
    <row r="23" ht="22.75" customHeight="1" spans="1:34">
      <c r="A23" s="10" t="s">
        <v>30</v>
      </c>
      <c r="B23" s="38">
        <f t="shared" si="4"/>
        <v>0.329899999999952</v>
      </c>
      <c r="C23" s="39">
        <f t="shared" si="5"/>
        <v>-28.873743465909</v>
      </c>
      <c r="D23" s="38">
        <v>120.8741</v>
      </c>
      <c r="E23" s="38">
        <v>388.4275</v>
      </c>
      <c r="F23" s="38">
        <v>334.975</v>
      </c>
      <c r="G23" s="38">
        <f t="shared" si="0"/>
        <v>844.2766</v>
      </c>
      <c r="H23" s="38">
        <v>0.6776</v>
      </c>
      <c r="I23" s="38">
        <v>0.154</v>
      </c>
      <c r="J23" s="38">
        <v>150.2923</v>
      </c>
      <c r="K23" s="38">
        <v>0</v>
      </c>
      <c r="L23" s="38">
        <v>213.5724</v>
      </c>
      <c r="M23" s="38">
        <v>27.1173</v>
      </c>
      <c r="N23" s="38">
        <v>119.0513</v>
      </c>
      <c r="O23" s="38">
        <v>333.0796</v>
      </c>
      <c r="P23" s="38">
        <f t="shared" si="1"/>
        <v>843.9445</v>
      </c>
      <c r="Q23" s="38">
        <f t="shared" si="2"/>
        <v>0.0022</v>
      </c>
      <c r="R23" s="38">
        <f t="shared" si="3"/>
        <v>843.9467</v>
      </c>
      <c r="S23" s="38">
        <v>50.127122845779</v>
      </c>
      <c r="T23" s="38">
        <v>483.922815912886</v>
      </c>
      <c r="U23" s="38">
        <v>0.482183806203</v>
      </c>
      <c r="V23" s="38">
        <v>145.887395827176</v>
      </c>
      <c r="W23" s="38">
        <v>25.984278550464</v>
      </c>
      <c r="X23" s="38">
        <v>111.241283856265</v>
      </c>
      <c r="Y23" s="38">
        <v>38.039193741304</v>
      </c>
      <c r="Z23" s="38">
        <v>260.149929393104</v>
      </c>
      <c r="AA23" s="38">
        <v>0.369432772061</v>
      </c>
      <c r="AB23" s="38">
        <f t="shared" si="6"/>
        <v>1116.20363670524</v>
      </c>
      <c r="AC23" s="38">
        <v>29.203643465909</v>
      </c>
      <c r="AD23" s="46"/>
      <c r="AE23" s="46"/>
      <c r="AF23" s="46"/>
      <c r="AG23" s="38">
        <v>0</v>
      </c>
      <c r="AH23" s="38">
        <v>0.0022</v>
      </c>
    </row>
    <row r="24" ht="22.75" customHeight="1" spans="1:34">
      <c r="A24" s="10" t="s">
        <v>31</v>
      </c>
      <c r="B24" s="38">
        <f t="shared" si="4"/>
        <v>23.3269999999999</v>
      </c>
      <c r="C24" s="38">
        <f t="shared" si="5"/>
        <v>25.0413636108948</v>
      </c>
      <c r="D24" s="38">
        <v>0</v>
      </c>
      <c r="E24" s="38">
        <v>377.5066</v>
      </c>
      <c r="F24" s="38">
        <v>399.625</v>
      </c>
      <c r="G24" s="38">
        <f t="shared" si="0"/>
        <v>777.1316</v>
      </c>
      <c r="H24" s="38">
        <v>0.8244</v>
      </c>
      <c r="I24" s="38">
        <v>0.1468</v>
      </c>
      <c r="J24" s="38">
        <v>169.3506</v>
      </c>
      <c r="K24" s="38">
        <v>0.6528</v>
      </c>
      <c r="L24" s="38">
        <v>178.1833</v>
      </c>
      <c r="M24" s="38">
        <v>27.2162</v>
      </c>
      <c r="N24" s="38">
        <v>62.5265</v>
      </c>
      <c r="O24" s="38">
        <v>314.9019</v>
      </c>
      <c r="P24" s="38">
        <f t="shared" si="1"/>
        <v>753.8025</v>
      </c>
      <c r="Q24" s="38">
        <f t="shared" si="2"/>
        <v>0.0021</v>
      </c>
      <c r="R24" s="38">
        <f t="shared" si="3"/>
        <v>753.8046</v>
      </c>
      <c r="S24" s="38">
        <v>49.95370465727</v>
      </c>
      <c r="T24" s="38">
        <v>492.52659752828</v>
      </c>
      <c r="U24" s="38">
        <v>0.514889487066</v>
      </c>
      <c r="V24" s="38">
        <v>155.439344151891</v>
      </c>
      <c r="W24" s="38">
        <v>25.748497906996</v>
      </c>
      <c r="X24" s="38">
        <v>111.685596181388</v>
      </c>
      <c r="Y24" s="38">
        <v>38.710596336204</v>
      </c>
      <c r="Z24" s="38">
        <v>239.517157773872</v>
      </c>
      <c r="AA24" s="38">
        <v>0.39288907138</v>
      </c>
      <c r="AB24" s="38">
        <f t="shared" si="6"/>
        <v>1114.48927309435</v>
      </c>
      <c r="AC24" s="39">
        <v>-1.71436361089491</v>
      </c>
      <c r="AD24" s="46"/>
      <c r="AE24" s="46"/>
      <c r="AF24" s="46"/>
      <c r="AG24" s="38">
        <v>0</v>
      </c>
      <c r="AH24" s="38">
        <v>0.0021</v>
      </c>
    </row>
    <row r="25" ht="22.75" customHeight="1" spans="1:34">
      <c r="A25" s="10" t="s">
        <v>32</v>
      </c>
      <c r="B25" s="39">
        <f t="shared" si="4"/>
        <v>-43.3306</v>
      </c>
      <c r="C25" s="39">
        <f t="shared" si="5"/>
        <v>-17.598077370875</v>
      </c>
      <c r="D25" s="38">
        <v>0</v>
      </c>
      <c r="E25" s="38">
        <v>332.7168</v>
      </c>
      <c r="F25" s="38">
        <v>345.275</v>
      </c>
      <c r="G25" s="38">
        <f t="shared" si="0"/>
        <v>677.9918</v>
      </c>
      <c r="H25" s="38">
        <v>0.7576</v>
      </c>
      <c r="I25" s="38">
        <v>0.162</v>
      </c>
      <c r="J25" s="38">
        <v>159.1189</v>
      </c>
      <c r="K25" s="38">
        <v>0</v>
      </c>
      <c r="L25" s="38">
        <v>178.8666</v>
      </c>
      <c r="M25" s="38">
        <v>40.9685</v>
      </c>
      <c r="N25" s="38">
        <v>62.6448</v>
      </c>
      <c r="O25" s="38">
        <v>278.8022</v>
      </c>
      <c r="P25" s="38">
        <f t="shared" si="1"/>
        <v>721.3206</v>
      </c>
      <c r="Q25" s="38">
        <f t="shared" si="2"/>
        <v>0.0018</v>
      </c>
      <c r="R25" s="38">
        <f t="shared" si="3"/>
        <v>721.3224</v>
      </c>
      <c r="S25" s="38">
        <v>48.502136373841</v>
      </c>
      <c r="T25" s="38">
        <v>475.692975432175</v>
      </c>
      <c r="U25" s="38">
        <v>0.503563425428</v>
      </c>
      <c r="V25" s="38">
        <v>150.553600789881</v>
      </c>
      <c r="W25" s="38">
        <v>26.315055739568</v>
      </c>
      <c r="X25" s="38">
        <v>108.987372772866</v>
      </c>
      <c r="Y25" s="38">
        <v>37.164787930921</v>
      </c>
      <c r="Z25" s="38">
        <v>240.651056713255</v>
      </c>
      <c r="AA25" s="38">
        <v>0.386201287287</v>
      </c>
      <c r="AB25" s="38">
        <f t="shared" si="6"/>
        <v>1088.75675046522</v>
      </c>
      <c r="AC25" s="39">
        <v>-25.732522629125</v>
      </c>
      <c r="AD25" s="46"/>
      <c r="AE25" s="46"/>
      <c r="AF25" s="46"/>
      <c r="AG25" s="38">
        <v>0</v>
      </c>
      <c r="AH25" s="38">
        <v>0.0018</v>
      </c>
    </row>
    <row r="26" ht="22.75" customHeight="1" spans="1:34">
      <c r="A26" s="10" t="s">
        <v>33</v>
      </c>
      <c r="B26" s="39">
        <f t="shared" si="4"/>
        <v>-0.473199999999906</v>
      </c>
      <c r="C26" s="39">
        <f t="shared" si="5"/>
        <v>-12.5330792312468</v>
      </c>
      <c r="D26" s="38">
        <v>0</v>
      </c>
      <c r="E26" s="38">
        <v>366.0902</v>
      </c>
      <c r="F26" s="38">
        <v>320.225</v>
      </c>
      <c r="G26" s="38">
        <f t="shared" si="0"/>
        <v>686.3152</v>
      </c>
      <c r="H26" s="38">
        <v>0.8</v>
      </c>
      <c r="I26" s="38">
        <v>0.138</v>
      </c>
      <c r="J26" s="38">
        <v>150.6601</v>
      </c>
      <c r="K26" s="38">
        <v>0</v>
      </c>
      <c r="L26" s="38">
        <v>155.1354</v>
      </c>
      <c r="M26" s="38">
        <v>41.4176</v>
      </c>
      <c r="N26" s="38">
        <v>91.4421</v>
      </c>
      <c r="O26" s="38">
        <v>247.1933</v>
      </c>
      <c r="P26" s="38">
        <f t="shared" si="1"/>
        <v>686.7865</v>
      </c>
      <c r="Q26" s="38">
        <f t="shared" si="2"/>
        <v>0.0019</v>
      </c>
      <c r="R26" s="38">
        <f t="shared" si="3"/>
        <v>686.7884</v>
      </c>
      <c r="S26" s="38">
        <v>48.36227912925</v>
      </c>
      <c r="T26" s="38">
        <v>481.519371809606</v>
      </c>
      <c r="U26" s="38">
        <v>0.511548251666</v>
      </c>
      <c r="V26" s="38">
        <v>153.754972265298</v>
      </c>
      <c r="W26" s="38">
        <v>25.964847036734</v>
      </c>
      <c r="X26" s="38">
        <v>108.931592931085</v>
      </c>
      <c r="Y26" s="38">
        <v>37.95145373166</v>
      </c>
      <c r="Z26" s="38">
        <v>243.439223968693</v>
      </c>
      <c r="AA26" s="38">
        <v>0.381340572477</v>
      </c>
      <c r="AB26" s="38">
        <f t="shared" si="6"/>
        <v>1100.81662969647</v>
      </c>
      <c r="AC26" s="38">
        <v>12.0598792312469</v>
      </c>
      <c r="AD26" s="46"/>
      <c r="AE26" s="46"/>
      <c r="AF26" s="46"/>
      <c r="AG26" s="38">
        <v>0</v>
      </c>
      <c r="AH26" s="38">
        <v>0.0019</v>
      </c>
    </row>
    <row r="27" ht="22.75" customHeight="1" spans="1:34">
      <c r="A27" s="10" t="s">
        <v>34</v>
      </c>
      <c r="B27" s="39">
        <f t="shared" si="4"/>
        <v>-33.2076999999999</v>
      </c>
      <c r="C27" s="39">
        <f t="shared" si="5"/>
        <v>-6.59487868598808</v>
      </c>
      <c r="D27" s="38">
        <v>0</v>
      </c>
      <c r="E27" s="38">
        <v>373.1412</v>
      </c>
      <c r="F27" s="38">
        <v>307.95</v>
      </c>
      <c r="G27" s="38">
        <f t="shared" si="0"/>
        <v>681.0912</v>
      </c>
      <c r="H27" s="38">
        <v>0.8</v>
      </c>
      <c r="I27" s="38">
        <v>0.127</v>
      </c>
      <c r="J27" s="38">
        <v>162.9913</v>
      </c>
      <c r="K27" s="38">
        <v>0</v>
      </c>
      <c r="L27" s="38">
        <v>172.8664</v>
      </c>
      <c r="M27" s="38">
        <v>40.7023</v>
      </c>
      <c r="N27" s="38">
        <v>102.8024</v>
      </c>
      <c r="O27" s="38">
        <v>234.0076</v>
      </c>
      <c r="P27" s="38">
        <f t="shared" si="1"/>
        <v>714.297</v>
      </c>
      <c r="Q27" s="38">
        <f t="shared" si="2"/>
        <v>0.0019</v>
      </c>
      <c r="R27" s="38">
        <f t="shared" si="3"/>
        <v>714.2989</v>
      </c>
      <c r="S27" s="38">
        <v>45.747555662842</v>
      </c>
      <c r="T27" s="38">
        <v>461.451267217174</v>
      </c>
      <c r="U27" s="38">
        <v>0.500285013719</v>
      </c>
      <c r="V27" s="38">
        <v>152.81384232323</v>
      </c>
      <c r="W27" s="38">
        <v>25.831840713405</v>
      </c>
      <c r="X27" s="38">
        <v>103.339369709921</v>
      </c>
      <c r="Y27" s="38">
        <v>38.998266348003</v>
      </c>
      <c r="Z27" s="38">
        <v>245.139272222364</v>
      </c>
      <c r="AA27" s="38">
        <v>0.382109171799</v>
      </c>
      <c r="AB27" s="38">
        <f t="shared" si="6"/>
        <v>1074.20380838246</v>
      </c>
      <c r="AC27" s="39">
        <v>-26.6128213140119</v>
      </c>
      <c r="AD27" s="46"/>
      <c r="AE27" s="46"/>
      <c r="AF27" s="46"/>
      <c r="AG27" s="38">
        <v>0</v>
      </c>
      <c r="AH27" s="38">
        <v>0.0019</v>
      </c>
    </row>
    <row r="28" ht="22.75" customHeight="1" spans="1:34">
      <c r="A28" s="10" t="s">
        <v>35</v>
      </c>
      <c r="B28" s="39">
        <f t="shared" si="4"/>
        <v>-6.61799999999994</v>
      </c>
      <c r="C28" s="39">
        <f t="shared" si="5"/>
        <v>-16.7741803536758</v>
      </c>
      <c r="D28" s="38">
        <v>0</v>
      </c>
      <c r="E28" s="38">
        <v>393.27</v>
      </c>
      <c r="F28" s="38">
        <v>282.575</v>
      </c>
      <c r="G28" s="38">
        <f t="shared" si="0"/>
        <v>675.845</v>
      </c>
      <c r="H28" s="38">
        <v>0.8</v>
      </c>
      <c r="I28" s="38">
        <v>0.128</v>
      </c>
      <c r="J28" s="38">
        <v>121.2547</v>
      </c>
      <c r="K28" s="38">
        <v>0</v>
      </c>
      <c r="L28" s="38">
        <v>205.8552</v>
      </c>
      <c r="M28" s="38">
        <v>27.0227</v>
      </c>
      <c r="N28" s="38">
        <v>105.9481</v>
      </c>
      <c r="O28" s="38">
        <v>221.4519</v>
      </c>
      <c r="P28" s="38">
        <f t="shared" si="1"/>
        <v>682.4606</v>
      </c>
      <c r="Q28" s="38">
        <f t="shared" si="2"/>
        <v>0.0024</v>
      </c>
      <c r="R28" s="38">
        <f t="shared" si="3"/>
        <v>682.463</v>
      </c>
      <c r="S28" s="38">
        <v>45.671456839998</v>
      </c>
      <c r="T28" s="38">
        <v>474.143130107641</v>
      </c>
      <c r="U28" s="38">
        <v>0.514237772087</v>
      </c>
      <c r="V28" s="38">
        <v>154.577370106055</v>
      </c>
      <c r="W28" s="38">
        <v>25.9379228087</v>
      </c>
      <c r="X28" s="38">
        <v>100.494162698075</v>
      </c>
      <c r="Y28" s="38">
        <v>38.648153810062</v>
      </c>
      <c r="Z28" s="38">
        <v>243.983132178078</v>
      </c>
      <c r="AA28" s="38">
        <v>0.390422415437</v>
      </c>
      <c r="AB28" s="38">
        <f t="shared" si="6"/>
        <v>1084.35998873613</v>
      </c>
      <c r="AC28" s="38">
        <v>10.1561803536758</v>
      </c>
      <c r="AD28" s="46"/>
      <c r="AE28" s="46"/>
      <c r="AF28" s="46"/>
      <c r="AG28" s="38">
        <v>0</v>
      </c>
      <c r="AH28" s="38">
        <v>0.0024</v>
      </c>
    </row>
    <row r="29" ht="22.75" customHeight="1" spans="1:34">
      <c r="A29" s="10" t="s">
        <v>36</v>
      </c>
      <c r="B29" s="38">
        <f t="shared" si="4"/>
        <v>8.17690000000005</v>
      </c>
      <c r="C29" s="39">
        <f t="shared" si="5"/>
        <v>-8.78168640200317</v>
      </c>
      <c r="D29" s="38">
        <v>0</v>
      </c>
      <c r="E29" s="38">
        <v>382.5941</v>
      </c>
      <c r="F29" s="38">
        <v>296.175</v>
      </c>
      <c r="G29" s="38">
        <f t="shared" si="0"/>
        <v>678.7691</v>
      </c>
      <c r="H29" s="38">
        <v>0.774</v>
      </c>
      <c r="I29" s="38">
        <v>0.1321</v>
      </c>
      <c r="J29" s="38">
        <v>103.741</v>
      </c>
      <c r="K29" s="38">
        <v>0</v>
      </c>
      <c r="L29" s="38">
        <v>205.4628</v>
      </c>
      <c r="M29" s="38">
        <v>27.2445</v>
      </c>
      <c r="N29" s="38">
        <v>102.3808</v>
      </c>
      <c r="O29" s="38">
        <v>230.8202</v>
      </c>
      <c r="P29" s="38">
        <f t="shared" si="1"/>
        <v>670.5554</v>
      </c>
      <c r="Q29" s="38">
        <f t="shared" si="2"/>
        <v>0.0368</v>
      </c>
      <c r="R29" s="38">
        <f t="shared" si="3"/>
        <v>670.5922</v>
      </c>
      <c r="S29" s="38">
        <v>47.258666512739</v>
      </c>
      <c r="T29" s="38">
        <v>490.8307742665</v>
      </c>
      <c r="U29" s="38">
        <v>0.511114785399</v>
      </c>
      <c r="V29" s="38">
        <v>153.579916322389</v>
      </c>
      <c r="W29" s="38">
        <v>26.094671323659</v>
      </c>
      <c r="X29" s="38">
        <v>103.522471125925</v>
      </c>
      <c r="Y29" s="38">
        <v>37.777035449932</v>
      </c>
      <c r="Z29" s="38">
        <v>241.357184657978</v>
      </c>
      <c r="AA29" s="38">
        <v>0.386740693615</v>
      </c>
      <c r="AB29" s="38">
        <f t="shared" si="6"/>
        <v>1101.31857513814</v>
      </c>
      <c r="AC29" s="38">
        <v>16.9585864020032</v>
      </c>
      <c r="AD29" s="46"/>
      <c r="AE29" s="46"/>
      <c r="AF29" s="46"/>
      <c r="AG29" s="38">
        <v>0.0345</v>
      </c>
      <c r="AH29" s="38">
        <v>0.0023</v>
      </c>
    </row>
    <row r="30" ht="22.75" customHeight="1" spans="1:34">
      <c r="A30" s="10" t="s">
        <v>37</v>
      </c>
      <c r="B30" s="38">
        <f t="shared" si="4"/>
        <v>9.94989999999996</v>
      </c>
      <c r="C30" s="39">
        <f t="shared" si="5"/>
        <v>-13.4249635812099</v>
      </c>
      <c r="D30" s="38">
        <v>0</v>
      </c>
      <c r="E30" s="38">
        <v>354.52</v>
      </c>
      <c r="F30" s="38">
        <v>292.625</v>
      </c>
      <c r="G30" s="38">
        <f t="shared" si="0"/>
        <v>647.145</v>
      </c>
      <c r="H30" s="38">
        <v>0.8264</v>
      </c>
      <c r="I30" s="38">
        <v>0.1763</v>
      </c>
      <c r="J30" s="38">
        <v>97.0946</v>
      </c>
      <c r="K30" s="38">
        <v>0</v>
      </c>
      <c r="L30" s="38">
        <v>195.6788</v>
      </c>
      <c r="M30" s="38">
        <v>27.2903</v>
      </c>
      <c r="N30" s="38">
        <v>86.8308</v>
      </c>
      <c r="O30" s="38">
        <v>229.2956</v>
      </c>
      <c r="P30" s="38">
        <f t="shared" si="1"/>
        <v>637.1928</v>
      </c>
      <c r="Q30" s="38">
        <f t="shared" si="2"/>
        <v>0.0023</v>
      </c>
      <c r="R30" s="38">
        <f t="shared" si="3"/>
        <v>637.1951</v>
      </c>
      <c r="S30" s="38">
        <v>48.754218041479</v>
      </c>
      <c r="T30" s="38">
        <v>500.200833319738</v>
      </c>
      <c r="U30" s="38">
        <v>0.511445938761</v>
      </c>
      <c r="V30" s="38">
        <v>154.261386946102</v>
      </c>
      <c r="W30" s="38">
        <v>26.030498989634</v>
      </c>
      <c r="X30" s="38">
        <v>107.478107730626</v>
      </c>
      <c r="Y30" s="38">
        <v>38.454090441497</v>
      </c>
      <c r="Z30" s="38">
        <v>248.614953190833</v>
      </c>
      <c r="AA30" s="38">
        <v>0.387904120676</v>
      </c>
      <c r="AB30" s="38">
        <f t="shared" si="6"/>
        <v>1124.69343871935</v>
      </c>
      <c r="AC30" s="38">
        <v>23.3748635812099</v>
      </c>
      <c r="AD30" s="46"/>
      <c r="AE30" s="46"/>
      <c r="AF30" s="46"/>
      <c r="AG30" s="38">
        <v>0</v>
      </c>
      <c r="AH30" s="38">
        <v>0.0023</v>
      </c>
    </row>
    <row r="31" ht="22.75" customHeight="1" spans="1:34">
      <c r="A31" s="10" t="s">
        <v>38</v>
      </c>
      <c r="B31" s="39">
        <f t="shared" si="4"/>
        <v>-36.5612</v>
      </c>
      <c r="C31" s="39">
        <f t="shared" si="5"/>
        <v>-4.59275014280308</v>
      </c>
      <c r="D31" s="38">
        <v>0</v>
      </c>
      <c r="E31" s="38">
        <v>360.286</v>
      </c>
      <c r="F31" s="38">
        <v>290.725</v>
      </c>
      <c r="G31" s="38">
        <f t="shared" si="0"/>
        <v>651.011</v>
      </c>
      <c r="H31" s="38">
        <v>0.8068</v>
      </c>
      <c r="I31" s="38">
        <v>0.1013</v>
      </c>
      <c r="J31" s="38">
        <v>111.6683</v>
      </c>
      <c r="K31" s="38">
        <v>0</v>
      </c>
      <c r="L31" s="38">
        <v>209.6001</v>
      </c>
      <c r="M31" s="38">
        <v>28.4711</v>
      </c>
      <c r="N31" s="38">
        <v>98.66</v>
      </c>
      <c r="O31" s="38">
        <v>238.2624</v>
      </c>
      <c r="P31" s="38">
        <f t="shared" si="1"/>
        <v>687.57</v>
      </c>
      <c r="Q31" s="38">
        <f t="shared" si="2"/>
        <v>0.0022</v>
      </c>
      <c r="R31" s="38">
        <f t="shared" si="3"/>
        <v>687.5722</v>
      </c>
      <c r="S31" s="38">
        <v>46.46360686971</v>
      </c>
      <c r="T31" s="38">
        <v>480.386477713014</v>
      </c>
      <c r="U31" s="38">
        <v>0.494386333026</v>
      </c>
      <c r="V31" s="38">
        <v>148.672720611557</v>
      </c>
      <c r="W31" s="38">
        <v>25.833558410462</v>
      </c>
      <c r="X31" s="38">
        <v>102.834250084152</v>
      </c>
      <c r="Y31" s="38">
        <v>37.815256099931</v>
      </c>
      <c r="Z31" s="38">
        <v>249.837036804903</v>
      </c>
      <c r="AA31" s="38">
        <v>0.387695935394</v>
      </c>
      <c r="AB31" s="38">
        <f t="shared" si="6"/>
        <v>1092.72498886215</v>
      </c>
      <c r="AC31" s="39">
        <v>-31.9684498571969</v>
      </c>
      <c r="AD31" s="46"/>
      <c r="AE31" s="46"/>
      <c r="AF31" s="46"/>
      <c r="AG31" s="38">
        <v>0</v>
      </c>
      <c r="AH31" s="38">
        <v>0.0022</v>
      </c>
    </row>
    <row r="32" ht="22.75" customHeight="1" spans="1:34">
      <c r="A32" s="10" t="s">
        <v>39</v>
      </c>
      <c r="B32" s="38">
        <f t="shared" si="4"/>
        <v>5.1567</v>
      </c>
      <c r="C32" s="38">
        <f t="shared" si="5"/>
        <v>0.267602538440997</v>
      </c>
      <c r="D32" s="38">
        <v>0</v>
      </c>
      <c r="E32" s="38">
        <v>371.7935</v>
      </c>
      <c r="F32" s="38">
        <v>337.25</v>
      </c>
      <c r="G32" s="38">
        <f t="shared" si="0"/>
        <v>709.0435</v>
      </c>
      <c r="H32" s="38">
        <v>0.826</v>
      </c>
      <c r="I32" s="38">
        <v>0.009</v>
      </c>
      <c r="J32" s="38">
        <v>138.4667</v>
      </c>
      <c r="K32" s="38">
        <v>0</v>
      </c>
      <c r="L32" s="38">
        <v>156.1077</v>
      </c>
      <c r="M32" s="38">
        <v>27.9132</v>
      </c>
      <c r="N32" s="38">
        <v>101.8193</v>
      </c>
      <c r="O32" s="38">
        <v>278.7425</v>
      </c>
      <c r="P32" s="38">
        <f t="shared" si="1"/>
        <v>703.8844</v>
      </c>
      <c r="Q32" s="38">
        <f t="shared" si="2"/>
        <v>0.0024</v>
      </c>
      <c r="R32" s="38">
        <f t="shared" si="3"/>
        <v>703.8868</v>
      </c>
      <c r="S32" s="38">
        <v>48.38185442472</v>
      </c>
      <c r="T32" s="38">
        <v>488.612423178312</v>
      </c>
      <c r="U32" s="38">
        <v>0.494427562552</v>
      </c>
      <c r="V32" s="38">
        <v>149.650178164252</v>
      </c>
      <c r="W32" s="38">
        <v>25.759946915692</v>
      </c>
      <c r="X32" s="38">
        <v>108.266987759563</v>
      </c>
      <c r="Y32" s="38">
        <v>38.05956460333</v>
      </c>
      <c r="Z32" s="38">
        <v>238.010036105134</v>
      </c>
      <c r="AA32" s="38">
        <v>0.378667610153</v>
      </c>
      <c r="AB32" s="38">
        <f t="shared" si="6"/>
        <v>1097.61408632371</v>
      </c>
      <c r="AC32" s="38">
        <v>4.889097461559</v>
      </c>
      <c r="AD32" s="46"/>
      <c r="AE32" s="46"/>
      <c r="AF32" s="46"/>
      <c r="AG32" s="38">
        <v>0</v>
      </c>
      <c r="AH32" s="38">
        <v>0.0024</v>
      </c>
    </row>
    <row r="33" ht="22.75" customHeight="1" spans="1:34">
      <c r="A33" s="10" t="s">
        <v>40</v>
      </c>
      <c r="B33" s="39">
        <f t="shared" si="4"/>
        <v>-4.64239999999995</v>
      </c>
      <c r="C33" s="39">
        <f t="shared" si="5"/>
        <v>-17.8032213987608</v>
      </c>
      <c r="D33" s="38">
        <v>0</v>
      </c>
      <c r="E33" s="38">
        <v>354.1953</v>
      </c>
      <c r="F33" s="38">
        <v>286.525</v>
      </c>
      <c r="G33" s="38">
        <f t="shared" si="0"/>
        <v>640.7203</v>
      </c>
      <c r="H33" s="38">
        <v>0.8556</v>
      </c>
      <c r="I33" s="38">
        <v>0</v>
      </c>
      <c r="J33" s="38">
        <v>146.9917</v>
      </c>
      <c r="K33" s="38">
        <v>0</v>
      </c>
      <c r="L33" s="38">
        <v>144.5924</v>
      </c>
      <c r="M33" s="38">
        <v>27.0515</v>
      </c>
      <c r="N33" s="38">
        <v>97.6457</v>
      </c>
      <c r="O33" s="38">
        <v>228.2231</v>
      </c>
      <c r="P33" s="38">
        <f t="shared" si="1"/>
        <v>645.36</v>
      </c>
      <c r="Q33" s="38">
        <f t="shared" si="2"/>
        <v>0.0027</v>
      </c>
      <c r="R33" s="38">
        <f t="shared" si="3"/>
        <v>645.3627</v>
      </c>
      <c r="S33" s="38">
        <v>48.461421207429</v>
      </c>
      <c r="T33" s="38">
        <v>487.660854831638</v>
      </c>
      <c r="U33" s="38">
        <v>0.505461204569</v>
      </c>
      <c r="V33" s="38">
        <v>153.562216954885</v>
      </c>
      <c r="W33" s="38">
        <v>26.034899336454</v>
      </c>
      <c r="X33" s="38">
        <v>108.737792494232</v>
      </c>
      <c r="Y33" s="38">
        <v>39.655291007084</v>
      </c>
      <c r="Z33" s="38">
        <v>245.772046167624</v>
      </c>
      <c r="AA33" s="38">
        <v>0.384924518554</v>
      </c>
      <c r="AB33" s="38">
        <f t="shared" si="6"/>
        <v>1110.77490772247</v>
      </c>
      <c r="AC33" s="38">
        <v>13.1608213987608</v>
      </c>
      <c r="AD33" s="46"/>
      <c r="AE33" s="46"/>
      <c r="AF33" s="46"/>
      <c r="AG33" s="38">
        <v>0</v>
      </c>
      <c r="AH33" s="38">
        <v>0.0027</v>
      </c>
    </row>
    <row r="34" ht="22.75" customHeight="1" spans="1:34">
      <c r="A34" s="10" t="s">
        <v>41</v>
      </c>
      <c r="B34" s="38">
        <f t="shared" si="4"/>
        <v>16.4021399999998</v>
      </c>
      <c r="C34" s="39">
        <f t="shared" si="5"/>
        <v>-15.8742509703903</v>
      </c>
      <c r="D34" s="38">
        <v>3.32734</v>
      </c>
      <c r="E34" s="38">
        <v>333.9824</v>
      </c>
      <c r="F34" s="38">
        <v>249.5</v>
      </c>
      <c r="G34" s="38">
        <f t="shared" si="0"/>
        <v>586.80974</v>
      </c>
      <c r="H34" s="38">
        <v>0.8512</v>
      </c>
      <c r="I34" s="38">
        <v>0</v>
      </c>
      <c r="J34" s="38">
        <v>137.5612</v>
      </c>
      <c r="K34" s="38">
        <v>0</v>
      </c>
      <c r="L34" s="38">
        <v>113.3639</v>
      </c>
      <c r="M34" s="38">
        <v>26.984</v>
      </c>
      <c r="N34" s="38">
        <v>84.9452</v>
      </c>
      <c r="O34" s="38">
        <v>206.7</v>
      </c>
      <c r="P34" s="38">
        <f t="shared" si="1"/>
        <v>570.4055</v>
      </c>
      <c r="Q34" s="38">
        <f t="shared" si="2"/>
        <v>0.0021</v>
      </c>
      <c r="R34" s="38">
        <f t="shared" si="3"/>
        <v>570.4076</v>
      </c>
      <c r="S34" s="38">
        <v>50.792070723335</v>
      </c>
      <c r="T34" s="38">
        <v>501.448592362276</v>
      </c>
      <c r="U34" s="38">
        <v>0.489986666121</v>
      </c>
      <c r="V34" s="38">
        <v>151.393110779106</v>
      </c>
      <c r="W34" s="38">
        <v>25.711221552524</v>
      </c>
      <c r="X34" s="38">
        <v>113.83680390517</v>
      </c>
      <c r="Y34" s="38">
        <v>39.724470939832</v>
      </c>
      <c r="Z34" s="38">
        <v>259.281169453289</v>
      </c>
      <c r="AA34" s="38">
        <v>0.373872311206</v>
      </c>
      <c r="AB34" s="38">
        <f t="shared" si="6"/>
        <v>1143.05129869286</v>
      </c>
      <c r="AC34" s="38">
        <v>32.2763909703901</v>
      </c>
      <c r="AD34" s="46"/>
      <c r="AE34" s="46"/>
      <c r="AF34" s="46"/>
      <c r="AG34" s="38">
        <v>0</v>
      </c>
      <c r="AH34" s="38">
        <v>0.0021</v>
      </c>
    </row>
    <row r="35" ht="22.75" customHeight="1" spans="1:34">
      <c r="A35" s="10" t="s">
        <v>42</v>
      </c>
      <c r="B35" s="39">
        <f t="shared" si="4"/>
        <v>-9.61943999999994</v>
      </c>
      <c r="C35" s="39">
        <f t="shared" si="5"/>
        <v>-22.4597987789618</v>
      </c>
      <c r="D35" s="38">
        <v>1.66666</v>
      </c>
      <c r="E35" s="38">
        <v>311.8802</v>
      </c>
      <c r="F35" s="38">
        <v>319.975</v>
      </c>
      <c r="G35" s="38">
        <f t="shared" si="0"/>
        <v>633.52186</v>
      </c>
      <c r="H35" s="38">
        <v>0.8</v>
      </c>
      <c r="I35" s="38">
        <v>0</v>
      </c>
      <c r="J35" s="38">
        <v>111.1353</v>
      </c>
      <c r="K35" s="38">
        <v>0</v>
      </c>
      <c r="L35" s="38">
        <v>133.136</v>
      </c>
      <c r="M35" s="38">
        <v>29.3137</v>
      </c>
      <c r="N35" s="38">
        <v>85.5188</v>
      </c>
      <c r="O35" s="38">
        <v>283.2353</v>
      </c>
      <c r="P35" s="38">
        <f t="shared" si="1"/>
        <v>643.1391</v>
      </c>
      <c r="Q35" s="38">
        <f t="shared" si="2"/>
        <v>0.0022</v>
      </c>
      <c r="R35" s="38">
        <f t="shared" si="3"/>
        <v>643.1413</v>
      </c>
      <c r="S35" s="38">
        <v>51.363133457885</v>
      </c>
      <c r="T35" s="38">
        <v>516.999852947437</v>
      </c>
      <c r="U35" s="38">
        <v>0.496705995821</v>
      </c>
      <c r="V35" s="38">
        <v>150.388501282994</v>
      </c>
      <c r="W35" s="38">
        <v>26.176245517067</v>
      </c>
      <c r="X35" s="38">
        <v>116.246296141922</v>
      </c>
      <c r="Y35" s="38">
        <v>38.169368524269</v>
      </c>
      <c r="Z35" s="38">
        <v>255.668438736237</v>
      </c>
      <c r="AA35" s="38">
        <v>0.383114868189</v>
      </c>
      <c r="AB35" s="38">
        <f t="shared" si="6"/>
        <v>1155.89165747182</v>
      </c>
      <c r="AC35" s="38">
        <v>12.8403587789619</v>
      </c>
      <c r="AD35" s="46"/>
      <c r="AE35" s="46"/>
      <c r="AF35" s="46"/>
      <c r="AG35" s="38">
        <v>0</v>
      </c>
      <c r="AH35" s="38">
        <v>0.0022</v>
      </c>
    </row>
    <row r="36" ht="22.75" customHeight="1" spans="1:34">
      <c r="A36" s="10" t="s">
        <v>43</v>
      </c>
      <c r="B36" s="39">
        <f t="shared" si="4"/>
        <v>-49.8419000000001</v>
      </c>
      <c r="C36" s="38">
        <f t="shared" si="5"/>
        <v>5.37145102740783</v>
      </c>
      <c r="D36" s="38">
        <v>0</v>
      </c>
      <c r="E36" s="38">
        <v>321.719</v>
      </c>
      <c r="F36" s="38">
        <v>283.95</v>
      </c>
      <c r="G36" s="38">
        <f t="shared" si="0"/>
        <v>605.669</v>
      </c>
      <c r="H36" s="38">
        <v>0.8</v>
      </c>
      <c r="I36" s="38">
        <v>0.0111</v>
      </c>
      <c r="J36" s="38">
        <v>132.5182</v>
      </c>
      <c r="K36" s="38">
        <v>0</v>
      </c>
      <c r="L36" s="38">
        <v>137.5718</v>
      </c>
      <c r="M36" s="38">
        <v>31.4565</v>
      </c>
      <c r="N36" s="38">
        <v>110.0083</v>
      </c>
      <c r="O36" s="38">
        <v>243.1429</v>
      </c>
      <c r="P36" s="38">
        <f t="shared" si="1"/>
        <v>655.5088</v>
      </c>
      <c r="Q36" s="38">
        <f t="shared" si="2"/>
        <v>0.0021</v>
      </c>
      <c r="R36" s="38">
        <f t="shared" si="3"/>
        <v>655.5109</v>
      </c>
      <c r="S36" s="38">
        <v>46.992313339399</v>
      </c>
      <c r="T36" s="38">
        <v>483.342342219858</v>
      </c>
      <c r="U36" s="38">
        <v>0.498532499572</v>
      </c>
      <c r="V36" s="38">
        <v>150.985671052434</v>
      </c>
      <c r="W36" s="38">
        <v>26.042164427023</v>
      </c>
      <c r="X36" s="38">
        <v>106.252612792807</v>
      </c>
      <c r="Y36" s="38">
        <v>37.928330235785</v>
      </c>
      <c r="Z36" s="38">
        <v>248.253549720941</v>
      </c>
      <c r="AA36" s="38">
        <v>0.382790156594</v>
      </c>
      <c r="AB36" s="38">
        <f t="shared" si="6"/>
        <v>1100.67830644441</v>
      </c>
      <c r="AC36" s="39">
        <v>-55.213351027408</v>
      </c>
      <c r="AD36" s="46"/>
      <c r="AE36" s="46"/>
      <c r="AF36" s="46"/>
      <c r="AG36" s="38">
        <v>0</v>
      </c>
      <c r="AH36" s="38">
        <v>0.0021</v>
      </c>
    </row>
    <row r="37" ht="22.75" customHeight="1" spans="1:34">
      <c r="A37" s="10" t="s">
        <v>44</v>
      </c>
      <c r="B37" s="39">
        <f t="shared" si="4"/>
        <v>-54.3612000000001</v>
      </c>
      <c r="C37" s="39">
        <f t="shared" si="5"/>
        <v>-11.0178297775719</v>
      </c>
      <c r="D37" s="38">
        <v>0</v>
      </c>
      <c r="E37" s="38">
        <v>393.0324</v>
      </c>
      <c r="F37" s="38">
        <v>281.7</v>
      </c>
      <c r="G37" s="38">
        <f t="shared" si="0"/>
        <v>674.7324</v>
      </c>
      <c r="H37" s="38">
        <v>0.8</v>
      </c>
      <c r="I37" s="38">
        <v>0</v>
      </c>
      <c r="J37" s="38">
        <v>152.0357</v>
      </c>
      <c r="K37" s="38">
        <v>0</v>
      </c>
      <c r="L37" s="38">
        <v>149.1512</v>
      </c>
      <c r="M37" s="38">
        <v>37.4535</v>
      </c>
      <c r="N37" s="38">
        <v>145.1353</v>
      </c>
      <c r="O37" s="38">
        <v>244.5157</v>
      </c>
      <c r="P37" s="38">
        <f t="shared" si="1"/>
        <v>729.0914</v>
      </c>
      <c r="Q37" s="38">
        <f t="shared" si="2"/>
        <v>0.0022</v>
      </c>
      <c r="R37" s="38">
        <f t="shared" si="3"/>
        <v>729.0936</v>
      </c>
      <c r="S37" s="38">
        <v>43.990757683184</v>
      </c>
      <c r="T37" s="38">
        <v>456.090852417968</v>
      </c>
      <c r="U37" s="38">
        <v>0.478496476809</v>
      </c>
      <c r="V37" s="38">
        <v>145.675251361966</v>
      </c>
      <c r="W37" s="38">
        <v>25.917420927292</v>
      </c>
      <c r="X37" s="38">
        <v>99.629027045736</v>
      </c>
      <c r="Y37" s="38">
        <v>37.280047851593</v>
      </c>
      <c r="Z37" s="38">
        <v>247.903243263422</v>
      </c>
      <c r="AA37" s="38">
        <v>0.369839194015</v>
      </c>
      <c r="AB37" s="38">
        <f t="shared" si="6"/>
        <v>1057.33493622199</v>
      </c>
      <c r="AC37" s="39">
        <v>-43.3433702224281</v>
      </c>
      <c r="AD37" s="46"/>
      <c r="AE37" s="46"/>
      <c r="AF37" s="46"/>
      <c r="AG37" s="38">
        <v>0</v>
      </c>
      <c r="AH37" s="38">
        <v>0.0022</v>
      </c>
    </row>
    <row r="38" ht="22.75" customHeight="1" spans="1:34">
      <c r="A38" s="10" t="s">
        <v>45</v>
      </c>
      <c r="B38" s="38">
        <f t="shared" si="4"/>
        <v>19.1817</v>
      </c>
      <c r="C38" s="39">
        <f t="shared" si="5"/>
        <v>-4.02537030137512</v>
      </c>
      <c r="D38" s="38">
        <v>0</v>
      </c>
      <c r="E38" s="38">
        <v>416.7663</v>
      </c>
      <c r="F38" s="38">
        <v>266.55</v>
      </c>
      <c r="G38" s="38">
        <f t="shared" si="0"/>
        <v>683.3163</v>
      </c>
      <c r="H38" s="38">
        <v>0.8</v>
      </c>
      <c r="I38" s="38">
        <v>0</v>
      </c>
      <c r="J38" s="38">
        <v>147.0884</v>
      </c>
      <c r="K38" s="38">
        <v>0</v>
      </c>
      <c r="L38" s="38">
        <v>118.108</v>
      </c>
      <c r="M38" s="38">
        <v>26.8807</v>
      </c>
      <c r="N38" s="38">
        <v>139.44</v>
      </c>
      <c r="O38" s="38">
        <v>231.8156</v>
      </c>
      <c r="P38" s="38">
        <f t="shared" si="1"/>
        <v>664.1327</v>
      </c>
      <c r="Q38" s="38">
        <f t="shared" si="2"/>
        <v>0.0019</v>
      </c>
      <c r="R38" s="38">
        <f t="shared" si="3"/>
        <v>664.1346</v>
      </c>
      <c r="S38" s="38">
        <v>45.615551417696</v>
      </c>
      <c r="T38" s="38">
        <v>468.060091480955</v>
      </c>
      <c r="U38" s="38">
        <v>0.501995781681</v>
      </c>
      <c r="V38" s="38">
        <v>152.384348079909</v>
      </c>
      <c r="W38" s="38">
        <v>25.974478593006</v>
      </c>
      <c r="X38" s="38">
        <v>103.015775644517</v>
      </c>
      <c r="Y38" s="38">
        <v>39.156883484091</v>
      </c>
      <c r="Z38" s="38">
        <v>245.451244506621</v>
      </c>
      <c r="AA38" s="38">
        <v>0.381637534884</v>
      </c>
      <c r="AB38" s="38">
        <f t="shared" si="6"/>
        <v>1080.54200652336</v>
      </c>
      <c r="AC38" s="38">
        <v>23.2070703013751</v>
      </c>
      <c r="AD38" s="46"/>
      <c r="AE38" s="46"/>
      <c r="AF38" s="46"/>
      <c r="AG38" s="38">
        <v>0</v>
      </c>
      <c r="AH38" s="38">
        <v>0.0019</v>
      </c>
    </row>
    <row r="39" ht="22.75" customHeight="1" spans="1:34">
      <c r="A39" s="10" t="s">
        <v>46</v>
      </c>
      <c r="B39" s="39">
        <f t="shared" si="4"/>
        <v>-25.2890000000001</v>
      </c>
      <c r="C39" s="39">
        <f t="shared" si="5"/>
        <v>-1.43408473180409</v>
      </c>
      <c r="D39" s="38">
        <v>0</v>
      </c>
      <c r="E39" s="38">
        <v>420.1545</v>
      </c>
      <c r="F39" s="38">
        <v>250.2</v>
      </c>
      <c r="G39" s="38">
        <f t="shared" si="0"/>
        <v>670.3545</v>
      </c>
      <c r="H39" s="38">
        <v>0.8</v>
      </c>
      <c r="I39" s="38">
        <v>0</v>
      </c>
      <c r="J39" s="38">
        <v>159.4711</v>
      </c>
      <c r="K39" s="38">
        <v>0</v>
      </c>
      <c r="L39" s="38">
        <v>139.0016</v>
      </c>
      <c r="M39" s="38">
        <v>28.5278</v>
      </c>
      <c r="N39" s="38">
        <v>140.1835</v>
      </c>
      <c r="O39" s="38">
        <v>227.6575</v>
      </c>
      <c r="P39" s="38">
        <f t="shared" si="1"/>
        <v>695.6415</v>
      </c>
      <c r="Q39" s="38">
        <f t="shared" si="2"/>
        <v>0.002</v>
      </c>
      <c r="R39" s="38">
        <f t="shared" si="3"/>
        <v>695.6435</v>
      </c>
      <c r="S39" s="38">
        <v>45.02073432629</v>
      </c>
      <c r="T39" s="38">
        <v>461.987179717527</v>
      </c>
      <c r="U39" s="38">
        <v>0.484356567716</v>
      </c>
      <c r="V39" s="38">
        <v>146.934206988829</v>
      </c>
      <c r="W39" s="38">
        <v>25.856957836137</v>
      </c>
      <c r="X39" s="38">
        <v>101.327954426064</v>
      </c>
      <c r="Y39" s="38">
        <v>37.768022692903</v>
      </c>
      <c r="Z39" s="38">
        <v>236.938000234295</v>
      </c>
      <c r="AA39" s="38">
        <v>0.369678465403</v>
      </c>
      <c r="AB39" s="38">
        <f t="shared" si="6"/>
        <v>1056.68709125516</v>
      </c>
      <c r="AC39" s="39">
        <v>-23.854915268196</v>
      </c>
      <c r="AD39" s="46"/>
      <c r="AE39" s="46"/>
      <c r="AF39" s="46"/>
      <c r="AG39" s="38">
        <v>0</v>
      </c>
      <c r="AH39" s="38">
        <v>0.002</v>
      </c>
    </row>
    <row r="40" ht="22.75" customHeight="1" spans="5:34">
      <c r="E40" s="13"/>
      <c r="AD40" s="47">
        <v>45656</v>
      </c>
      <c r="AE40" s="59">
        <v>1131.86828031391</v>
      </c>
      <c r="AH40" s="13"/>
    </row>
    <row r="41" ht="14.3" customHeight="1" spans="34:34">
      <c r="AH41" s="13"/>
    </row>
  </sheetData>
  <mergeCells count="29">
    <mergeCell ref="A1:C1"/>
    <mergeCell ref="A2:C2"/>
    <mergeCell ref="D3:G3"/>
    <mergeCell ref="H3:R3"/>
    <mergeCell ref="S3:AC3"/>
    <mergeCell ref="AG3:AH3"/>
    <mergeCell ref="H4:P4"/>
    <mergeCell ref="A3:A5"/>
    <mergeCell ref="B3:B5"/>
    <mergeCell ref="C3:C5"/>
    <mergeCell ref="D4:D5"/>
    <mergeCell ref="E4:E5"/>
    <mergeCell ref="F4:F5"/>
    <mergeCell ref="G4:G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G4:AG5"/>
    <mergeCell ref="AH4:AH5"/>
  </mergeCells>
  <pageMargins left="0.75" right="0.75" top="0.270000010728836" bottom="0.270000010728836" header="0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43"/>
  <sheetViews>
    <sheetView tabSelected="1" zoomScale="85" zoomScaleNormal="85" topLeftCell="U1" workbookViewId="0">
      <selection activeCell="AH19" sqref="AH19"/>
    </sheetView>
  </sheetViews>
  <sheetFormatPr defaultColWidth="10" defaultRowHeight="13.5"/>
  <cols>
    <col min="1" max="1" width="16.4083333333333" customWidth="1"/>
    <col min="2" max="36" width="11.2833333333333" customWidth="1"/>
    <col min="37" max="49" width="11.2833333333333" hidden="1" customWidth="1"/>
    <col min="50" max="52" width="9" hidden="1"/>
    <col min="53" max="53" width="9.76666666666667" customWidth="1"/>
    <col min="54" max="59" width="11.2833333333333" hidden="1" customWidth="1"/>
    <col min="60" max="81" width="9.76666666666667" hidden="1" customWidth="1"/>
    <col min="82" max="82" width="9.76666666666667" customWidth="1"/>
    <col min="83" max="83" width="9.76666666666667" style="31" customWidth="1"/>
    <col min="84" max="86" width="9.76666666666667" customWidth="1"/>
  </cols>
  <sheetData>
    <row r="1" ht="31.65" customHeight="1" spans="1:11">
      <c r="A1" s="7" t="s">
        <v>198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17.05" customHeight="1" spans="1:6">
      <c r="A2" s="16" t="s">
        <v>46</v>
      </c>
      <c r="B2" s="16"/>
      <c r="C2" s="16"/>
      <c r="F2" s="13"/>
    </row>
    <row r="3" ht="17.05" customHeight="1" spans="1:83">
      <c r="A3" s="32" t="s">
        <v>1</v>
      </c>
      <c r="B3" s="32" t="s">
        <v>2</v>
      </c>
      <c r="C3" s="33" t="s">
        <v>199</v>
      </c>
      <c r="D3" s="34" t="s">
        <v>48</v>
      </c>
      <c r="E3" s="34"/>
      <c r="F3" s="34"/>
      <c r="G3" s="34"/>
      <c r="H3" s="34"/>
      <c r="I3" s="34"/>
      <c r="J3" s="34"/>
      <c r="K3" s="34"/>
      <c r="L3" s="34"/>
      <c r="M3" s="40" t="s">
        <v>49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4" t="s">
        <v>50</v>
      </c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BB3" s="35" t="s">
        <v>49</v>
      </c>
      <c r="BC3" s="35"/>
      <c r="BD3" s="35"/>
      <c r="BE3" s="35"/>
      <c r="BF3" s="35"/>
      <c r="BG3" s="35"/>
      <c r="BH3" s="35" t="s">
        <v>51</v>
      </c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E3" s="51" t="s">
        <v>200</v>
      </c>
    </row>
    <row r="4" ht="22.6" customHeight="1" spans="1:83">
      <c r="A4" s="32"/>
      <c r="B4" s="32"/>
      <c r="C4" s="33"/>
      <c r="D4" s="35" t="s">
        <v>201</v>
      </c>
      <c r="E4" s="35" t="s">
        <v>202</v>
      </c>
      <c r="F4" s="35" t="s">
        <v>203</v>
      </c>
      <c r="G4" s="35" t="s">
        <v>204</v>
      </c>
      <c r="H4" s="35" t="s">
        <v>154</v>
      </c>
      <c r="I4" s="35" t="s">
        <v>155</v>
      </c>
      <c r="J4" s="41" t="s">
        <v>205</v>
      </c>
      <c r="K4" s="41" t="s">
        <v>206</v>
      </c>
      <c r="L4" s="42" t="s">
        <v>54</v>
      </c>
      <c r="M4" s="8" t="s">
        <v>55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207</v>
      </c>
      <c r="AA4" s="8" t="s">
        <v>154</v>
      </c>
      <c r="AB4" s="8"/>
      <c r="AC4" s="8"/>
      <c r="AD4" s="8"/>
      <c r="AE4" s="8"/>
      <c r="AF4" s="8"/>
      <c r="AG4" s="8" t="s">
        <v>203</v>
      </c>
      <c r="AH4" s="8" t="s">
        <v>155</v>
      </c>
      <c r="AI4" s="35" t="s">
        <v>56</v>
      </c>
      <c r="AJ4" s="40" t="s">
        <v>57</v>
      </c>
      <c r="AK4" s="35" t="s">
        <v>208</v>
      </c>
      <c r="AL4" s="35" t="s">
        <v>209</v>
      </c>
      <c r="AM4" s="35" t="s">
        <v>210</v>
      </c>
      <c r="AN4" s="35" t="s">
        <v>211</v>
      </c>
      <c r="AO4" s="35" t="s">
        <v>212</v>
      </c>
      <c r="AP4" s="35" t="s">
        <v>213</v>
      </c>
      <c r="AQ4" s="35" t="s">
        <v>214</v>
      </c>
      <c r="AR4" s="41" t="s">
        <v>215</v>
      </c>
      <c r="AS4" s="41" t="s">
        <v>216</v>
      </c>
      <c r="AT4" s="41" t="s">
        <v>217</v>
      </c>
      <c r="AU4" s="41" t="s">
        <v>218</v>
      </c>
      <c r="AV4" s="44" t="s">
        <v>60</v>
      </c>
      <c r="AW4" s="44" t="s">
        <v>61</v>
      </c>
      <c r="BB4" s="35" t="s">
        <v>219</v>
      </c>
      <c r="BC4" s="35"/>
      <c r="BD4" s="35"/>
      <c r="BE4" s="35"/>
      <c r="BF4" s="35"/>
      <c r="BG4" s="35"/>
      <c r="BH4" s="35" t="s">
        <v>62</v>
      </c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 t="s">
        <v>63</v>
      </c>
      <c r="BT4" s="35"/>
      <c r="BU4" s="35"/>
      <c r="BV4" s="35"/>
      <c r="BW4" s="35"/>
      <c r="BX4" s="35"/>
      <c r="BY4" s="35"/>
      <c r="BZ4" s="35"/>
      <c r="CA4" s="35"/>
      <c r="CB4" s="35"/>
      <c r="CC4" s="35"/>
      <c r="CE4" s="51"/>
    </row>
    <row r="5" ht="42.95" customHeight="1" spans="1:86">
      <c r="A5" s="32"/>
      <c r="B5" s="32"/>
      <c r="C5" s="33"/>
      <c r="D5" s="35"/>
      <c r="E5" s="35"/>
      <c r="F5" s="35" t="s">
        <v>220</v>
      </c>
      <c r="G5" s="35" t="s">
        <v>115</v>
      </c>
      <c r="H5" s="35" t="s">
        <v>221</v>
      </c>
      <c r="I5" s="35" t="s">
        <v>222</v>
      </c>
      <c r="J5" s="41"/>
      <c r="K5" s="41"/>
      <c r="L5" s="42"/>
      <c r="M5" s="35" t="s">
        <v>223</v>
      </c>
      <c r="N5" s="35" t="s">
        <v>209</v>
      </c>
      <c r="O5" s="35" t="s">
        <v>210</v>
      </c>
      <c r="P5" s="35" t="s">
        <v>212</v>
      </c>
      <c r="Q5" s="35" t="s">
        <v>213</v>
      </c>
      <c r="R5" s="35" t="s">
        <v>214</v>
      </c>
      <c r="S5" s="41" t="s">
        <v>218</v>
      </c>
      <c r="T5" s="41" t="s">
        <v>215</v>
      </c>
      <c r="U5" s="41" t="s">
        <v>224</v>
      </c>
      <c r="V5" s="41" t="s">
        <v>217</v>
      </c>
      <c r="W5" s="41" t="s">
        <v>225</v>
      </c>
      <c r="X5" s="41" t="s">
        <v>226</v>
      </c>
      <c r="Y5" s="40" t="s">
        <v>89</v>
      </c>
      <c r="Z5" s="35" t="s">
        <v>115</v>
      </c>
      <c r="AA5" s="35" t="s">
        <v>227</v>
      </c>
      <c r="AB5" s="35" t="s">
        <v>228</v>
      </c>
      <c r="AC5" s="35" t="s">
        <v>229</v>
      </c>
      <c r="AD5" s="35" t="s">
        <v>230</v>
      </c>
      <c r="AE5" s="35" t="s">
        <v>231</v>
      </c>
      <c r="AF5" s="35" t="s">
        <v>232</v>
      </c>
      <c r="AG5" s="35" t="s">
        <v>67</v>
      </c>
      <c r="AH5" s="35" t="s">
        <v>233</v>
      </c>
      <c r="AI5" s="35"/>
      <c r="AJ5" s="40"/>
      <c r="AK5" s="35"/>
      <c r="AL5" s="35"/>
      <c r="AM5" s="35"/>
      <c r="AN5" s="35"/>
      <c r="AO5" s="35"/>
      <c r="AP5" s="35"/>
      <c r="AQ5" s="35"/>
      <c r="AR5" s="41"/>
      <c r="AS5" s="41"/>
      <c r="AT5" s="41"/>
      <c r="AU5" s="41"/>
      <c r="AV5" s="44"/>
      <c r="AW5" s="44"/>
      <c r="BB5" s="35" t="s">
        <v>227</v>
      </c>
      <c r="BC5" s="35" t="s">
        <v>234</v>
      </c>
      <c r="BD5" s="35" t="s">
        <v>235</v>
      </c>
      <c r="BE5" s="35" t="s">
        <v>233</v>
      </c>
      <c r="BF5" s="35" t="s">
        <v>236</v>
      </c>
      <c r="BG5" s="35" t="s">
        <v>237</v>
      </c>
      <c r="BH5" s="35" t="s">
        <v>227</v>
      </c>
      <c r="BI5" s="35" t="s">
        <v>237</v>
      </c>
      <c r="BJ5" s="35" t="s">
        <v>233</v>
      </c>
      <c r="BK5" s="35" t="s">
        <v>234</v>
      </c>
      <c r="BL5" s="35" t="s">
        <v>236</v>
      </c>
      <c r="BM5" s="35" t="s">
        <v>212</v>
      </c>
      <c r="BN5" s="35" t="s">
        <v>210</v>
      </c>
      <c r="BO5" s="35" t="s">
        <v>211</v>
      </c>
      <c r="BP5" s="35" t="s">
        <v>213</v>
      </c>
      <c r="BQ5" s="35" t="s">
        <v>209</v>
      </c>
      <c r="BR5" s="35" t="s">
        <v>214</v>
      </c>
      <c r="BS5" s="35" t="s">
        <v>227</v>
      </c>
      <c r="BT5" s="35" t="s">
        <v>234</v>
      </c>
      <c r="BU5" s="35" t="s">
        <v>237</v>
      </c>
      <c r="BV5" s="35" t="s">
        <v>233</v>
      </c>
      <c r="BW5" s="35" t="s">
        <v>236</v>
      </c>
      <c r="BX5" s="35" t="s">
        <v>212</v>
      </c>
      <c r="BY5" s="35" t="s">
        <v>210</v>
      </c>
      <c r="BZ5" s="35" t="s">
        <v>209</v>
      </c>
      <c r="CA5" s="35" t="s">
        <v>214</v>
      </c>
      <c r="CB5" s="35" t="s">
        <v>211</v>
      </c>
      <c r="CC5" s="35" t="s">
        <v>213</v>
      </c>
      <c r="CD5" s="50"/>
      <c r="CE5" s="51"/>
      <c r="CF5" s="50"/>
      <c r="CG5" s="50"/>
      <c r="CH5" s="50"/>
    </row>
    <row r="6" ht="22.6" customHeight="1" spans="1:83">
      <c r="A6" s="36" t="s">
        <v>101</v>
      </c>
      <c r="B6" s="37"/>
      <c r="C6" s="37"/>
      <c r="D6" s="37">
        <v>73691.6128</v>
      </c>
      <c r="E6" s="37">
        <v>27333.36</v>
      </c>
      <c r="F6" s="37">
        <v>64239.8011</v>
      </c>
      <c r="G6" s="37">
        <v>0</v>
      </c>
      <c r="H6" s="37">
        <v>6981.521</v>
      </c>
      <c r="I6" s="37">
        <v>0</v>
      </c>
      <c r="J6" s="43">
        <v>18258.654</v>
      </c>
      <c r="K6" s="43">
        <v>26390.697</v>
      </c>
      <c r="L6" s="37">
        <f t="shared" ref="L6:L39" si="0">SUM(D6:I6)</f>
        <v>172246.2949</v>
      </c>
      <c r="M6" s="37">
        <v>5384.1164</v>
      </c>
      <c r="N6" s="37">
        <v>34093.1138</v>
      </c>
      <c r="O6" s="37">
        <v>20590.8483</v>
      </c>
      <c r="P6" s="37">
        <v>9641.6328</v>
      </c>
      <c r="Q6" s="37"/>
      <c r="R6" s="37">
        <v>0</v>
      </c>
      <c r="S6" s="43">
        <v>615.1151</v>
      </c>
      <c r="T6" s="43">
        <v>99.1386</v>
      </c>
      <c r="U6" s="43">
        <v>382.5817</v>
      </c>
      <c r="V6" s="43">
        <v>422.5018</v>
      </c>
      <c r="W6" s="43">
        <v>296.9866</v>
      </c>
      <c r="X6" s="43">
        <v>252.7116</v>
      </c>
      <c r="Y6" s="37">
        <f t="shared" ref="Y6:Y39" si="1">SUM(M6:R6)</f>
        <v>69709.7113</v>
      </c>
      <c r="Z6" s="37">
        <v>14465.061</v>
      </c>
      <c r="AA6" s="37">
        <v>33.5724</v>
      </c>
      <c r="AB6" s="37">
        <v>0</v>
      </c>
      <c r="AC6" s="37">
        <v>0</v>
      </c>
      <c r="AD6" s="37">
        <v>544.4134</v>
      </c>
      <c r="AE6" s="37">
        <v>254.204</v>
      </c>
      <c r="AF6" s="37">
        <v>0</v>
      </c>
      <c r="AG6" s="37">
        <v>0</v>
      </c>
      <c r="AH6" s="37">
        <v>17945.5212</v>
      </c>
      <c r="AI6" s="37">
        <f t="shared" ref="AI6:AI39" si="2">SUM(BH6:CC6)</f>
        <v>5.6528</v>
      </c>
      <c r="AJ6" s="37">
        <f t="shared" ref="AJ6:AJ39" si="3">SUM(Y6:AI6)</f>
        <v>102958.1361</v>
      </c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BB6" s="37">
        <v>107903.9484</v>
      </c>
      <c r="BC6" s="37">
        <v>107903.9484</v>
      </c>
      <c r="BD6" s="37">
        <v>107903.9484</v>
      </c>
      <c r="BE6" s="37">
        <v>107903.9484</v>
      </c>
      <c r="BF6" s="37">
        <v>107903.9484</v>
      </c>
      <c r="BG6" s="37">
        <v>107903.9484</v>
      </c>
      <c r="BH6" s="37">
        <v>0.8693</v>
      </c>
      <c r="BI6" s="37">
        <v>0</v>
      </c>
      <c r="BJ6" s="37">
        <v>0</v>
      </c>
      <c r="BK6" s="37">
        <v>4.5796</v>
      </c>
      <c r="BL6" s="37"/>
      <c r="BM6" s="37">
        <v>0</v>
      </c>
      <c r="BN6" s="37">
        <v>0</v>
      </c>
      <c r="BO6" s="37">
        <v>0</v>
      </c>
      <c r="BP6" s="37">
        <v>0</v>
      </c>
      <c r="BQ6" s="37">
        <v>0</v>
      </c>
      <c r="BR6" s="37">
        <v>0</v>
      </c>
      <c r="BS6" s="37">
        <v>0.1007</v>
      </c>
      <c r="BT6" s="37">
        <v>0.0508</v>
      </c>
      <c r="BU6" s="37">
        <v>0.041</v>
      </c>
      <c r="BV6" s="37">
        <v>0.0114</v>
      </c>
      <c r="BW6" s="37"/>
      <c r="BX6" s="37">
        <v>0</v>
      </c>
      <c r="BY6" s="37">
        <v>0</v>
      </c>
      <c r="BZ6" s="37">
        <v>0</v>
      </c>
      <c r="CA6" s="37">
        <v>0</v>
      </c>
      <c r="CB6" s="37">
        <v>0</v>
      </c>
      <c r="CC6" s="37">
        <v>0</v>
      </c>
      <c r="CE6" s="52"/>
    </row>
    <row r="7" ht="22.6" customHeight="1" spans="1:83">
      <c r="A7" s="36" t="s">
        <v>102</v>
      </c>
      <c r="B7" s="37"/>
      <c r="C7" s="37"/>
      <c r="D7" s="37">
        <v>73691.6128</v>
      </c>
      <c r="E7" s="37">
        <v>27333.36</v>
      </c>
      <c r="F7" s="37">
        <v>64239.8011</v>
      </c>
      <c r="G7" s="37">
        <v>0</v>
      </c>
      <c r="H7" s="37">
        <v>6981.521</v>
      </c>
      <c r="I7" s="37">
        <v>0</v>
      </c>
      <c r="J7" s="43">
        <v>18258.654</v>
      </c>
      <c r="K7" s="43">
        <v>26390.697</v>
      </c>
      <c r="L7" s="37">
        <f t="shared" si="0"/>
        <v>172246.2949</v>
      </c>
      <c r="M7" s="37">
        <v>5384.1164</v>
      </c>
      <c r="N7" s="37">
        <v>34093.1138</v>
      </c>
      <c r="O7" s="37">
        <v>20590.8483</v>
      </c>
      <c r="P7" s="37">
        <v>9641.6328</v>
      </c>
      <c r="Q7" s="37"/>
      <c r="R7" s="37">
        <v>0</v>
      </c>
      <c r="S7" s="43">
        <v>615.1151</v>
      </c>
      <c r="T7" s="43">
        <v>99.1386</v>
      </c>
      <c r="U7" s="43">
        <v>382.5817</v>
      </c>
      <c r="V7" s="43">
        <v>422.5018</v>
      </c>
      <c r="W7" s="43">
        <v>296.9866</v>
      </c>
      <c r="X7" s="43">
        <v>252.7116</v>
      </c>
      <c r="Y7" s="37">
        <f t="shared" si="1"/>
        <v>69709.7113</v>
      </c>
      <c r="Z7" s="37">
        <v>14465.061</v>
      </c>
      <c r="AA7" s="37">
        <v>33.5724</v>
      </c>
      <c r="AB7" s="37">
        <v>0</v>
      </c>
      <c r="AC7" s="37">
        <v>0</v>
      </c>
      <c r="AD7" s="37">
        <v>544.4134</v>
      </c>
      <c r="AE7" s="37">
        <v>254.204</v>
      </c>
      <c r="AF7" s="37">
        <v>0</v>
      </c>
      <c r="AG7" s="37">
        <v>0</v>
      </c>
      <c r="AH7" s="37">
        <v>17945.5212</v>
      </c>
      <c r="AI7" s="37">
        <f t="shared" si="2"/>
        <v>5.6528</v>
      </c>
      <c r="AJ7" s="37">
        <f t="shared" si="3"/>
        <v>102958.1361</v>
      </c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BB7" s="37">
        <v>107903.9484</v>
      </c>
      <c r="BC7" s="37">
        <v>107903.9484</v>
      </c>
      <c r="BD7" s="37">
        <v>107903.9484</v>
      </c>
      <c r="BE7" s="37">
        <v>107903.9484</v>
      </c>
      <c r="BF7" s="37">
        <v>107903.9484</v>
      </c>
      <c r="BG7" s="37">
        <v>107903.9484</v>
      </c>
      <c r="BH7" s="37">
        <v>0.8693</v>
      </c>
      <c r="BI7" s="37">
        <v>0</v>
      </c>
      <c r="BJ7" s="37">
        <v>0</v>
      </c>
      <c r="BK7" s="37">
        <v>4.5796</v>
      </c>
      <c r="BL7" s="37"/>
      <c r="BM7" s="37">
        <v>0</v>
      </c>
      <c r="BN7" s="37">
        <v>0</v>
      </c>
      <c r="BO7" s="37">
        <v>0</v>
      </c>
      <c r="BP7" s="37">
        <v>0</v>
      </c>
      <c r="BQ7" s="37">
        <v>0</v>
      </c>
      <c r="BR7" s="37">
        <v>0</v>
      </c>
      <c r="BS7" s="37">
        <v>0.1007</v>
      </c>
      <c r="BT7" s="37">
        <v>0.0508</v>
      </c>
      <c r="BU7" s="37">
        <v>0.041</v>
      </c>
      <c r="BV7" s="37">
        <v>0.0114</v>
      </c>
      <c r="BW7" s="37"/>
      <c r="BX7" s="37">
        <v>0</v>
      </c>
      <c r="BY7" s="37">
        <v>0</v>
      </c>
      <c r="BZ7" s="37">
        <v>0</v>
      </c>
      <c r="CA7" s="37">
        <v>0</v>
      </c>
      <c r="CB7" s="37">
        <v>0</v>
      </c>
      <c r="CC7" s="37">
        <v>0</v>
      </c>
      <c r="CE7" s="52"/>
    </row>
    <row r="8" ht="22.6" customHeight="1" spans="1:86">
      <c r="A8" s="10" t="s">
        <v>15</v>
      </c>
      <c r="B8" s="38">
        <f t="shared" ref="B8:B39" si="4">L8-AJ8</f>
        <v>1955.542</v>
      </c>
      <c r="C8" s="38">
        <f t="shared" ref="C8:C39" si="5">B8-AW8</f>
        <v>1222.26335882987</v>
      </c>
      <c r="D8" s="38">
        <v>2249.5244</v>
      </c>
      <c r="E8" s="38">
        <v>1260.62</v>
      </c>
      <c r="F8" s="38">
        <v>1754.3119</v>
      </c>
      <c r="G8" s="38">
        <v>0</v>
      </c>
      <c r="H8" s="38">
        <v>474.9028</v>
      </c>
      <c r="I8" s="38">
        <v>0</v>
      </c>
      <c r="J8" s="43">
        <v>649.9598</v>
      </c>
      <c r="K8" s="43">
        <v>1448.853</v>
      </c>
      <c r="L8" s="38">
        <f t="shared" si="0"/>
        <v>5739.3591</v>
      </c>
      <c r="M8" s="38">
        <v>191.4162</v>
      </c>
      <c r="N8" s="38">
        <v>1050.4166</v>
      </c>
      <c r="O8" s="38">
        <v>989.6073</v>
      </c>
      <c r="P8" s="38">
        <v>288.9142</v>
      </c>
      <c r="Q8" s="38"/>
      <c r="R8" s="38">
        <v>0</v>
      </c>
      <c r="S8" s="43">
        <v>35.9</v>
      </c>
      <c r="T8" s="43">
        <v>5.3951</v>
      </c>
      <c r="U8" s="43">
        <v>12.4755</v>
      </c>
      <c r="V8" s="43">
        <v>20.7889</v>
      </c>
      <c r="W8" s="43">
        <v>6.1721</v>
      </c>
      <c r="X8" s="43">
        <v>7.5953</v>
      </c>
      <c r="Y8" s="38">
        <f t="shared" si="1"/>
        <v>2520.3543</v>
      </c>
      <c r="Z8" s="38">
        <v>901.143</v>
      </c>
      <c r="AA8" s="38">
        <v>0</v>
      </c>
      <c r="AB8" s="38">
        <v>0</v>
      </c>
      <c r="AC8" s="38">
        <v>0</v>
      </c>
      <c r="AD8" s="38">
        <v>0</v>
      </c>
      <c r="AE8" s="38">
        <v>7.69</v>
      </c>
      <c r="AF8" s="38">
        <v>0</v>
      </c>
      <c r="AG8" s="38">
        <v>0</v>
      </c>
      <c r="AH8" s="38">
        <v>352.449</v>
      </c>
      <c r="AI8" s="38">
        <f t="shared" si="2"/>
        <v>2.1808</v>
      </c>
      <c r="AJ8" s="38">
        <f t="shared" si="3"/>
        <v>3783.8171</v>
      </c>
      <c r="AK8" s="38">
        <v>4946.079955739</v>
      </c>
      <c r="AL8" s="38">
        <v>1384.43804023042</v>
      </c>
      <c r="AM8" s="38">
        <v>1677.46080280466</v>
      </c>
      <c r="AN8" s="38">
        <v>63.256685408685</v>
      </c>
      <c r="AO8" s="38">
        <v>1506.10457222616</v>
      </c>
      <c r="AP8" s="38">
        <v>386.935022352487</v>
      </c>
      <c r="AQ8" s="38">
        <v>7.959516295143</v>
      </c>
      <c r="AR8" s="38">
        <v>11.174690077889</v>
      </c>
      <c r="AS8" s="38">
        <v>0</v>
      </c>
      <c r="AT8" s="38">
        <v>10.48874929825</v>
      </c>
      <c r="AU8" s="38">
        <v>864.680143169546</v>
      </c>
      <c r="AV8" s="38">
        <f t="shared" ref="AV8:AV39" si="6">SUM(AK8:AQ8)</f>
        <v>9972.23459505655</v>
      </c>
      <c r="AW8" s="38">
        <v>733.278641170133</v>
      </c>
      <c r="AX8" s="46"/>
      <c r="AY8" s="46"/>
      <c r="AZ8" s="46"/>
      <c r="BA8" s="46"/>
      <c r="BB8" s="38">
        <v>25.8151</v>
      </c>
      <c r="BC8" s="38">
        <v>51.2825</v>
      </c>
      <c r="BD8" s="38">
        <v>38.6511</v>
      </c>
      <c r="BE8" s="38">
        <v>1.3143</v>
      </c>
      <c r="BF8" s="38">
        <v>6.7452</v>
      </c>
      <c r="BG8" s="38">
        <v>67.608</v>
      </c>
      <c r="BH8" s="38">
        <v>0</v>
      </c>
      <c r="BI8" s="38">
        <v>0</v>
      </c>
      <c r="BJ8" s="38">
        <v>0</v>
      </c>
      <c r="BK8" s="38">
        <v>0</v>
      </c>
      <c r="BL8" s="38"/>
      <c r="BM8" s="38">
        <v>0</v>
      </c>
      <c r="BN8" s="38">
        <v>0</v>
      </c>
      <c r="BO8" s="38">
        <v>0</v>
      </c>
      <c r="BP8" s="38">
        <v>0</v>
      </c>
      <c r="BQ8" s="38">
        <v>0</v>
      </c>
      <c r="BR8" s="38">
        <v>0</v>
      </c>
      <c r="BS8" s="38">
        <v>0.0032</v>
      </c>
      <c r="BT8" s="38">
        <v>0.0002</v>
      </c>
      <c r="BU8" s="38">
        <v>0.0013</v>
      </c>
      <c r="BV8" s="38">
        <v>0.0005</v>
      </c>
      <c r="BW8" s="38"/>
      <c r="BX8" s="38">
        <v>0.0035</v>
      </c>
      <c r="BY8" s="38">
        <v>0.0033</v>
      </c>
      <c r="BZ8" s="38">
        <v>2.1688</v>
      </c>
      <c r="CA8" s="38">
        <v>0</v>
      </c>
      <c r="CB8" s="38">
        <v>0</v>
      </c>
      <c r="CC8" s="38">
        <v>0</v>
      </c>
      <c r="CD8" s="50"/>
      <c r="CE8" s="53">
        <f>C8+M8+Z8+AH8</f>
        <v>2667.27155882987</v>
      </c>
      <c r="CF8" s="50"/>
      <c r="CG8" s="50"/>
      <c r="CH8" s="50"/>
    </row>
    <row r="9" ht="22.6" customHeight="1" spans="1:86">
      <c r="A9" s="10" t="s">
        <v>16</v>
      </c>
      <c r="B9" s="38">
        <f t="shared" si="4"/>
        <v>488.2091</v>
      </c>
      <c r="C9" s="38">
        <f t="shared" si="5"/>
        <v>1062.04682131119</v>
      </c>
      <c r="D9" s="38">
        <v>1151.3649</v>
      </c>
      <c r="E9" s="38">
        <v>947.7014</v>
      </c>
      <c r="F9" s="38">
        <v>1749.8841</v>
      </c>
      <c r="G9" s="38">
        <v>0</v>
      </c>
      <c r="H9" s="38">
        <v>328.8578</v>
      </c>
      <c r="I9" s="38">
        <v>0</v>
      </c>
      <c r="J9" s="43">
        <v>499.9614</v>
      </c>
      <c r="K9" s="43">
        <v>789.655</v>
      </c>
      <c r="L9" s="38">
        <f t="shared" si="0"/>
        <v>4177.8082</v>
      </c>
      <c r="M9" s="38">
        <v>189.3363</v>
      </c>
      <c r="N9" s="38">
        <v>1057.9977</v>
      </c>
      <c r="O9" s="38">
        <v>832.2126</v>
      </c>
      <c r="P9" s="38">
        <v>304.6552</v>
      </c>
      <c r="Q9" s="38"/>
      <c r="R9" s="38">
        <v>0</v>
      </c>
      <c r="S9" s="43">
        <v>55.4317</v>
      </c>
      <c r="T9" s="43">
        <v>5.0331</v>
      </c>
      <c r="U9" s="43">
        <v>12.177</v>
      </c>
      <c r="V9" s="43">
        <v>18.895</v>
      </c>
      <c r="W9" s="43">
        <v>6.1703</v>
      </c>
      <c r="X9" s="43">
        <v>7.493</v>
      </c>
      <c r="Y9" s="38">
        <f t="shared" si="1"/>
        <v>2384.2018</v>
      </c>
      <c r="Z9" s="38">
        <v>900.218</v>
      </c>
      <c r="AA9" s="38">
        <v>0</v>
      </c>
      <c r="AB9" s="38">
        <v>0</v>
      </c>
      <c r="AC9" s="38">
        <v>0</v>
      </c>
      <c r="AD9" s="38">
        <v>0</v>
      </c>
      <c r="AE9" s="38">
        <v>7.5796</v>
      </c>
      <c r="AF9" s="38">
        <v>0</v>
      </c>
      <c r="AG9" s="38">
        <v>0</v>
      </c>
      <c r="AH9" s="38">
        <v>394.5285</v>
      </c>
      <c r="AI9" s="38">
        <f t="shared" si="2"/>
        <v>3.0712</v>
      </c>
      <c r="AJ9" s="38">
        <f t="shared" si="3"/>
        <v>3689.5991</v>
      </c>
      <c r="AK9" s="38">
        <v>4318.570118396</v>
      </c>
      <c r="AL9" s="38">
        <v>1391.49470427861</v>
      </c>
      <c r="AM9" s="38">
        <v>1792.12960973851</v>
      </c>
      <c r="AN9" s="38">
        <v>61.846980632879</v>
      </c>
      <c r="AO9" s="38">
        <v>1454.52553548074</v>
      </c>
      <c r="AP9" s="38">
        <v>372.066896858589</v>
      </c>
      <c r="AQ9" s="38">
        <v>7.763028360042</v>
      </c>
      <c r="AR9" s="38">
        <v>10.3446829258</v>
      </c>
      <c r="AS9" s="38">
        <v>0</v>
      </c>
      <c r="AT9" s="38">
        <v>9.68600071405</v>
      </c>
      <c r="AU9" s="38">
        <v>794.145785098623</v>
      </c>
      <c r="AV9" s="38">
        <f t="shared" si="6"/>
        <v>9398.39687374537</v>
      </c>
      <c r="AW9" s="39">
        <v>-573.837721311185</v>
      </c>
      <c r="AX9" s="46"/>
      <c r="AY9" s="46"/>
      <c r="AZ9" s="46"/>
      <c r="BA9" s="46"/>
      <c r="BB9" s="38">
        <v>23.0186</v>
      </c>
      <c r="BC9" s="38">
        <v>52.3784</v>
      </c>
      <c r="BD9" s="38">
        <v>45.5602</v>
      </c>
      <c r="BE9" s="38">
        <v>1.2527</v>
      </c>
      <c r="BF9" s="38">
        <v>5.5204</v>
      </c>
      <c r="BG9" s="38">
        <v>61.606</v>
      </c>
      <c r="BH9" s="38">
        <v>0.8693</v>
      </c>
      <c r="BI9" s="38">
        <v>0</v>
      </c>
      <c r="BJ9" s="38">
        <v>0</v>
      </c>
      <c r="BK9" s="38">
        <v>0</v>
      </c>
      <c r="BL9" s="38"/>
      <c r="BM9" s="38">
        <v>0</v>
      </c>
      <c r="BN9" s="38">
        <v>0</v>
      </c>
      <c r="BO9" s="38">
        <v>0.0217</v>
      </c>
      <c r="BP9" s="38">
        <v>0</v>
      </c>
      <c r="BQ9" s="38">
        <v>0</v>
      </c>
      <c r="BR9" s="38">
        <v>0</v>
      </c>
      <c r="BS9" s="38">
        <v>0.0033</v>
      </c>
      <c r="BT9" s="38">
        <v>0.0029</v>
      </c>
      <c r="BU9" s="38">
        <v>0.0012</v>
      </c>
      <c r="BV9" s="38">
        <v>0.0005</v>
      </c>
      <c r="BW9" s="38"/>
      <c r="BX9" s="38">
        <v>0.0036</v>
      </c>
      <c r="BY9" s="38">
        <v>0.003</v>
      </c>
      <c r="BZ9" s="38">
        <v>2.1657</v>
      </c>
      <c r="CA9" s="38">
        <v>0</v>
      </c>
      <c r="CB9" s="38">
        <v>0</v>
      </c>
      <c r="CC9" s="38">
        <v>0</v>
      </c>
      <c r="CD9" s="50"/>
      <c r="CE9" s="53">
        <f t="shared" ref="CE8:CE13" si="7">C9+M9+Z9+AH9</f>
        <v>2546.12962131119</v>
      </c>
      <c r="CF9" s="50"/>
      <c r="CG9" s="50"/>
      <c r="CH9" s="50"/>
    </row>
    <row r="10" ht="22.6" customHeight="1" spans="1:86">
      <c r="A10" s="10" t="s">
        <v>17</v>
      </c>
      <c r="B10" s="38">
        <f t="shared" si="4"/>
        <v>273.4211</v>
      </c>
      <c r="C10" s="39">
        <f t="shared" si="5"/>
        <v>-28.5200419545909</v>
      </c>
      <c r="D10" s="38">
        <v>1650.8962</v>
      </c>
      <c r="E10" s="38">
        <v>269.6761</v>
      </c>
      <c r="F10" s="38">
        <v>1664.3825</v>
      </c>
      <c r="G10" s="38">
        <v>0</v>
      </c>
      <c r="H10" s="38">
        <v>0</v>
      </c>
      <c r="I10" s="38">
        <v>0</v>
      </c>
      <c r="J10" s="43">
        <v>499.9887</v>
      </c>
      <c r="K10" s="43">
        <v>30.214</v>
      </c>
      <c r="L10" s="38">
        <f t="shared" si="0"/>
        <v>3584.9548</v>
      </c>
      <c r="M10" s="38">
        <v>180.126</v>
      </c>
      <c r="N10" s="38">
        <v>986.2374</v>
      </c>
      <c r="O10" s="38">
        <v>722.0355</v>
      </c>
      <c r="P10" s="38">
        <v>312.3131</v>
      </c>
      <c r="Q10" s="38"/>
      <c r="R10" s="38">
        <v>0</v>
      </c>
      <c r="S10" s="43">
        <v>54.3282</v>
      </c>
      <c r="T10" s="43">
        <v>4.8818</v>
      </c>
      <c r="U10" s="43">
        <v>11.9772</v>
      </c>
      <c r="V10" s="43">
        <v>17.8649</v>
      </c>
      <c r="W10" s="43">
        <v>8.5144</v>
      </c>
      <c r="X10" s="43">
        <v>7.391</v>
      </c>
      <c r="Y10" s="38">
        <f t="shared" si="1"/>
        <v>2200.712</v>
      </c>
      <c r="Z10" s="38">
        <v>900.951</v>
      </c>
      <c r="AA10" s="38">
        <v>0</v>
      </c>
      <c r="AB10" s="38">
        <v>0</v>
      </c>
      <c r="AC10" s="38">
        <v>0</v>
      </c>
      <c r="AD10" s="38">
        <v>0</v>
      </c>
      <c r="AE10" s="38">
        <v>7.473</v>
      </c>
      <c r="AF10" s="38">
        <v>0</v>
      </c>
      <c r="AG10" s="38">
        <v>0</v>
      </c>
      <c r="AH10" s="38">
        <v>200.2157</v>
      </c>
      <c r="AI10" s="38">
        <f t="shared" si="2"/>
        <v>2.182</v>
      </c>
      <c r="AJ10" s="38">
        <f t="shared" si="3"/>
        <v>3311.5337</v>
      </c>
      <c r="AK10" s="38">
        <v>4454.674648526</v>
      </c>
      <c r="AL10" s="38">
        <v>1458.76931377278</v>
      </c>
      <c r="AM10" s="38">
        <v>1837.00670643316</v>
      </c>
      <c r="AN10" s="38">
        <v>63.007628621345</v>
      </c>
      <c r="AO10" s="38">
        <v>1490.90791073885</v>
      </c>
      <c r="AP10" s="38">
        <v>388.386379776436</v>
      </c>
      <c r="AQ10" s="38">
        <v>7.585427831382</v>
      </c>
      <c r="AR10" s="38">
        <v>10.959313709132</v>
      </c>
      <c r="AS10" s="38">
        <v>0</v>
      </c>
      <c r="AT10" s="38">
        <v>10.251158808272</v>
      </c>
      <c r="AU10" s="38">
        <v>841.44701210435</v>
      </c>
      <c r="AV10" s="38">
        <f t="shared" si="6"/>
        <v>9700.33801569996</v>
      </c>
      <c r="AW10" s="38">
        <v>301.94114195459</v>
      </c>
      <c r="AX10" s="46"/>
      <c r="AY10" s="46"/>
      <c r="AZ10" s="46"/>
      <c r="BA10" s="46"/>
      <c r="BB10" s="38">
        <v>20.5444</v>
      </c>
      <c r="BC10" s="38">
        <v>51.346</v>
      </c>
      <c r="BD10" s="38">
        <v>38.8613</v>
      </c>
      <c r="BE10" s="38">
        <v>1.4059</v>
      </c>
      <c r="BF10" s="38">
        <v>5.3634</v>
      </c>
      <c r="BG10" s="38">
        <v>62.605</v>
      </c>
      <c r="BH10" s="38">
        <v>0</v>
      </c>
      <c r="BI10" s="38">
        <v>0</v>
      </c>
      <c r="BJ10" s="38">
        <v>0</v>
      </c>
      <c r="BK10" s="38">
        <v>0</v>
      </c>
      <c r="BL10" s="38"/>
      <c r="BM10" s="38">
        <v>0</v>
      </c>
      <c r="BN10" s="38">
        <v>0</v>
      </c>
      <c r="BO10" s="38">
        <v>0</v>
      </c>
      <c r="BP10" s="38">
        <v>0</v>
      </c>
      <c r="BQ10" s="38">
        <v>0</v>
      </c>
      <c r="BR10" s="38">
        <v>0</v>
      </c>
      <c r="BS10" s="38">
        <v>0.0034</v>
      </c>
      <c r="BT10" s="38">
        <v>0.0028</v>
      </c>
      <c r="BU10" s="38">
        <v>0.0014</v>
      </c>
      <c r="BV10" s="38">
        <v>0.0005</v>
      </c>
      <c r="BW10" s="38"/>
      <c r="BX10" s="38">
        <v>0.0038</v>
      </c>
      <c r="BY10" s="38">
        <v>0.0031</v>
      </c>
      <c r="BZ10" s="38">
        <v>2.167</v>
      </c>
      <c r="CA10" s="38">
        <v>0</v>
      </c>
      <c r="CB10" s="38">
        <v>0</v>
      </c>
      <c r="CC10" s="38">
        <v>0</v>
      </c>
      <c r="CD10" s="50"/>
      <c r="CE10" s="53">
        <f t="shared" si="7"/>
        <v>1252.77265804541</v>
      </c>
      <c r="CF10" s="50"/>
      <c r="CG10" s="50"/>
      <c r="CH10" s="50"/>
    </row>
    <row r="11" ht="22.6" customHeight="1" spans="1:86">
      <c r="A11" s="10" t="s">
        <v>18</v>
      </c>
      <c r="B11" s="39">
        <f t="shared" si="4"/>
        <v>-161.059200000001</v>
      </c>
      <c r="C11" s="38">
        <f t="shared" si="5"/>
        <v>304.610260480128</v>
      </c>
      <c r="D11" s="38">
        <v>2300.2868</v>
      </c>
      <c r="E11" s="38">
        <v>431.3362</v>
      </c>
      <c r="F11" s="38">
        <v>1802.0611</v>
      </c>
      <c r="G11" s="38">
        <v>0</v>
      </c>
      <c r="H11" s="38">
        <v>0</v>
      </c>
      <c r="I11" s="38">
        <v>0</v>
      </c>
      <c r="J11" s="43">
        <v>499.9204</v>
      </c>
      <c r="K11" s="43">
        <v>50.576</v>
      </c>
      <c r="L11" s="38">
        <f t="shared" si="0"/>
        <v>4533.6841</v>
      </c>
      <c r="M11" s="38">
        <v>197.0311</v>
      </c>
      <c r="N11" s="38">
        <v>1719.2602</v>
      </c>
      <c r="O11" s="38">
        <v>1003.6387</v>
      </c>
      <c r="P11" s="38">
        <v>391.1106</v>
      </c>
      <c r="Q11" s="38"/>
      <c r="R11" s="38">
        <v>0</v>
      </c>
      <c r="S11" s="43">
        <v>55.0293</v>
      </c>
      <c r="T11" s="43">
        <v>5.2249</v>
      </c>
      <c r="U11" s="43">
        <v>12.2761</v>
      </c>
      <c r="V11" s="43">
        <v>21.1829</v>
      </c>
      <c r="W11" s="43">
        <v>8.2717</v>
      </c>
      <c r="X11" s="43">
        <v>8.1521</v>
      </c>
      <c r="Y11" s="38">
        <f t="shared" si="1"/>
        <v>3311.0406</v>
      </c>
      <c r="Z11" s="38">
        <v>951.856</v>
      </c>
      <c r="AA11" s="38">
        <v>0</v>
      </c>
      <c r="AB11" s="38">
        <v>0</v>
      </c>
      <c r="AC11" s="38">
        <v>0</v>
      </c>
      <c r="AD11" s="38">
        <v>187.578</v>
      </c>
      <c r="AE11" s="38">
        <v>8.2529</v>
      </c>
      <c r="AF11" s="38">
        <v>0</v>
      </c>
      <c r="AG11" s="38">
        <v>0</v>
      </c>
      <c r="AH11" s="38">
        <v>233.8297</v>
      </c>
      <c r="AI11" s="38">
        <f t="shared" si="2"/>
        <v>2.1861</v>
      </c>
      <c r="AJ11" s="38">
        <f t="shared" si="3"/>
        <v>4694.7433</v>
      </c>
      <c r="AK11" s="38">
        <v>4434.386110011</v>
      </c>
      <c r="AL11" s="38">
        <v>1349.1474428967</v>
      </c>
      <c r="AM11" s="38">
        <v>1624.35223337488</v>
      </c>
      <c r="AN11" s="38">
        <v>62.425601504833</v>
      </c>
      <c r="AO11" s="38">
        <v>1381.66541357367</v>
      </c>
      <c r="AP11" s="38">
        <v>375.112079980272</v>
      </c>
      <c r="AQ11" s="38">
        <v>7.579673878473</v>
      </c>
      <c r="AR11" s="38">
        <v>11.016688036617</v>
      </c>
      <c r="AS11" s="38">
        <v>0</v>
      </c>
      <c r="AT11" s="38">
        <v>10.307445581</v>
      </c>
      <c r="AU11" s="38">
        <v>848.278912660925</v>
      </c>
      <c r="AV11" s="38">
        <f t="shared" si="6"/>
        <v>9234.66855521983</v>
      </c>
      <c r="AW11" s="39">
        <v>-465.669460480129</v>
      </c>
      <c r="AX11" s="46"/>
      <c r="AY11" s="46"/>
      <c r="AZ11" s="46"/>
      <c r="BA11" s="46"/>
      <c r="BB11" s="38">
        <v>25.4895</v>
      </c>
      <c r="BC11" s="38">
        <v>49.7423</v>
      </c>
      <c r="BD11" s="38">
        <v>45.9106</v>
      </c>
      <c r="BE11" s="38">
        <v>1.3571</v>
      </c>
      <c r="BF11" s="38">
        <v>6.9196</v>
      </c>
      <c r="BG11" s="38">
        <v>67.612</v>
      </c>
      <c r="BH11" s="38">
        <v>0</v>
      </c>
      <c r="BI11" s="38">
        <v>0</v>
      </c>
      <c r="BJ11" s="38">
        <v>0</v>
      </c>
      <c r="BK11" s="38">
        <v>0</v>
      </c>
      <c r="BL11" s="38"/>
      <c r="BM11" s="38">
        <v>0</v>
      </c>
      <c r="BN11" s="38">
        <v>0</v>
      </c>
      <c r="BO11" s="38">
        <v>0</v>
      </c>
      <c r="BP11" s="38">
        <v>0</v>
      </c>
      <c r="BQ11" s="38">
        <v>0</v>
      </c>
      <c r="BR11" s="38">
        <v>0</v>
      </c>
      <c r="BS11" s="38">
        <v>0.0032</v>
      </c>
      <c r="BT11" s="38">
        <v>0.0004</v>
      </c>
      <c r="BU11" s="38">
        <v>0.0012</v>
      </c>
      <c r="BV11" s="38">
        <v>0.0004</v>
      </c>
      <c r="BW11" s="38"/>
      <c r="BX11" s="38">
        <v>0.0036</v>
      </c>
      <c r="BY11" s="38">
        <v>0.0032</v>
      </c>
      <c r="BZ11" s="38">
        <v>2.1741</v>
      </c>
      <c r="CA11" s="38">
        <v>0</v>
      </c>
      <c r="CB11" s="38">
        <v>0</v>
      </c>
      <c r="CC11" s="38">
        <v>0</v>
      </c>
      <c r="CD11" s="50"/>
      <c r="CE11" s="53">
        <f t="shared" si="7"/>
        <v>1687.32706048013</v>
      </c>
      <c r="CF11" s="50"/>
      <c r="CG11" s="50"/>
      <c r="CH11" s="50"/>
    </row>
    <row r="12" ht="22.6" customHeight="1" spans="1:86">
      <c r="A12" s="10" t="s">
        <v>19</v>
      </c>
      <c r="B12" s="38">
        <f t="shared" si="4"/>
        <v>336.240500000001</v>
      </c>
      <c r="C12" s="38">
        <f t="shared" si="5"/>
        <v>485.287305568553</v>
      </c>
      <c r="D12" s="38">
        <v>2734.2416</v>
      </c>
      <c r="E12" s="38">
        <v>165.453</v>
      </c>
      <c r="F12" s="38">
        <v>1808.4376</v>
      </c>
      <c r="G12" s="38">
        <v>0</v>
      </c>
      <c r="H12" s="38">
        <v>59.2786</v>
      </c>
      <c r="I12" s="38">
        <v>0</v>
      </c>
      <c r="J12" s="43">
        <v>499.9516</v>
      </c>
      <c r="K12" s="43">
        <v>260.712</v>
      </c>
      <c r="L12" s="38">
        <f t="shared" si="0"/>
        <v>4767.4108</v>
      </c>
      <c r="M12" s="38">
        <v>201.3226</v>
      </c>
      <c r="N12" s="38">
        <v>1670.6622</v>
      </c>
      <c r="O12" s="38">
        <v>1025.3634</v>
      </c>
      <c r="P12" s="38">
        <v>327.007</v>
      </c>
      <c r="Q12" s="38"/>
      <c r="R12" s="38">
        <v>0</v>
      </c>
      <c r="S12" s="43">
        <v>55.0196</v>
      </c>
      <c r="T12" s="43">
        <v>5.1216</v>
      </c>
      <c r="U12" s="43">
        <v>12.2769</v>
      </c>
      <c r="V12" s="43">
        <v>21.8674</v>
      </c>
      <c r="W12" s="43">
        <v>4.2895</v>
      </c>
      <c r="X12" s="43">
        <v>8.4822</v>
      </c>
      <c r="Y12" s="38">
        <f t="shared" si="1"/>
        <v>3224.3552</v>
      </c>
      <c r="Z12" s="38">
        <v>811.36</v>
      </c>
      <c r="AA12" s="38">
        <v>0</v>
      </c>
      <c r="AB12" s="38">
        <v>0</v>
      </c>
      <c r="AC12" s="38">
        <v>0</v>
      </c>
      <c r="AD12" s="38">
        <v>183.1327</v>
      </c>
      <c r="AE12" s="38">
        <v>8.5556</v>
      </c>
      <c r="AF12" s="38">
        <v>0</v>
      </c>
      <c r="AG12" s="38">
        <v>0</v>
      </c>
      <c r="AH12" s="38">
        <v>200.909</v>
      </c>
      <c r="AI12" s="38">
        <f t="shared" si="2"/>
        <v>2.8578</v>
      </c>
      <c r="AJ12" s="38">
        <f t="shared" si="3"/>
        <v>4431.1703</v>
      </c>
      <c r="AK12" s="38">
        <v>4402.308072261</v>
      </c>
      <c r="AL12" s="38">
        <v>1323.40074445331</v>
      </c>
      <c r="AM12" s="38">
        <v>1607.35235431491</v>
      </c>
      <c r="AN12" s="38">
        <v>63.327329055894</v>
      </c>
      <c r="AO12" s="38">
        <v>1315.05124033966</v>
      </c>
      <c r="AP12" s="38">
        <v>366.620769563885</v>
      </c>
      <c r="AQ12" s="38">
        <v>7.56123966262</v>
      </c>
      <c r="AR12" s="38">
        <v>10.818719993333</v>
      </c>
      <c r="AS12" s="38">
        <v>0</v>
      </c>
      <c r="AT12" s="38">
        <v>10.10327514093</v>
      </c>
      <c r="AU12" s="38">
        <v>832.761242898513</v>
      </c>
      <c r="AV12" s="38">
        <f t="shared" si="6"/>
        <v>9085.62174965128</v>
      </c>
      <c r="AW12" s="39">
        <v>-149.046805568552</v>
      </c>
      <c r="AX12" s="46"/>
      <c r="AY12" s="46"/>
      <c r="AZ12" s="46"/>
      <c r="BA12" s="46"/>
      <c r="BB12" s="38">
        <v>27.4192</v>
      </c>
      <c r="BC12" s="38">
        <v>50.2446</v>
      </c>
      <c r="BD12" s="38">
        <v>46.5615</v>
      </c>
      <c r="BE12" s="38">
        <v>1.4699</v>
      </c>
      <c r="BF12" s="38">
        <v>7.5194</v>
      </c>
      <c r="BG12" s="38">
        <v>68.108</v>
      </c>
      <c r="BH12" s="38">
        <v>0</v>
      </c>
      <c r="BI12" s="38">
        <v>0</v>
      </c>
      <c r="BJ12" s="38">
        <v>0</v>
      </c>
      <c r="BK12" s="38">
        <v>0.6755</v>
      </c>
      <c r="BL12" s="38"/>
      <c r="BM12" s="38">
        <v>0</v>
      </c>
      <c r="BN12" s="38">
        <v>0</v>
      </c>
      <c r="BO12" s="38">
        <v>0</v>
      </c>
      <c r="BP12" s="38">
        <v>0</v>
      </c>
      <c r="BQ12" s="38">
        <v>0</v>
      </c>
      <c r="BR12" s="38">
        <v>0</v>
      </c>
      <c r="BS12" s="38">
        <v>0.0031</v>
      </c>
      <c r="BT12" s="38">
        <v>0.0005</v>
      </c>
      <c r="BU12" s="38">
        <v>0.0022</v>
      </c>
      <c r="BV12" s="38">
        <v>0.0005</v>
      </c>
      <c r="BW12" s="38"/>
      <c r="BX12" s="38">
        <v>0.0039</v>
      </c>
      <c r="BY12" s="38">
        <v>0.0029</v>
      </c>
      <c r="BZ12" s="38">
        <v>2.1692</v>
      </c>
      <c r="CA12" s="38">
        <v>0</v>
      </c>
      <c r="CB12" s="38">
        <v>0</v>
      </c>
      <c r="CC12" s="38">
        <v>0</v>
      </c>
      <c r="CD12" s="50"/>
      <c r="CE12" s="53">
        <f t="shared" si="7"/>
        <v>1698.87890556855</v>
      </c>
      <c r="CF12" s="50"/>
      <c r="CG12" s="50"/>
      <c r="CH12" s="50"/>
    </row>
    <row r="13" ht="22.6" customHeight="1" spans="1:86">
      <c r="A13" s="10" t="s">
        <v>20</v>
      </c>
      <c r="B13" s="38">
        <f t="shared" si="4"/>
        <v>1999.3201</v>
      </c>
      <c r="C13" s="38">
        <f t="shared" si="5"/>
        <v>1363.23832547602</v>
      </c>
      <c r="D13" s="38">
        <v>2989.1496</v>
      </c>
      <c r="E13" s="38">
        <v>1092.5198</v>
      </c>
      <c r="F13" s="38">
        <v>1889.8776</v>
      </c>
      <c r="G13" s="38">
        <v>0</v>
      </c>
      <c r="H13" s="38">
        <v>2.5492</v>
      </c>
      <c r="I13" s="38">
        <v>0</v>
      </c>
      <c r="J13" s="43">
        <v>499.9263</v>
      </c>
      <c r="K13" s="43">
        <v>1205.588</v>
      </c>
      <c r="L13" s="38">
        <f t="shared" si="0"/>
        <v>5974.0962</v>
      </c>
      <c r="M13" s="38">
        <v>199.6997</v>
      </c>
      <c r="N13" s="38">
        <v>1506.8198</v>
      </c>
      <c r="O13" s="38">
        <v>1073.686</v>
      </c>
      <c r="P13" s="38">
        <v>320.8639</v>
      </c>
      <c r="Q13" s="38"/>
      <c r="R13" s="38">
        <v>0</v>
      </c>
      <c r="S13" s="43">
        <v>54.9336</v>
      </c>
      <c r="T13" s="43">
        <v>5.2573</v>
      </c>
      <c r="U13" s="43">
        <v>12.676</v>
      </c>
      <c r="V13" s="43">
        <v>22.4199</v>
      </c>
      <c r="W13" s="43">
        <v>8.6677</v>
      </c>
      <c r="X13" s="43">
        <v>9.2521</v>
      </c>
      <c r="Y13" s="38">
        <f t="shared" si="1"/>
        <v>3101.0694</v>
      </c>
      <c r="Z13" s="38">
        <v>862.184</v>
      </c>
      <c r="AA13" s="38">
        <v>0</v>
      </c>
      <c r="AB13" s="38">
        <v>0</v>
      </c>
      <c r="AC13" s="38">
        <v>0</v>
      </c>
      <c r="AD13" s="38">
        <v>0</v>
      </c>
      <c r="AE13" s="38">
        <v>9.3376</v>
      </c>
      <c r="AF13" s="38">
        <v>0</v>
      </c>
      <c r="AG13" s="38">
        <v>0</v>
      </c>
      <c r="AH13" s="38">
        <v>0</v>
      </c>
      <c r="AI13" s="38">
        <f t="shared" si="2"/>
        <v>2.1851</v>
      </c>
      <c r="AJ13" s="38">
        <f t="shared" si="3"/>
        <v>3974.7761</v>
      </c>
      <c r="AK13" s="38">
        <v>4604.108119473</v>
      </c>
      <c r="AL13" s="38">
        <v>1437.48954136496</v>
      </c>
      <c r="AM13" s="38">
        <v>1660.93427905469</v>
      </c>
      <c r="AN13" s="38">
        <v>63.397366447498</v>
      </c>
      <c r="AO13" s="38">
        <v>1529.80274270466</v>
      </c>
      <c r="AP13" s="38">
        <v>418.27125202037</v>
      </c>
      <c r="AQ13" s="38">
        <v>7.700223110081</v>
      </c>
      <c r="AR13" s="38">
        <v>11.481155601527</v>
      </c>
      <c r="AS13" s="38">
        <v>0</v>
      </c>
      <c r="AT13" s="38">
        <v>10.817860259334</v>
      </c>
      <c r="AU13" s="38">
        <v>883.983758510048</v>
      </c>
      <c r="AV13" s="38">
        <f t="shared" si="6"/>
        <v>9721.70352417526</v>
      </c>
      <c r="AW13" s="38">
        <v>636.081774523978</v>
      </c>
      <c r="AX13" s="46"/>
      <c r="AY13" s="46"/>
      <c r="AZ13" s="46"/>
      <c r="BA13" s="46"/>
      <c r="BB13" s="38">
        <v>26.361</v>
      </c>
      <c r="BC13" s="38">
        <v>50.1513</v>
      </c>
      <c r="BD13" s="38">
        <v>46.9202</v>
      </c>
      <c r="BE13" s="38">
        <v>1.4486</v>
      </c>
      <c r="BF13" s="38">
        <v>7.0206</v>
      </c>
      <c r="BG13" s="38">
        <v>67.798</v>
      </c>
      <c r="BH13" s="38">
        <v>0</v>
      </c>
      <c r="BI13" s="38">
        <v>0</v>
      </c>
      <c r="BJ13" s="38">
        <v>0</v>
      </c>
      <c r="BK13" s="38">
        <v>0</v>
      </c>
      <c r="BL13" s="38"/>
      <c r="BM13" s="38">
        <v>0</v>
      </c>
      <c r="BN13" s="38">
        <v>0</v>
      </c>
      <c r="BO13" s="38">
        <v>0</v>
      </c>
      <c r="BP13" s="38">
        <v>0</v>
      </c>
      <c r="BQ13" s="38">
        <v>0</v>
      </c>
      <c r="BR13" s="38">
        <v>0</v>
      </c>
      <c r="BS13" s="38">
        <v>0.0033</v>
      </c>
      <c r="BT13" s="38">
        <v>0.0033</v>
      </c>
      <c r="BU13" s="38">
        <v>0.0012</v>
      </c>
      <c r="BV13" s="38">
        <v>0.0004</v>
      </c>
      <c r="BW13" s="38"/>
      <c r="BX13" s="38">
        <v>0.0038</v>
      </c>
      <c r="BY13" s="38">
        <v>0.0029</v>
      </c>
      <c r="BZ13" s="38">
        <v>2.1702</v>
      </c>
      <c r="CA13" s="38">
        <v>0</v>
      </c>
      <c r="CB13" s="38">
        <v>0</v>
      </c>
      <c r="CC13" s="38">
        <v>0</v>
      </c>
      <c r="CD13" s="50"/>
      <c r="CE13" s="53">
        <f t="shared" si="7"/>
        <v>2425.12202547602</v>
      </c>
      <c r="CF13" s="50"/>
      <c r="CG13" s="50"/>
      <c r="CH13" s="50"/>
    </row>
    <row r="14" ht="22.6" customHeight="1" spans="1:86">
      <c r="A14" s="10" t="s">
        <v>21</v>
      </c>
      <c r="B14" s="38">
        <f t="shared" si="4"/>
        <v>2400.9408</v>
      </c>
      <c r="C14" s="38">
        <f t="shared" si="5"/>
        <v>2938.01334095423</v>
      </c>
      <c r="D14" s="38">
        <v>2801.5676</v>
      </c>
      <c r="E14" s="38">
        <v>1048.8453</v>
      </c>
      <c r="F14" s="38">
        <v>2148.8315</v>
      </c>
      <c r="G14" s="38">
        <v>0</v>
      </c>
      <c r="H14" s="38">
        <v>560.2209</v>
      </c>
      <c r="I14" s="38">
        <v>0</v>
      </c>
      <c r="J14" s="43">
        <v>549.9229</v>
      </c>
      <c r="K14" s="43">
        <v>1182.771</v>
      </c>
      <c r="L14" s="38">
        <f t="shared" si="0"/>
        <v>6559.4653</v>
      </c>
      <c r="M14" s="38">
        <v>200.5358</v>
      </c>
      <c r="N14" s="38">
        <v>1122.4538</v>
      </c>
      <c r="O14" s="38">
        <v>977.0899</v>
      </c>
      <c r="P14" s="38">
        <v>422.3211</v>
      </c>
      <c r="Q14" s="38"/>
      <c r="R14" s="38">
        <v>0</v>
      </c>
      <c r="S14" s="43">
        <v>54.4914</v>
      </c>
      <c r="T14" s="43">
        <v>5.3869</v>
      </c>
      <c r="U14" s="43">
        <v>12.475</v>
      </c>
      <c r="V14" s="43">
        <v>23.9238</v>
      </c>
      <c r="W14" s="43">
        <v>8.8679</v>
      </c>
      <c r="X14" s="43">
        <v>9.0503</v>
      </c>
      <c r="Y14" s="38">
        <f t="shared" si="1"/>
        <v>2722.4006</v>
      </c>
      <c r="Z14" s="38">
        <v>553.565</v>
      </c>
      <c r="AA14" s="38">
        <v>0</v>
      </c>
      <c r="AB14" s="38">
        <v>0</v>
      </c>
      <c r="AC14" s="38">
        <v>0</v>
      </c>
      <c r="AD14" s="38">
        <v>0</v>
      </c>
      <c r="AE14" s="38">
        <v>9.223</v>
      </c>
      <c r="AF14" s="38">
        <v>0</v>
      </c>
      <c r="AG14" s="38">
        <v>0</v>
      </c>
      <c r="AH14" s="38">
        <v>871.1578</v>
      </c>
      <c r="AI14" s="38">
        <f t="shared" si="2"/>
        <v>2.1781</v>
      </c>
      <c r="AJ14" s="38">
        <f t="shared" si="3"/>
        <v>4158.5245</v>
      </c>
      <c r="AK14" s="38">
        <v>4341.934016258</v>
      </c>
      <c r="AL14" s="38">
        <v>1348.12726281403</v>
      </c>
      <c r="AM14" s="38">
        <v>1621.90067610297</v>
      </c>
      <c r="AN14" s="38">
        <v>63.020158322466</v>
      </c>
      <c r="AO14" s="38">
        <v>1420.0140950291</v>
      </c>
      <c r="AP14" s="38">
        <v>382.378469350036</v>
      </c>
      <c r="AQ14" s="38">
        <v>7.25630534441</v>
      </c>
      <c r="AR14" s="38">
        <v>10.0822605312</v>
      </c>
      <c r="AS14" s="38">
        <v>0</v>
      </c>
      <c r="AT14" s="38">
        <v>9.468041004546</v>
      </c>
      <c r="AU14" s="38">
        <v>777.695002521553</v>
      </c>
      <c r="AV14" s="38">
        <f t="shared" si="6"/>
        <v>9184.63098322102</v>
      </c>
      <c r="AW14" s="39">
        <v>-537.072540954234</v>
      </c>
      <c r="AX14" s="46"/>
      <c r="AY14" s="46"/>
      <c r="AZ14" s="46"/>
      <c r="BA14" s="46"/>
      <c r="BB14" s="38">
        <v>25.233</v>
      </c>
      <c r="BC14" s="38">
        <v>52.3223</v>
      </c>
      <c r="BD14" s="38">
        <v>46.8204</v>
      </c>
      <c r="BE14" s="38">
        <v>1.4164</v>
      </c>
      <c r="BF14" s="38">
        <v>7.1467</v>
      </c>
      <c r="BG14" s="38">
        <v>67.597</v>
      </c>
      <c r="BH14" s="38">
        <v>0</v>
      </c>
      <c r="BI14" s="38">
        <v>0</v>
      </c>
      <c r="BJ14" s="38">
        <v>0</v>
      </c>
      <c r="BK14" s="38">
        <v>0</v>
      </c>
      <c r="BL14" s="38"/>
      <c r="BM14" s="38">
        <v>0</v>
      </c>
      <c r="BN14" s="38">
        <v>0</v>
      </c>
      <c r="BO14" s="38">
        <v>0</v>
      </c>
      <c r="BP14" s="38">
        <v>0</v>
      </c>
      <c r="BQ14" s="38">
        <v>0</v>
      </c>
      <c r="BR14" s="38">
        <v>0</v>
      </c>
      <c r="BS14" s="38">
        <v>0.0033</v>
      </c>
      <c r="BT14" s="38">
        <v>0.0013</v>
      </c>
      <c r="BU14" s="38">
        <v>0.0015</v>
      </c>
      <c r="BV14" s="38">
        <v>0.0003</v>
      </c>
      <c r="BW14" s="38"/>
      <c r="BX14" s="38">
        <v>0.0032</v>
      </c>
      <c r="BY14" s="38">
        <v>0.0029</v>
      </c>
      <c r="BZ14" s="38">
        <v>2.1656</v>
      </c>
      <c r="CA14" s="38">
        <v>0</v>
      </c>
      <c r="CB14" s="38">
        <v>0</v>
      </c>
      <c r="CC14" s="38">
        <v>0</v>
      </c>
      <c r="CD14" s="50"/>
      <c r="CE14" s="54">
        <f t="shared" ref="CE14:CE39" si="8">C14+M14+Z14+AH14</f>
        <v>4563.27194095423</v>
      </c>
      <c r="CF14" s="50"/>
      <c r="CG14" s="50"/>
      <c r="CH14" s="50"/>
    </row>
    <row r="15" ht="22.6" customHeight="1" spans="1:86">
      <c r="A15" s="10" t="s">
        <v>22</v>
      </c>
      <c r="B15" s="38">
        <f t="shared" si="4"/>
        <v>2245.091</v>
      </c>
      <c r="C15" s="38">
        <f t="shared" si="5"/>
        <v>2354.69214634126</v>
      </c>
      <c r="D15" s="38">
        <v>3055.3461</v>
      </c>
      <c r="E15" s="38">
        <v>1193.5927</v>
      </c>
      <c r="F15" s="38">
        <v>2349.6842</v>
      </c>
      <c r="G15" s="38">
        <v>0</v>
      </c>
      <c r="H15" s="38">
        <v>188.9946</v>
      </c>
      <c r="I15" s="38">
        <v>0</v>
      </c>
      <c r="J15" s="43">
        <v>649.961</v>
      </c>
      <c r="K15" s="43">
        <v>1600.68</v>
      </c>
      <c r="L15" s="38">
        <f t="shared" si="0"/>
        <v>6787.6176</v>
      </c>
      <c r="M15" s="38">
        <v>195.6536</v>
      </c>
      <c r="N15" s="38">
        <v>1743.2592</v>
      </c>
      <c r="O15" s="38">
        <v>1001.5604</v>
      </c>
      <c r="P15" s="38">
        <v>425.4382</v>
      </c>
      <c r="Q15" s="38"/>
      <c r="R15" s="38">
        <v>0</v>
      </c>
      <c r="S15" s="43">
        <v>54.7541</v>
      </c>
      <c r="T15" s="43">
        <v>5.3874</v>
      </c>
      <c r="U15" s="43">
        <v>12.5756</v>
      </c>
      <c r="V15" s="43">
        <v>25.5698</v>
      </c>
      <c r="W15" s="43">
        <v>8.495</v>
      </c>
      <c r="X15" s="43">
        <v>8.949</v>
      </c>
      <c r="Y15" s="38">
        <f t="shared" si="1"/>
        <v>3365.9114</v>
      </c>
      <c r="Z15" s="38">
        <v>797.618</v>
      </c>
      <c r="AA15" s="38">
        <v>0</v>
      </c>
      <c r="AB15" s="38">
        <v>0</v>
      </c>
      <c r="AC15" s="38">
        <v>0</v>
      </c>
      <c r="AD15" s="38">
        <v>0</v>
      </c>
      <c r="AE15" s="38">
        <v>8.9743</v>
      </c>
      <c r="AF15" s="38">
        <v>0</v>
      </c>
      <c r="AG15" s="38">
        <v>0</v>
      </c>
      <c r="AH15" s="38">
        <v>367.8431</v>
      </c>
      <c r="AI15" s="38">
        <f t="shared" si="2"/>
        <v>2.1798</v>
      </c>
      <c r="AJ15" s="38">
        <f t="shared" si="3"/>
        <v>4542.5266</v>
      </c>
      <c r="AK15" s="38">
        <v>4149.110309434</v>
      </c>
      <c r="AL15" s="38">
        <v>1371.9298521591</v>
      </c>
      <c r="AM15" s="38">
        <v>1636.77238014623</v>
      </c>
      <c r="AN15" s="38">
        <v>63.002949198905</v>
      </c>
      <c r="AO15" s="38">
        <v>1453.27955526045</v>
      </c>
      <c r="AP15" s="38">
        <v>393.78784807133</v>
      </c>
      <c r="AQ15" s="38">
        <v>7.146942609743</v>
      </c>
      <c r="AR15" s="38">
        <v>11.268212510786</v>
      </c>
      <c r="AS15" s="38">
        <v>0</v>
      </c>
      <c r="AT15" s="38">
        <v>10.684375061955</v>
      </c>
      <c r="AU15" s="38">
        <v>870.770467407389</v>
      </c>
      <c r="AV15" s="38">
        <f t="shared" si="6"/>
        <v>9075.02983687976</v>
      </c>
      <c r="AW15" s="39">
        <v>-109.601146341261</v>
      </c>
      <c r="AX15" s="46"/>
      <c r="AY15" s="46"/>
      <c r="AZ15" s="46"/>
      <c r="BA15" s="46"/>
      <c r="BB15" s="38">
        <v>23.5549</v>
      </c>
      <c r="BC15" s="38">
        <v>51.9248</v>
      </c>
      <c r="BD15" s="38">
        <v>45.0208</v>
      </c>
      <c r="BE15" s="38">
        <v>3.68</v>
      </c>
      <c r="BF15" s="38">
        <v>7.0141</v>
      </c>
      <c r="BG15" s="38">
        <v>64.459</v>
      </c>
      <c r="BH15" s="38">
        <v>0</v>
      </c>
      <c r="BI15" s="38">
        <v>0</v>
      </c>
      <c r="BJ15" s="38">
        <v>0</v>
      </c>
      <c r="BK15" s="38">
        <v>0</v>
      </c>
      <c r="BL15" s="38"/>
      <c r="BM15" s="38">
        <v>0</v>
      </c>
      <c r="BN15" s="38">
        <v>0</v>
      </c>
      <c r="BO15" s="38">
        <v>0</v>
      </c>
      <c r="BP15" s="38">
        <v>0</v>
      </c>
      <c r="BQ15" s="38">
        <v>0</v>
      </c>
      <c r="BR15" s="38">
        <v>0</v>
      </c>
      <c r="BS15" s="38">
        <v>0.0033</v>
      </c>
      <c r="BT15" s="38">
        <v>0.0017</v>
      </c>
      <c r="BU15" s="38">
        <v>0.0013</v>
      </c>
      <c r="BV15" s="38">
        <v>0.001</v>
      </c>
      <c r="BW15" s="38"/>
      <c r="BX15" s="38">
        <v>0.005</v>
      </c>
      <c r="BY15" s="38">
        <v>0.0031</v>
      </c>
      <c r="BZ15" s="38">
        <v>2.1644</v>
      </c>
      <c r="CA15" s="38">
        <v>0</v>
      </c>
      <c r="CB15" s="38">
        <v>0</v>
      </c>
      <c r="CC15" s="38">
        <v>0</v>
      </c>
      <c r="CD15" s="50"/>
      <c r="CE15" s="54">
        <f t="shared" si="8"/>
        <v>3715.80684634126</v>
      </c>
      <c r="CF15" s="50"/>
      <c r="CG15" s="50"/>
      <c r="CH15" s="50"/>
    </row>
    <row r="16" ht="22.6" customHeight="1" spans="1:86">
      <c r="A16" s="10" t="s">
        <v>23</v>
      </c>
      <c r="B16" s="38">
        <f t="shared" si="4"/>
        <v>2732.98</v>
      </c>
      <c r="C16" s="38">
        <f t="shared" si="5"/>
        <v>2575.72503283441</v>
      </c>
      <c r="D16" s="38">
        <v>3031.0615</v>
      </c>
      <c r="E16" s="38">
        <v>1205.5155</v>
      </c>
      <c r="F16" s="38">
        <v>2269.2961</v>
      </c>
      <c r="G16" s="38">
        <v>0</v>
      </c>
      <c r="H16" s="38">
        <v>0</v>
      </c>
      <c r="I16" s="38">
        <v>0</v>
      </c>
      <c r="J16" s="43">
        <v>649.9936</v>
      </c>
      <c r="K16" s="43">
        <v>1601.86</v>
      </c>
      <c r="L16" s="38">
        <f t="shared" si="0"/>
        <v>6505.8731</v>
      </c>
      <c r="M16" s="38">
        <v>199.2372</v>
      </c>
      <c r="N16" s="38">
        <v>1645.7612</v>
      </c>
      <c r="O16" s="38">
        <v>1000.3553</v>
      </c>
      <c r="P16" s="38">
        <v>404.2051</v>
      </c>
      <c r="Q16" s="38"/>
      <c r="R16" s="38">
        <v>0</v>
      </c>
      <c r="S16" s="43">
        <v>55.8906</v>
      </c>
      <c r="T16" s="43">
        <v>5.5436</v>
      </c>
      <c r="U16" s="43">
        <v>12.576</v>
      </c>
      <c r="V16" s="43">
        <v>24.9507</v>
      </c>
      <c r="W16" s="43">
        <v>8.5945</v>
      </c>
      <c r="X16" s="43">
        <v>8.9509</v>
      </c>
      <c r="Y16" s="38">
        <f t="shared" si="1"/>
        <v>3249.5588</v>
      </c>
      <c r="Z16" s="38">
        <v>306.225</v>
      </c>
      <c r="AA16" s="38">
        <v>33.5724</v>
      </c>
      <c r="AB16" s="38">
        <v>0</v>
      </c>
      <c r="AC16" s="38">
        <v>0</v>
      </c>
      <c r="AD16" s="38">
        <v>0</v>
      </c>
      <c r="AE16" s="38">
        <v>9.0222</v>
      </c>
      <c r="AF16" s="38">
        <v>0</v>
      </c>
      <c r="AG16" s="38">
        <v>0</v>
      </c>
      <c r="AH16" s="38">
        <v>172.3147</v>
      </c>
      <c r="AI16" s="38">
        <f t="shared" si="2"/>
        <v>2.2</v>
      </c>
      <c r="AJ16" s="38">
        <f t="shared" si="3"/>
        <v>3772.8931</v>
      </c>
      <c r="AK16" s="38">
        <v>4306.097941224</v>
      </c>
      <c r="AL16" s="38">
        <v>1381.72975299476</v>
      </c>
      <c r="AM16" s="38">
        <v>1615.46203493192</v>
      </c>
      <c r="AN16" s="38">
        <v>62.331539375159</v>
      </c>
      <c r="AO16" s="38">
        <v>1463.44221980236</v>
      </c>
      <c r="AP16" s="38">
        <v>396.05540225964</v>
      </c>
      <c r="AQ16" s="38">
        <v>7.165913457509</v>
      </c>
      <c r="AR16" s="38">
        <v>10.873816477908</v>
      </c>
      <c r="AS16" s="38">
        <v>0</v>
      </c>
      <c r="AT16" s="38">
        <v>10.233311712917</v>
      </c>
      <c r="AU16" s="38">
        <v>838.050751173421</v>
      </c>
      <c r="AV16" s="38">
        <f t="shared" si="6"/>
        <v>9232.28480404535</v>
      </c>
      <c r="AW16" s="38">
        <v>157.254967165591</v>
      </c>
      <c r="AX16" s="46"/>
      <c r="AY16" s="46"/>
      <c r="AZ16" s="46"/>
      <c r="BA16" s="46"/>
      <c r="BB16" s="38">
        <v>23.0704</v>
      </c>
      <c r="BC16" s="38">
        <v>50.6254</v>
      </c>
      <c r="BD16" s="38">
        <v>46.9251</v>
      </c>
      <c r="BE16" s="38">
        <v>3.7362</v>
      </c>
      <c r="BF16" s="38">
        <v>7.1811</v>
      </c>
      <c r="BG16" s="38">
        <v>67.699</v>
      </c>
      <c r="BH16" s="38">
        <v>0</v>
      </c>
      <c r="BI16" s="38">
        <v>0</v>
      </c>
      <c r="BJ16" s="38">
        <v>0</v>
      </c>
      <c r="BK16" s="38">
        <v>0</v>
      </c>
      <c r="BL16" s="38"/>
      <c r="BM16" s="38">
        <v>0</v>
      </c>
      <c r="BN16" s="38">
        <v>0</v>
      </c>
      <c r="BO16" s="38">
        <v>0.0218</v>
      </c>
      <c r="BP16" s="38">
        <v>0</v>
      </c>
      <c r="BQ16" s="38">
        <v>0</v>
      </c>
      <c r="BR16" s="38">
        <v>0</v>
      </c>
      <c r="BS16" s="38">
        <v>0.0034</v>
      </c>
      <c r="BT16" s="38">
        <v>0.0005</v>
      </c>
      <c r="BU16" s="38">
        <v>0.0011</v>
      </c>
      <c r="BV16" s="38">
        <v>0.0006</v>
      </c>
      <c r="BW16" s="38"/>
      <c r="BX16" s="38">
        <v>0.0038</v>
      </c>
      <c r="BY16" s="38">
        <v>0.0029</v>
      </c>
      <c r="BZ16" s="38">
        <v>2.1659</v>
      </c>
      <c r="CA16" s="38">
        <v>0</v>
      </c>
      <c r="CB16" s="38">
        <v>0</v>
      </c>
      <c r="CC16" s="38">
        <v>0</v>
      </c>
      <c r="CD16" s="50"/>
      <c r="CE16" s="53">
        <f t="shared" si="8"/>
        <v>3253.50193283441</v>
      </c>
      <c r="CF16" s="50"/>
      <c r="CG16" s="50"/>
      <c r="CH16" s="50"/>
    </row>
    <row r="17" ht="22.6" customHeight="1" spans="1:86">
      <c r="A17" s="10" t="s">
        <v>24</v>
      </c>
      <c r="B17" s="38">
        <f t="shared" si="4"/>
        <v>2079.1768</v>
      </c>
      <c r="C17" s="38">
        <f t="shared" si="5"/>
        <v>2291.6361765755</v>
      </c>
      <c r="D17" s="38">
        <v>2976.9071</v>
      </c>
      <c r="E17" s="38">
        <v>1279.8349</v>
      </c>
      <c r="F17" s="38">
        <v>2081.8292</v>
      </c>
      <c r="G17" s="38">
        <v>0</v>
      </c>
      <c r="H17" s="38">
        <v>0</v>
      </c>
      <c r="I17" s="38">
        <v>0</v>
      </c>
      <c r="J17" s="43">
        <v>649.9641</v>
      </c>
      <c r="K17" s="43">
        <v>1602.107</v>
      </c>
      <c r="L17" s="38">
        <f t="shared" si="0"/>
        <v>6338.5712</v>
      </c>
      <c r="M17" s="38">
        <v>199.2972</v>
      </c>
      <c r="N17" s="38">
        <v>1608.2288</v>
      </c>
      <c r="O17" s="38">
        <v>980.6971</v>
      </c>
      <c r="P17" s="38">
        <v>470.251</v>
      </c>
      <c r="Q17" s="38"/>
      <c r="R17" s="38">
        <v>0</v>
      </c>
      <c r="S17" s="43">
        <v>55.058</v>
      </c>
      <c r="T17" s="43">
        <v>5.5785</v>
      </c>
      <c r="U17" s="43">
        <v>12.5758</v>
      </c>
      <c r="V17" s="43">
        <v>23.9262</v>
      </c>
      <c r="W17" s="43">
        <v>8.5941</v>
      </c>
      <c r="X17" s="43">
        <v>9.1914</v>
      </c>
      <c r="Y17" s="38">
        <f t="shared" si="1"/>
        <v>3258.4741</v>
      </c>
      <c r="Z17" s="38">
        <v>652.843</v>
      </c>
      <c r="AA17" s="38">
        <v>0</v>
      </c>
      <c r="AB17" s="38">
        <v>0</v>
      </c>
      <c r="AC17" s="38">
        <v>0</v>
      </c>
      <c r="AD17" s="38">
        <v>129.3159</v>
      </c>
      <c r="AE17" s="38">
        <v>9.2736</v>
      </c>
      <c r="AF17" s="38">
        <v>0</v>
      </c>
      <c r="AG17" s="38">
        <v>0</v>
      </c>
      <c r="AH17" s="38">
        <v>207.3091</v>
      </c>
      <c r="AI17" s="38">
        <f t="shared" si="2"/>
        <v>2.1787</v>
      </c>
      <c r="AJ17" s="38">
        <f t="shared" si="3"/>
        <v>4259.3944</v>
      </c>
      <c r="AK17" s="38">
        <v>4211.221680833</v>
      </c>
      <c r="AL17" s="38">
        <v>1359.35874540696</v>
      </c>
      <c r="AM17" s="38">
        <v>1533.00308409054</v>
      </c>
      <c r="AN17" s="38">
        <v>61.34561380211</v>
      </c>
      <c r="AO17" s="38">
        <v>1453.63843387348</v>
      </c>
      <c r="AP17" s="38">
        <v>394.217266340338</v>
      </c>
      <c r="AQ17" s="38">
        <v>7.040603123418</v>
      </c>
      <c r="AR17" s="38">
        <v>11.243192503309</v>
      </c>
      <c r="AS17" s="38">
        <v>0</v>
      </c>
      <c r="AT17" s="38">
        <v>10.650954016223</v>
      </c>
      <c r="AU17" s="38">
        <v>867.412416316163</v>
      </c>
      <c r="AV17" s="38">
        <f t="shared" si="6"/>
        <v>9019.82542746985</v>
      </c>
      <c r="AW17" s="39">
        <v>-212.459376575498</v>
      </c>
      <c r="AX17" s="46"/>
      <c r="AY17" s="46"/>
      <c r="AZ17" s="46"/>
      <c r="BA17" s="46"/>
      <c r="BB17" s="38">
        <v>22.2984</v>
      </c>
      <c r="BC17" s="38">
        <v>50.9519</v>
      </c>
      <c r="BD17" s="38">
        <v>46.821</v>
      </c>
      <c r="BE17" s="38">
        <v>3.5907</v>
      </c>
      <c r="BF17" s="38">
        <v>7.1452</v>
      </c>
      <c r="BG17" s="38">
        <v>68.49</v>
      </c>
      <c r="BH17" s="38">
        <v>0</v>
      </c>
      <c r="BI17" s="38">
        <v>0</v>
      </c>
      <c r="BJ17" s="38">
        <v>0</v>
      </c>
      <c r="BK17" s="38">
        <v>0</v>
      </c>
      <c r="BL17" s="38"/>
      <c r="BM17" s="38">
        <v>0</v>
      </c>
      <c r="BN17" s="38">
        <v>0</v>
      </c>
      <c r="BO17" s="38">
        <v>0</v>
      </c>
      <c r="BP17" s="38">
        <v>0</v>
      </c>
      <c r="BQ17" s="38">
        <v>0</v>
      </c>
      <c r="BR17" s="38">
        <v>0</v>
      </c>
      <c r="BS17" s="38">
        <v>0.0034</v>
      </c>
      <c r="BT17" s="38">
        <v>0.0005</v>
      </c>
      <c r="BU17" s="38">
        <v>0.001</v>
      </c>
      <c r="BV17" s="38">
        <v>0.0007</v>
      </c>
      <c r="BW17" s="38"/>
      <c r="BX17" s="38">
        <v>0.0035</v>
      </c>
      <c r="BY17" s="38">
        <v>0.0029</v>
      </c>
      <c r="BZ17" s="38">
        <v>2.1667</v>
      </c>
      <c r="CA17" s="38">
        <v>0</v>
      </c>
      <c r="CB17" s="38">
        <v>0</v>
      </c>
      <c r="CC17" s="38">
        <v>0</v>
      </c>
      <c r="CD17" s="50"/>
      <c r="CE17" s="53">
        <f t="shared" si="8"/>
        <v>3351.0854765755</v>
      </c>
      <c r="CF17" s="50"/>
      <c r="CG17" s="50"/>
      <c r="CH17" s="50"/>
    </row>
    <row r="18" ht="22.6" customHeight="1" spans="1:86">
      <c r="A18" s="10" t="s">
        <v>25</v>
      </c>
      <c r="B18" s="38">
        <f t="shared" si="4"/>
        <v>2956.5084</v>
      </c>
      <c r="C18" s="38">
        <f t="shared" si="5"/>
        <v>2617.00944813111</v>
      </c>
      <c r="D18" s="38">
        <v>3019.9555</v>
      </c>
      <c r="E18" s="38">
        <v>1274.2015</v>
      </c>
      <c r="F18" s="38">
        <v>2083.5494</v>
      </c>
      <c r="G18" s="38">
        <v>0</v>
      </c>
      <c r="H18" s="38">
        <v>523.7709</v>
      </c>
      <c r="I18" s="38">
        <v>0</v>
      </c>
      <c r="J18" s="43">
        <v>649.9523</v>
      </c>
      <c r="K18" s="43">
        <v>1799.648</v>
      </c>
      <c r="L18" s="38">
        <f t="shared" si="0"/>
        <v>6901.4773</v>
      </c>
      <c r="M18" s="38">
        <v>201.562</v>
      </c>
      <c r="N18" s="38">
        <v>1630.6068</v>
      </c>
      <c r="O18" s="38">
        <v>882.5909</v>
      </c>
      <c r="P18" s="38">
        <v>473.6111</v>
      </c>
      <c r="Q18" s="38"/>
      <c r="R18" s="38">
        <v>0</v>
      </c>
      <c r="S18" s="43">
        <v>48.4467</v>
      </c>
      <c r="T18" s="43">
        <v>5.5809</v>
      </c>
      <c r="U18" s="43">
        <v>12.7745</v>
      </c>
      <c r="V18" s="43">
        <v>24.0071</v>
      </c>
      <c r="W18" s="43">
        <v>8.7951</v>
      </c>
      <c r="X18" s="43">
        <v>9.1586</v>
      </c>
      <c r="Y18" s="38">
        <f t="shared" si="1"/>
        <v>3188.3708</v>
      </c>
      <c r="Z18" s="38">
        <v>345.132</v>
      </c>
      <c r="AA18" s="38">
        <v>0</v>
      </c>
      <c r="AB18" s="38">
        <v>0</v>
      </c>
      <c r="AC18" s="38">
        <v>0</v>
      </c>
      <c r="AD18" s="38">
        <v>0</v>
      </c>
      <c r="AE18" s="38">
        <v>9.2314</v>
      </c>
      <c r="AF18" s="38">
        <v>0</v>
      </c>
      <c r="AG18" s="38">
        <v>0</v>
      </c>
      <c r="AH18" s="38">
        <v>400.0472</v>
      </c>
      <c r="AI18" s="38">
        <f t="shared" si="2"/>
        <v>2.1875</v>
      </c>
      <c r="AJ18" s="38">
        <f t="shared" si="3"/>
        <v>3944.9689</v>
      </c>
      <c r="AK18" s="38">
        <v>4337.176374788</v>
      </c>
      <c r="AL18" s="38">
        <v>1415.11475966177</v>
      </c>
      <c r="AM18" s="38">
        <v>1659.82474727141</v>
      </c>
      <c r="AN18" s="38">
        <v>62.51665788784</v>
      </c>
      <c r="AO18" s="38">
        <v>1474.33688874732</v>
      </c>
      <c r="AP18" s="38">
        <v>403.270954584185</v>
      </c>
      <c r="AQ18" s="38">
        <v>7.083996398215</v>
      </c>
      <c r="AR18" s="38">
        <v>10.837814356421</v>
      </c>
      <c r="AS18" s="38">
        <v>0</v>
      </c>
      <c r="AT18" s="38">
        <v>10.188224334628</v>
      </c>
      <c r="AU18" s="38">
        <v>837.158525175474</v>
      </c>
      <c r="AV18" s="38">
        <f t="shared" si="6"/>
        <v>9359.32437933874</v>
      </c>
      <c r="AW18" s="38">
        <v>339.498951868891</v>
      </c>
      <c r="AX18" s="46"/>
      <c r="AY18" s="46"/>
      <c r="AZ18" s="46"/>
      <c r="BA18" s="46"/>
      <c r="BB18" s="38">
        <v>22.3087</v>
      </c>
      <c r="BC18" s="38">
        <v>52.978</v>
      </c>
      <c r="BD18" s="38">
        <v>45.5207</v>
      </c>
      <c r="BE18" s="38">
        <v>3.8305</v>
      </c>
      <c r="BF18" s="38">
        <v>7.7171</v>
      </c>
      <c r="BG18" s="38">
        <v>69.207</v>
      </c>
      <c r="BH18" s="38">
        <v>0</v>
      </c>
      <c r="BI18" s="38">
        <v>0</v>
      </c>
      <c r="BJ18" s="38">
        <v>0</v>
      </c>
      <c r="BK18" s="38">
        <v>0</v>
      </c>
      <c r="BL18" s="38"/>
      <c r="BM18" s="38">
        <v>0</v>
      </c>
      <c r="BN18" s="38">
        <v>0</v>
      </c>
      <c r="BO18" s="38">
        <v>0</v>
      </c>
      <c r="BP18" s="38">
        <v>0</v>
      </c>
      <c r="BQ18" s="38">
        <v>0</v>
      </c>
      <c r="BR18" s="38">
        <v>0</v>
      </c>
      <c r="BS18" s="38">
        <v>0.0033</v>
      </c>
      <c r="BT18" s="38">
        <v>0.0039</v>
      </c>
      <c r="BU18" s="38">
        <v>0.0011</v>
      </c>
      <c r="BV18" s="38">
        <v>0.0004</v>
      </c>
      <c r="BW18" s="38"/>
      <c r="BX18" s="38">
        <v>0.0041</v>
      </c>
      <c r="BY18" s="38">
        <v>0.003</v>
      </c>
      <c r="BZ18" s="38">
        <v>2.1717</v>
      </c>
      <c r="CA18" s="38">
        <v>0</v>
      </c>
      <c r="CB18" s="38">
        <v>0</v>
      </c>
      <c r="CC18" s="38">
        <v>0</v>
      </c>
      <c r="CD18" s="50"/>
      <c r="CE18" s="54">
        <f t="shared" si="8"/>
        <v>3563.75064813111</v>
      </c>
      <c r="CF18" s="50"/>
      <c r="CG18" s="50"/>
      <c r="CH18" s="50"/>
    </row>
    <row r="19" ht="22.6" customHeight="1" spans="1:86">
      <c r="A19" s="10" t="s">
        <v>26</v>
      </c>
      <c r="B19" s="38">
        <f t="shared" si="4"/>
        <v>3168.4359</v>
      </c>
      <c r="C19" s="38">
        <f t="shared" si="5"/>
        <v>2795.13136289008</v>
      </c>
      <c r="D19" s="38">
        <v>3006.165</v>
      </c>
      <c r="E19" s="38">
        <v>1170.3204</v>
      </c>
      <c r="F19" s="38">
        <v>2274.3323</v>
      </c>
      <c r="G19" s="38">
        <v>0</v>
      </c>
      <c r="H19" s="38">
        <v>591.5794</v>
      </c>
      <c r="I19" s="38">
        <v>0</v>
      </c>
      <c r="J19" s="43">
        <v>649.8984</v>
      </c>
      <c r="K19" s="43">
        <v>1850.951</v>
      </c>
      <c r="L19" s="38">
        <f t="shared" si="0"/>
        <v>7042.3971</v>
      </c>
      <c r="M19" s="38">
        <v>202.5806</v>
      </c>
      <c r="N19" s="38">
        <v>1472.5106</v>
      </c>
      <c r="O19" s="38">
        <v>974.2158</v>
      </c>
      <c r="P19" s="38">
        <v>466.896</v>
      </c>
      <c r="Q19" s="38"/>
      <c r="R19" s="38">
        <v>0</v>
      </c>
      <c r="S19" s="43">
        <v>28.6665</v>
      </c>
      <c r="T19" s="43">
        <v>3.994</v>
      </c>
      <c r="U19" s="43">
        <v>12.7757</v>
      </c>
      <c r="V19" s="43">
        <v>25.1135</v>
      </c>
      <c r="W19" s="43">
        <v>8.8943</v>
      </c>
      <c r="X19" s="43">
        <v>8.735</v>
      </c>
      <c r="Y19" s="38">
        <f t="shared" si="1"/>
        <v>3116.203</v>
      </c>
      <c r="Z19" s="38">
        <v>604.476</v>
      </c>
      <c r="AA19" s="38">
        <v>0</v>
      </c>
      <c r="AB19" s="38">
        <v>0</v>
      </c>
      <c r="AC19" s="38">
        <v>0</v>
      </c>
      <c r="AD19" s="38">
        <v>0</v>
      </c>
      <c r="AE19" s="38">
        <v>8.8008</v>
      </c>
      <c r="AF19" s="38">
        <v>0</v>
      </c>
      <c r="AG19" s="38">
        <v>0</v>
      </c>
      <c r="AH19" s="38">
        <v>142.951</v>
      </c>
      <c r="AI19" s="38">
        <f t="shared" si="2"/>
        <v>1.5304</v>
      </c>
      <c r="AJ19" s="38">
        <f t="shared" si="3"/>
        <v>3873.9612</v>
      </c>
      <c r="AK19" s="38">
        <v>4618.553419875</v>
      </c>
      <c r="AL19" s="38">
        <v>1450.1416</v>
      </c>
      <c r="AM19" s="38">
        <v>1664.10793975563</v>
      </c>
      <c r="AN19" s="38">
        <v>66.179527453711</v>
      </c>
      <c r="AO19" s="38">
        <v>1501.1656254232</v>
      </c>
      <c r="AP19" s="38">
        <v>425.26512533627</v>
      </c>
      <c r="AQ19" s="38">
        <v>7.215678604852</v>
      </c>
      <c r="AR19" s="38">
        <v>10.923900699057</v>
      </c>
      <c r="AS19" s="38">
        <v>0</v>
      </c>
      <c r="AT19" s="38">
        <v>10.20138255574</v>
      </c>
      <c r="AU19" s="38">
        <v>843.644676059761</v>
      </c>
      <c r="AV19" s="38">
        <f t="shared" si="6"/>
        <v>9732.62891644866</v>
      </c>
      <c r="AW19" s="38">
        <v>373.304537109916</v>
      </c>
      <c r="AX19" s="46"/>
      <c r="AY19" s="46"/>
      <c r="AZ19" s="46"/>
      <c r="BA19" s="46"/>
      <c r="BB19" s="38">
        <v>22.1517</v>
      </c>
      <c r="BC19" s="38">
        <v>52.5787</v>
      </c>
      <c r="BD19" s="38">
        <v>48.2205</v>
      </c>
      <c r="BE19" s="38">
        <v>3.5386</v>
      </c>
      <c r="BF19" s="38">
        <v>6.8661</v>
      </c>
      <c r="BG19" s="38">
        <v>69.225</v>
      </c>
      <c r="BH19" s="38">
        <v>0</v>
      </c>
      <c r="BI19" s="38">
        <v>0</v>
      </c>
      <c r="BJ19" s="38">
        <v>0</v>
      </c>
      <c r="BK19" s="38">
        <v>0</v>
      </c>
      <c r="BL19" s="38"/>
      <c r="BM19" s="38">
        <v>0</v>
      </c>
      <c r="BN19" s="38">
        <v>0</v>
      </c>
      <c r="BO19" s="38">
        <v>0</v>
      </c>
      <c r="BP19" s="38">
        <v>0</v>
      </c>
      <c r="BQ19" s="38">
        <v>0.1544</v>
      </c>
      <c r="BR19" s="38">
        <v>0</v>
      </c>
      <c r="BS19" s="38">
        <v>0.0032</v>
      </c>
      <c r="BT19" s="38">
        <v>0.0016</v>
      </c>
      <c r="BU19" s="38">
        <v>0.0019</v>
      </c>
      <c r="BV19" s="38">
        <v>0.0003</v>
      </c>
      <c r="BW19" s="38"/>
      <c r="BX19" s="38">
        <v>0.0041</v>
      </c>
      <c r="BY19" s="38">
        <v>0.003</v>
      </c>
      <c r="BZ19" s="38">
        <v>1.3619</v>
      </c>
      <c r="CA19" s="38">
        <v>0</v>
      </c>
      <c r="CB19" s="38">
        <v>0</v>
      </c>
      <c r="CC19" s="38">
        <v>0</v>
      </c>
      <c r="CD19" s="50"/>
      <c r="CE19" s="54">
        <f t="shared" si="8"/>
        <v>3745.13896289008</v>
      </c>
      <c r="CF19" s="50"/>
      <c r="CG19" s="50"/>
      <c r="CH19" s="50"/>
    </row>
    <row r="20" ht="22.6" customHeight="1" spans="1:86">
      <c r="A20" s="10" t="s">
        <v>27</v>
      </c>
      <c r="B20" s="38">
        <f t="shared" si="4"/>
        <v>2375.0698</v>
      </c>
      <c r="C20" s="38">
        <f t="shared" si="5"/>
        <v>3101.59924495195</v>
      </c>
      <c r="D20" s="38">
        <v>2811.8407</v>
      </c>
      <c r="E20" s="38">
        <v>1124.4662</v>
      </c>
      <c r="F20" s="38">
        <v>2452.5416</v>
      </c>
      <c r="G20" s="38">
        <v>0</v>
      </c>
      <c r="H20" s="38">
        <v>631.5463</v>
      </c>
      <c r="I20" s="38">
        <v>0</v>
      </c>
      <c r="J20" s="43">
        <v>649.9848</v>
      </c>
      <c r="K20" s="43">
        <v>1588.529</v>
      </c>
      <c r="L20" s="38">
        <f t="shared" si="0"/>
        <v>7020.3948</v>
      </c>
      <c r="M20" s="38">
        <v>203.6435</v>
      </c>
      <c r="N20" s="38">
        <v>1661.3302</v>
      </c>
      <c r="O20" s="38">
        <v>966.7997</v>
      </c>
      <c r="P20" s="38">
        <v>419.521</v>
      </c>
      <c r="Q20" s="38"/>
      <c r="R20" s="38">
        <v>0</v>
      </c>
      <c r="S20" s="43">
        <v>28.3897</v>
      </c>
      <c r="T20" s="43">
        <v>1.9223</v>
      </c>
      <c r="U20" s="43">
        <v>12.7766</v>
      </c>
      <c r="V20" s="43">
        <v>24.5497</v>
      </c>
      <c r="W20" s="43">
        <v>9.2938</v>
      </c>
      <c r="X20" s="43">
        <v>8.6096</v>
      </c>
      <c r="Y20" s="38">
        <f t="shared" si="1"/>
        <v>3251.2944</v>
      </c>
      <c r="Z20" s="38">
        <v>555.084</v>
      </c>
      <c r="AA20" s="38">
        <v>0</v>
      </c>
      <c r="AB20" s="38">
        <v>0</v>
      </c>
      <c r="AC20" s="38">
        <v>0</v>
      </c>
      <c r="AD20" s="38">
        <v>0</v>
      </c>
      <c r="AE20" s="38">
        <v>8.6517</v>
      </c>
      <c r="AF20" s="38">
        <v>0</v>
      </c>
      <c r="AG20" s="38">
        <v>0</v>
      </c>
      <c r="AH20" s="38">
        <v>830.2792</v>
      </c>
      <c r="AI20" s="38">
        <f t="shared" si="2"/>
        <v>0.0157</v>
      </c>
      <c r="AJ20" s="38">
        <f t="shared" si="3"/>
        <v>4645.325</v>
      </c>
      <c r="AK20" s="38">
        <v>4217.424238456</v>
      </c>
      <c r="AL20" s="38">
        <v>1326.00741363851</v>
      </c>
      <c r="AM20" s="38">
        <v>1626.68547037699</v>
      </c>
      <c r="AN20" s="38">
        <v>66.881602561012</v>
      </c>
      <c r="AO20" s="38">
        <v>1387.09196182726</v>
      </c>
      <c r="AP20" s="38">
        <v>374.534231398704</v>
      </c>
      <c r="AQ20" s="38">
        <v>7.474553238237</v>
      </c>
      <c r="AR20" s="38">
        <v>10.41654152791</v>
      </c>
      <c r="AS20" s="38">
        <v>0</v>
      </c>
      <c r="AT20" s="38">
        <v>9.621139974832</v>
      </c>
      <c r="AU20" s="38">
        <v>798.412608443792</v>
      </c>
      <c r="AV20" s="38">
        <f t="shared" si="6"/>
        <v>9006.09947149671</v>
      </c>
      <c r="AW20" s="39">
        <v>-726.529444951946</v>
      </c>
      <c r="AX20" s="46"/>
      <c r="AY20" s="46"/>
      <c r="AZ20" s="46"/>
      <c r="BA20" s="46"/>
      <c r="BB20" s="38">
        <v>22.1239</v>
      </c>
      <c r="BC20" s="38">
        <v>52.8222</v>
      </c>
      <c r="BD20" s="38">
        <v>46.7249</v>
      </c>
      <c r="BE20" s="38">
        <v>3.5747</v>
      </c>
      <c r="BF20" s="38">
        <v>6.1178</v>
      </c>
      <c r="BG20" s="38">
        <v>72.28</v>
      </c>
      <c r="BH20" s="38">
        <v>0</v>
      </c>
      <c r="BI20" s="38">
        <v>0</v>
      </c>
      <c r="BJ20" s="38">
        <v>0</v>
      </c>
      <c r="BK20" s="38">
        <v>0</v>
      </c>
      <c r="BL20" s="38"/>
      <c r="BM20" s="38">
        <v>0</v>
      </c>
      <c r="BN20" s="38">
        <v>0</v>
      </c>
      <c r="BO20" s="38">
        <v>0</v>
      </c>
      <c r="BP20" s="38">
        <v>0</v>
      </c>
      <c r="BQ20" s="38">
        <v>0</v>
      </c>
      <c r="BR20" s="38">
        <v>0</v>
      </c>
      <c r="BS20" s="38">
        <v>0.0032</v>
      </c>
      <c r="BT20" s="38">
        <v>0.0012</v>
      </c>
      <c r="BU20" s="38">
        <v>0.0014</v>
      </c>
      <c r="BV20" s="38">
        <v>0.0003</v>
      </c>
      <c r="BW20" s="38"/>
      <c r="BX20" s="38">
        <v>0.0038</v>
      </c>
      <c r="BY20" s="38">
        <v>0.003</v>
      </c>
      <c r="BZ20" s="38">
        <v>0.0028</v>
      </c>
      <c r="CA20" s="38">
        <v>0</v>
      </c>
      <c r="CB20" s="38">
        <v>0</v>
      </c>
      <c r="CC20" s="38">
        <v>0</v>
      </c>
      <c r="CD20" s="50"/>
      <c r="CE20" s="54">
        <f t="shared" si="8"/>
        <v>4690.60594495195</v>
      </c>
      <c r="CF20" s="50"/>
      <c r="CG20" s="50"/>
      <c r="CH20" s="50"/>
    </row>
    <row r="21" ht="22.6" customHeight="1" spans="1:86">
      <c r="A21" s="10" t="s">
        <v>28</v>
      </c>
      <c r="B21" s="38">
        <f t="shared" si="4"/>
        <v>2838.3262</v>
      </c>
      <c r="C21" s="38">
        <f t="shared" si="5"/>
        <v>2543.24769749887</v>
      </c>
      <c r="D21" s="38">
        <v>3270.532</v>
      </c>
      <c r="E21" s="38">
        <v>1238.3429</v>
      </c>
      <c r="F21" s="38">
        <v>2110.9815</v>
      </c>
      <c r="G21" s="38">
        <v>0</v>
      </c>
      <c r="H21" s="38">
        <v>428.1065</v>
      </c>
      <c r="I21" s="38">
        <v>0</v>
      </c>
      <c r="J21" s="43">
        <v>649.9672</v>
      </c>
      <c r="K21" s="43">
        <v>1676.439</v>
      </c>
      <c r="L21" s="38">
        <f t="shared" si="0"/>
        <v>7047.9629</v>
      </c>
      <c r="M21" s="38">
        <v>200.6856</v>
      </c>
      <c r="N21" s="38">
        <v>1450.3428</v>
      </c>
      <c r="O21" s="38">
        <v>853.2056</v>
      </c>
      <c r="P21" s="38">
        <v>404.0736</v>
      </c>
      <c r="Q21" s="38"/>
      <c r="R21" s="38">
        <v>0</v>
      </c>
      <c r="S21" s="43">
        <v>14.6757</v>
      </c>
      <c r="T21" s="43">
        <v>2.4252</v>
      </c>
      <c r="U21" s="43">
        <v>12.7758</v>
      </c>
      <c r="V21" s="43">
        <v>24.9006</v>
      </c>
      <c r="W21" s="43">
        <v>9.4963</v>
      </c>
      <c r="X21" s="43">
        <v>8.7059</v>
      </c>
      <c r="Y21" s="38">
        <f t="shared" si="1"/>
        <v>2908.3076</v>
      </c>
      <c r="Z21" s="38">
        <v>468.43</v>
      </c>
      <c r="AA21" s="38">
        <v>0</v>
      </c>
      <c r="AB21" s="38">
        <v>0</v>
      </c>
      <c r="AC21" s="38">
        <v>0</v>
      </c>
      <c r="AD21" s="38">
        <v>0</v>
      </c>
      <c r="AE21" s="38">
        <v>8.7638</v>
      </c>
      <c r="AF21" s="38">
        <v>0</v>
      </c>
      <c r="AG21" s="38">
        <v>0</v>
      </c>
      <c r="AH21" s="38">
        <v>823.4435</v>
      </c>
      <c r="AI21" s="38">
        <f t="shared" si="2"/>
        <v>0.6918</v>
      </c>
      <c r="AJ21" s="38">
        <f t="shared" si="3"/>
        <v>4209.6367</v>
      </c>
      <c r="AK21" s="38">
        <v>4232.030562911</v>
      </c>
      <c r="AL21" s="38">
        <v>1418.55057182148</v>
      </c>
      <c r="AM21" s="38">
        <v>1643.74582564141</v>
      </c>
      <c r="AN21" s="38">
        <v>63.568530456369</v>
      </c>
      <c r="AO21" s="38">
        <v>1530.19350315916</v>
      </c>
      <c r="AP21" s="38">
        <v>405.638260855991</v>
      </c>
      <c r="AQ21" s="38">
        <v>7.450719152436</v>
      </c>
      <c r="AR21" s="38">
        <v>11.67556194705</v>
      </c>
      <c r="AS21" s="38">
        <v>0</v>
      </c>
      <c r="AT21" s="38">
        <v>10.88225458951</v>
      </c>
      <c r="AU21" s="38">
        <v>905.285944450331</v>
      </c>
      <c r="AV21" s="38">
        <f t="shared" si="6"/>
        <v>9301.17797399784</v>
      </c>
      <c r="AW21" s="38">
        <v>295.078502501128</v>
      </c>
      <c r="AX21" s="46"/>
      <c r="AY21" s="46"/>
      <c r="AZ21" s="46"/>
      <c r="BA21" s="46"/>
      <c r="BB21" s="38">
        <v>21.3647</v>
      </c>
      <c r="BC21" s="38">
        <v>51.7703</v>
      </c>
      <c r="BD21" s="38">
        <v>45.9207</v>
      </c>
      <c r="BE21" s="38">
        <v>3.6244</v>
      </c>
      <c r="BF21" s="38">
        <v>6.2515</v>
      </c>
      <c r="BG21" s="38">
        <v>71.754</v>
      </c>
      <c r="BH21" s="38">
        <v>0</v>
      </c>
      <c r="BI21" s="38">
        <v>0</v>
      </c>
      <c r="BJ21" s="38">
        <v>0</v>
      </c>
      <c r="BK21" s="38">
        <v>0</v>
      </c>
      <c r="BL21" s="38"/>
      <c r="BM21" s="38">
        <v>0</v>
      </c>
      <c r="BN21" s="38">
        <v>0</v>
      </c>
      <c r="BO21" s="38">
        <v>0</v>
      </c>
      <c r="BP21" s="38">
        <v>0</v>
      </c>
      <c r="BQ21" s="38">
        <v>0</v>
      </c>
      <c r="BR21" s="38">
        <v>0</v>
      </c>
      <c r="BS21" s="38">
        <v>0.0032</v>
      </c>
      <c r="BT21" s="38">
        <v>0.0026</v>
      </c>
      <c r="BU21" s="38">
        <v>0.0012</v>
      </c>
      <c r="BV21" s="38">
        <v>0.0003</v>
      </c>
      <c r="BW21" s="38"/>
      <c r="BX21" s="38">
        <v>0.004</v>
      </c>
      <c r="BY21" s="38">
        <v>0.003</v>
      </c>
      <c r="BZ21" s="38">
        <v>0.6775</v>
      </c>
      <c r="CA21" s="38">
        <v>0</v>
      </c>
      <c r="CB21" s="38">
        <v>0</v>
      </c>
      <c r="CC21" s="38">
        <v>0</v>
      </c>
      <c r="CD21" s="50"/>
      <c r="CE21" s="54">
        <f t="shared" si="8"/>
        <v>4035.80679749887</v>
      </c>
      <c r="CF21" s="50"/>
      <c r="CG21" s="50"/>
      <c r="CH21" s="50"/>
    </row>
    <row r="22" ht="22.6" customHeight="1" spans="1:86">
      <c r="A22" s="10" t="s">
        <v>29</v>
      </c>
      <c r="B22" s="38">
        <f t="shared" si="4"/>
        <v>2141.8497</v>
      </c>
      <c r="C22" s="38">
        <f t="shared" si="5"/>
        <v>2476.23714810873</v>
      </c>
      <c r="D22" s="38">
        <v>2825.5971</v>
      </c>
      <c r="E22" s="38">
        <v>1199.0102</v>
      </c>
      <c r="F22" s="38">
        <v>2033.6564</v>
      </c>
      <c r="G22" s="38">
        <v>0</v>
      </c>
      <c r="H22" s="38">
        <v>660.5616</v>
      </c>
      <c r="I22" s="38">
        <v>0</v>
      </c>
      <c r="J22" s="43">
        <v>649.9458</v>
      </c>
      <c r="K22" s="43">
        <v>1588.587</v>
      </c>
      <c r="L22" s="38">
        <f t="shared" si="0"/>
        <v>6718.8253</v>
      </c>
      <c r="M22" s="38">
        <v>195.3717</v>
      </c>
      <c r="N22" s="38">
        <v>1770.6025</v>
      </c>
      <c r="O22" s="38">
        <v>851.0024</v>
      </c>
      <c r="P22" s="38">
        <v>384.3849</v>
      </c>
      <c r="Q22" s="38"/>
      <c r="R22" s="38">
        <v>0</v>
      </c>
      <c r="S22" s="43">
        <v>0</v>
      </c>
      <c r="T22" s="43">
        <v>2.486</v>
      </c>
      <c r="U22" s="43">
        <v>12.5768</v>
      </c>
      <c r="V22" s="43">
        <v>25.0153</v>
      </c>
      <c r="W22" s="43">
        <v>9.4943</v>
      </c>
      <c r="X22" s="43">
        <v>9.1254</v>
      </c>
      <c r="Y22" s="38">
        <f t="shared" si="1"/>
        <v>3201.3615</v>
      </c>
      <c r="Z22" s="38">
        <v>562.945</v>
      </c>
      <c r="AA22" s="38">
        <v>0</v>
      </c>
      <c r="AB22" s="38">
        <v>0</v>
      </c>
      <c r="AC22" s="38">
        <v>0</v>
      </c>
      <c r="AD22" s="38">
        <v>0</v>
      </c>
      <c r="AE22" s="38">
        <v>9.1817</v>
      </c>
      <c r="AF22" s="38">
        <v>0</v>
      </c>
      <c r="AG22" s="38">
        <v>0</v>
      </c>
      <c r="AH22" s="38">
        <v>801.3049</v>
      </c>
      <c r="AI22" s="38">
        <f t="shared" si="2"/>
        <v>2.1825</v>
      </c>
      <c r="AJ22" s="38">
        <f t="shared" si="3"/>
        <v>4576.9756</v>
      </c>
      <c r="AK22" s="38">
        <v>4108.287049289</v>
      </c>
      <c r="AL22" s="38">
        <v>1355.55722748299</v>
      </c>
      <c r="AM22" s="38">
        <v>1625.05915977974</v>
      </c>
      <c r="AN22" s="38">
        <v>61.138030668883</v>
      </c>
      <c r="AO22" s="38">
        <v>1426.82342376096</v>
      </c>
      <c r="AP22" s="38">
        <v>383.293552650438</v>
      </c>
      <c r="AQ22" s="38">
        <v>6.632082257098</v>
      </c>
      <c r="AR22" s="38">
        <v>10.571848447542</v>
      </c>
      <c r="AS22" s="38">
        <v>0</v>
      </c>
      <c r="AT22" s="38">
        <v>9.864484106838</v>
      </c>
      <c r="AU22" s="38">
        <v>815.480250747106</v>
      </c>
      <c r="AV22" s="38">
        <f t="shared" si="6"/>
        <v>8966.79052588911</v>
      </c>
      <c r="AW22" s="39">
        <v>-334.38744810873</v>
      </c>
      <c r="AX22" s="46"/>
      <c r="AY22" s="46"/>
      <c r="AZ22" s="46"/>
      <c r="BA22" s="46"/>
      <c r="BB22" s="38">
        <v>21.83</v>
      </c>
      <c r="BC22" s="38">
        <v>52.2423</v>
      </c>
      <c r="BD22" s="38">
        <v>46.0916</v>
      </c>
      <c r="BE22" s="38">
        <v>3.5001</v>
      </c>
      <c r="BF22" s="38">
        <v>6.9627</v>
      </c>
      <c r="BG22" s="38">
        <v>64.745</v>
      </c>
      <c r="BH22" s="38">
        <v>0</v>
      </c>
      <c r="BI22" s="38">
        <v>0</v>
      </c>
      <c r="BJ22" s="38">
        <v>0</v>
      </c>
      <c r="BK22" s="38">
        <v>0</v>
      </c>
      <c r="BL22" s="38"/>
      <c r="BM22" s="38">
        <v>0</v>
      </c>
      <c r="BN22" s="38">
        <v>0</v>
      </c>
      <c r="BO22" s="38">
        <v>0</v>
      </c>
      <c r="BP22" s="38">
        <v>0</v>
      </c>
      <c r="BQ22" s="38">
        <v>0</v>
      </c>
      <c r="BR22" s="38">
        <v>0</v>
      </c>
      <c r="BS22" s="38">
        <v>0.0032</v>
      </c>
      <c r="BT22" s="38">
        <v>0.0011</v>
      </c>
      <c r="BU22" s="38">
        <v>0.0013</v>
      </c>
      <c r="BV22" s="38">
        <v>0.0003</v>
      </c>
      <c r="BW22" s="38"/>
      <c r="BX22" s="38">
        <v>0.0042</v>
      </c>
      <c r="BY22" s="38">
        <v>0.003</v>
      </c>
      <c r="BZ22" s="38">
        <v>2.1694</v>
      </c>
      <c r="CA22" s="38">
        <v>0</v>
      </c>
      <c r="CB22" s="38">
        <v>0</v>
      </c>
      <c r="CC22" s="38">
        <v>0</v>
      </c>
      <c r="CD22" s="50"/>
      <c r="CE22" s="54">
        <f t="shared" si="8"/>
        <v>4035.85874810873</v>
      </c>
      <c r="CF22" s="50"/>
      <c r="CG22" s="50"/>
      <c r="CH22" s="50"/>
    </row>
    <row r="23" ht="22.6" customHeight="1" spans="1:86">
      <c r="A23" s="10" t="s">
        <v>30</v>
      </c>
      <c r="B23" s="38">
        <f t="shared" si="4"/>
        <v>2040.513</v>
      </c>
      <c r="C23" s="38">
        <f t="shared" si="5"/>
        <v>1536.0025672616</v>
      </c>
      <c r="D23" s="38">
        <v>2441.7878</v>
      </c>
      <c r="E23" s="38">
        <v>1123.8304</v>
      </c>
      <c r="F23" s="38">
        <v>2012.9128</v>
      </c>
      <c r="G23" s="38">
        <v>0</v>
      </c>
      <c r="H23" s="38">
        <v>476.7985</v>
      </c>
      <c r="I23" s="38">
        <v>0</v>
      </c>
      <c r="J23" s="43">
        <v>649.9628</v>
      </c>
      <c r="K23" s="43">
        <v>1549.306</v>
      </c>
      <c r="L23" s="38">
        <f t="shared" si="0"/>
        <v>6055.3295</v>
      </c>
      <c r="M23" s="38">
        <v>193.5914</v>
      </c>
      <c r="N23" s="38">
        <v>1707.4604</v>
      </c>
      <c r="O23" s="38">
        <v>733.5376</v>
      </c>
      <c r="P23" s="38">
        <v>352.3081</v>
      </c>
      <c r="Q23" s="38"/>
      <c r="R23" s="38">
        <v>0</v>
      </c>
      <c r="S23" s="43">
        <v>0</v>
      </c>
      <c r="T23" s="43">
        <v>2.4319</v>
      </c>
      <c r="U23" s="43">
        <v>12.576</v>
      </c>
      <c r="V23" s="43">
        <v>22.4214</v>
      </c>
      <c r="W23" s="43">
        <v>9.4188</v>
      </c>
      <c r="X23" s="43">
        <v>8.8488</v>
      </c>
      <c r="Y23" s="38">
        <f t="shared" si="1"/>
        <v>2986.8975</v>
      </c>
      <c r="Z23" s="38">
        <v>506.991</v>
      </c>
      <c r="AA23" s="38">
        <v>0</v>
      </c>
      <c r="AB23" s="38">
        <v>0</v>
      </c>
      <c r="AC23" s="38">
        <v>0</v>
      </c>
      <c r="AD23" s="38">
        <v>0</v>
      </c>
      <c r="AE23" s="38">
        <v>8.966</v>
      </c>
      <c r="AF23" s="38">
        <v>0</v>
      </c>
      <c r="AG23" s="38">
        <v>0</v>
      </c>
      <c r="AH23" s="38">
        <v>508.9543</v>
      </c>
      <c r="AI23" s="38">
        <f t="shared" si="2"/>
        <v>3.0077</v>
      </c>
      <c r="AJ23" s="38">
        <f t="shared" si="3"/>
        <v>4014.8165</v>
      </c>
      <c r="AK23" s="38">
        <v>4507.509454572</v>
      </c>
      <c r="AL23" s="38">
        <v>1397.88259997581</v>
      </c>
      <c r="AM23" s="38">
        <v>1628.06728634324</v>
      </c>
      <c r="AN23" s="38">
        <v>62.221474339716</v>
      </c>
      <c r="AO23" s="38">
        <v>1469.14863497033</v>
      </c>
      <c r="AP23" s="38">
        <v>399.824428729153</v>
      </c>
      <c r="AQ23" s="38">
        <v>6.647079697269</v>
      </c>
      <c r="AR23" s="38">
        <v>10.999210097904</v>
      </c>
      <c r="AS23" s="38">
        <v>0</v>
      </c>
      <c r="AT23" s="38">
        <v>10.311492211968</v>
      </c>
      <c r="AU23" s="38">
        <v>847.842038972503</v>
      </c>
      <c r="AV23" s="38">
        <f t="shared" si="6"/>
        <v>9471.30095862751</v>
      </c>
      <c r="AW23" s="38">
        <v>504.5104327384</v>
      </c>
      <c r="AX23" s="46"/>
      <c r="AY23" s="46"/>
      <c r="AZ23" s="46"/>
      <c r="BA23" s="46"/>
      <c r="BB23" s="38">
        <v>21.3497</v>
      </c>
      <c r="BC23" s="38">
        <v>47.613</v>
      </c>
      <c r="BD23" s="38">
        <v>46.4204</v>
      </c>
      <c r="BE23" s="38">
        <v>3.4503</v>
      </c>
      <c r="BF23" s="38">
        <v>6.989</v>
      </c>
      <c r="BG23" s="38">
        <v>67.769</v>
      </c>
      <c r="BH23" s="38">
        <v>0</v>
      </c>
      <c r="BI23" s="38">
        <v>0</v>
      </c>
      <c r="BJ23" s="38">
        <v>0</v>
      </c>
      <c r="BK23" s="38">
        <v>0.8001</v>
      </c>
      <c r="BL23" s="38"/>
      <c r="BM23" s="38">
        <v>0</v>
      </c>
      <c r="BN23" s="38">
        <v>0</v>
      </c>
      <c r="BO23" s="38">
        <v>0.0216</v>
      </c>
      <c r="BP23" s="38">
        <v>0</v>
      </c>
      <c r="BQ23" s="38">
        <v>0</v>
      </c>
      <c r="BR23" s="38">
        <v>0</v>
      </c>
      <c r="BS23" s="38">
        <v>0.0032</v>
      </c>
      <c r="BT23" s="38">
        <v>0.0006</v>
      </c>
      <c r="BU23" s="38">
        <v>0.0013</v>
      </c>
      <c r="BV23" s="38">
        <v>0.0004</v>
      </c>
      <c r="BW23" s="38"/>
      <c r="BX23" s="38">
        <v>0.0041</v>
      </c>
      <c r="BY23" s="38">
        <v>0.0029</v>
      </c>
      <c r="BZ23" s="38">
        <v>2.1735</v>
      </c>
      <c r="CA23" s="38">
        <v>0</v>
      </c>
      <c r="CB23" s="38">
        <v>0</v>
      </c>
      <c r="CC23" s="38">
        <v>0</v>
      </c>
      <c r="CD23" s="50"/>
      <c r="CE23" s="53">
        <f t="shared" si="8"/>
        <v>2745.5392672616</v>
      </c>
      <c r="CF23" s="50"/>
      <c r="CG23" s="50"/>
      <c r="CH23" s="50"/>
    </row>
    <row r="24" ht="22.6" customHeight="1" spans="1:86">
      <c r="A24" s="10" t="s">
        <v>31</v>
      </c>
      <c r="B24" s="38">
        <f t="shared" si="4"/>
        <v>1482.0664</v>
      </c>
      <c r="C24" s="38">
        <f t="shared" si="5"/>
        <v>1830.17161919833</v>
      </c>
      <c r="D24" s="38">
        <v>2499.8851</v>
      </c>
      <c r="E24" s="38">
        <v>801.3922</v>
      </c>
      <c r="F24" s="38">
        <v>1769.4096</v>
      </c>
      <c r="G24" s="38">
        <v>0</v>
      </c>
      <c r="H24" s="38">
        <v>92.949</v>
      </c>
      <c r="I24" s="38">
        <v>0</v>
      </c>
      <c r="J24" s="43">
        <v>649.9818</v>
      </c>
      <c r="K24" s="43">
        <v>580.558</v>
      </c>
      <c r="L24" s="38">
        <f t="shared" si="0"/>
        <v>5163.6359</v>
      </c>
      <c r="M24" s="38">
        <v>191.9971</v>
      </c>
      <c r="N24" s="38">
        <v>1382.4775</v>
      </c>
      <c r="O24" s="38">
        <v>716.0359</v>
      </c>
      <c r="P24" s="38">
        <v>326.3898</v>
      </c>
      <c r="Q24" s="38"/>
      <c r="R24" s="38">
        <v>0</v>
      </c>
      <c r="S24" s="43">
        <v>0</v>
      </c>
      <c r="T24" s="43">
        <v>2.434</v>
      </c>
      <c r="U24" s="43">
        <v>12.776</v>
      </c>
      <c r="V24" s="43">
        <v>21.8575</v>
      </c>
      <c r="W24" s="43">
        <v>9.5622</v>
      </c>
      <c r="X24" s="43">
        <v>9.0362</v>
      </c>
      <c r="Y24" s="38">
        <f t="shared" si="1"/>
        <v>2616.9003</v>
      </c>
      <c r="Z24" s="38">
        <v>505.563</v>
      </c>
      <c r="AA24" s="38">
        <v>0</v>
      </c>
      <c r="AB24" s="38">
        <v>0</v>
      </c>
      <c r="AC24" s="38">
        <v>0</v>
      </c>
      <c r="AD24" s="38">
        <v>44.3868</v>
      </c>
      <c r="AE24" s="38">
        <v>9.0651</v>
      </c>
      <c r="AF24" s="38">
        <v>0</v>
      </c>
      <c r="AG24" s="38">
        <v>0</v>
      </c>
      <c r="AH24" s="38">
        <v>502.6059</v>
      </c>
      <c r="AI24" s="38">
        <f t="shared" si="2"/>
        <v>3.0484</v>
      </c>
      <c r="AJ24" s="38">
        <f t="shared" si="3"/>
        <v>3681.5695</v>
      </c>
      <c r="AK24" s="38">
        <v>4447.970987755</v>
      </c>
      <c r="AL24" s="38">
        <v>1310.20973019432</v>
      </c>
      <c r="AM24" s="38">
        <v>1584.90206702135</v>
      </c>
      <c r="AN24" s="38">
        <v>62.224856614958</v>
      </c>
      <c r="AO24" s="38">
        <v>1346.71802733828</v>
      </c>
      <c r="AP24" s="38">
        <v>364.557287832533</v>
      </c>
      <c r="AQ24" s="38">
        <v>6.61278267274</v>
      </c>
      <c r="AR24" s="38">
        <v>10.411109325988</v>
      </c>
      <c r="AS24" s="38">
        <v>0</v>
      </c>
      <c r="AT24" s="38">
        <v>9.651393951978</v>
      </c>
      <c r="AU24" s="38">
        <v>800.871464212396</v>
      </c>
      <c r="AV24" s="38">
        <f t="shared" si="6"/>
        <v>9123.19573942918</v>
      </c>
      <c r="AW24" s="39">
        <v>-348.105219198331</v>
      </c>
      <c r="AX24" s="46"/>
      <c r="AY24" s="46"/>
      <c r="AZ24" s="46"/>
      <c r="BA24" s="46"/>
      <c r="BB24" s="38">
        <v>20.5431</v>
      </c>
      <c r="BC24" s="38">
        <v>48.7929</v>
      </c>
      <c r="BD24" s="38">
        <v>45.8211</v>
      </c>
      <c r="BE24" s="38">
        <v>3.569</v>
      </c>
      <c r="BF24" s="38">
        <v>7.402</v>
      </c>
      <c r="BG24" s="38">
        <v>65.869</v>
      </c>
      <c r="BH24" s="38">
        <v>0</v>
      </c>
      <c r="BI24" s="38">
        <v>0</v>
      </c>
      <c r="BJ24" s="38">
        <v>0</v>
      </c>
      <c r="BK24" s="38">
        <v>0.8649</v>
      </c>
      <c r="BL24" s="38"/>
      <c r="BM24" s="38">
        <v>0</v>
      </c>
      <c r="BN24" s="38">
        <v>0</v>
      </c>
      <c r="BO24" s="38">
        <v>0</v>
      </c>
      <c r="BP24" s="38">
        <v>0</v>
      </c>
      <c r="BQ24" s="38">
        <v>0</v>
      </c>
      <c r="BR24" s="38">
        <v>0</v>
      </c>
      <c r="BS24" s="38">
        <v>0.0031</v>
      </c>
      <c r="BT24" s="38">
        <v>0.0018</v>
      </c>
      <c r="BU24" s="38">
        <v>0.0013</v>
      </c>
      <c r="BV24" s="38">
        <v>0.0002</v>
      </c>
      <c r="BW24" s="38"/>
      <c r="BX24" s="38">
        <v>0.004</v>
      </c>
      <c r="BY24" s="38">
        <v>0.0029</v>
      </c>
      <c r="BZ24" s="38">
        <v>2.1702</v>
      </c>
      <c r="CA24" s="38">
        <v>0</v>
      </c>
      <c r="CB24" s="38">
        <v>0</v>
      </c>
      <c r="CC24" s="38">
        <v>0</v>
      </c>
      <c r="CD24" s="50"/>
      <c r="CE24" s="53">
        <f t="shared" si="8"/>
        <v>3030.33761919833</v>
      </c>
      <c r="CF24" s="50"/>
      <c r="CG24" s="50"/>
      <c r="CH24" s="50"/>
    </row>
    <row r="25" ht="22.6" customHeight="1" spans="1:86">
      <c r="A25" s="10" t="s">
        <v>32</v>
      </c>
      <c r="B25" s="38">
        <f t="shared" si="4"/>
        <v>2424.913</v>
      </c>
      <c r="C25" s="38">
        <f t="shared" si="5"/>
        <v>1932.67197834136</v>
      </c>
      <c r="D25" s="38">
        <v>3007.6302</v>
      </c>
      <c r="E25" s="38">
        <v>1077.1122</v>
      </c>
      <c r="F25" s="38">
        <v>1442.707</v>
      </c>
      <c r="G25" s="38">
        <v>0</v>
      </c>
      <c r="H25" s="38">
        <v>218.9233</v>
      </c>
      <c r="I25" s="38">
        <v>0</v>
      </c>
      <c r="J25" s="43">
        <v>649.9752</v>
      </c>
      <c r="K25" s="43">
        <v>1551.848</v>
      </c>
      <c r="L25" s="38">
        <f t="shared" si="0"/>
        <v>5746.3727</v>
      </c>
      <c r="M25" s="38">
        <v>195.4162</v>
      </c>
      <c r="N25" s="38">
        <v>1143.9694</v>
      </c>
      <c r="O25" s="38">
        <v>660.7914</v>
      </c>
      <c r="P25" s="38">
        <v>300.6805</v>
      </c>
      <c r="Q25" s="38"/>
      <c r="R25" s="38">
        <v>0</v>
      </c>
      <c r="S25" s="43">
        <v>0</v>
      </c>
      <c r="T25" s="43">
        <v>2.5017</v>
      </c>
      <c r="U25" s="43">
        <v>12.7768</v>
      </c>
      <c r="V25" s="43">
        <v>19.0364</v>
      </c>
      <c r="W25" s="43">
        <v>9.4928</v>
      </c>
      <c r="X25" s="43">
        <v>9.1956</v>
      </c>
      <c r="Y25" s="38">
        <f t="shared" si="1"/>
        <v>2300.8575</v>
      </c>
      <c r="Z25" s="38">
        <v>506.224</v>
      </c>
      <c r="AA25" s="38">
        <v>0</v>
      </c>
      <c r="AB25" s="38">
        <v>0</v>
      </c>
      <c r="AC25" s="38">
        <v>0</v>
      </c>
      <c r="AD25" s="38">
        <v>0</v>
      </c>
      <c r="AE25" s="38">
        <v>9.2077</v>
      </c>
      <c r="AF25" s="38">
        <v>0</v>
      </c>
      <c r="AG25" s="38">
        <v>0</v>
      </c>
      <c r="AH25" s="38">
        <v>502.9438</v>
      </c>
      <c r="AI25" s="38">
        <f t="shared" si="2"/>
        <v>2.2267</v>
      </c>
      <c r="AJ25" s="38">
        <f t="shared" si="3"/>
        <v>3321.4597</v>
      </c>
      <c r="AK25" s="38">
        <v>4548.794621499</v>
      </c>
      <c r="AL25" s="38">
        <v>1429.01510155519</v>
      </c>
      <c r="AM25" s="38">
        <v>1593.09148286714</v>
      </c>
      <c r="AN25" s="38">
        <v>62.992998601085</v>
      </c>
      <c r="AO25" s="38">
        <v>1558.80544740109</v>
      </c>
      <c r="AP25" s="38">
        <v>416.073107815132</v>
      </c>
      <c r="AQ25" s="38">
        <v>6.664001349183</v>
      </c>
      <c r="AR25" s="38">
        <v>11.817482549476</v>
      </c>
      <c r="AS25" s="38">
        <v>0</v>
      </c>
      <c r="AT25" s="38">
        <v>11.022762221268</v>
      </c>
      <c r="AU25" s="38">
        <v>920.894502819074</v>
      </c>
      <c r="AV25" s="38">
        <f t="shared" si="6"/>
        <v>9615.43676108782</v>
      </c>
      <c r="AW25" s="38">
        <v>492.24102165864</v>
      </c>
      <c r="AX25" s="46"/>
      <c r="AY25" s="46"/>
      <c r="AZ25" s="46"/>
      <c r="BA25" s="46"/>
      <c r="BB25" s="38">
        <v>19.2173</v>
      </c>
      <c r="BC25" s="38">
        <v>49.8246</v>
      </c>
      <c r="BD25" s="38">
        <v>45.5205</v>
      </c>
      <c r="BE25" s="38">
        <v>3.872</v>
      </c>
      <c r="BF25" s="38">
        <v>7.1658</v>
      </c>
      <c r="BG25" s="38">
        <v>69.816</v>
      </c>
      <c r="BH25" s="38">
        <v>0</v>
      </c>
      <c r="BI25" s="38">
        <v>0</v>
      </c>
      <c r="BJ25" s="38">
        <v>0</v>
      </c>
      <c r="BK25" s="38">
        <v>0</v>
      </c>
      <c r="BL25" s="38"/>
      <c r="BM25" s="38">
        <v>0</v>
      </c>
      <c r="BN25" s="38">
        <v>0.0442</v>
      </c>
      <c r="BO25" s="38">
        <v>0</v>
      </c>
      <c r="BP25" s="38">
        <v>0</v>
      </c>
      <c r="BQ25" s="38">
        <v>0</v>
      </c>
      <c r="BR25" s="38">
        <v>0</v>
      </c>
      <c r="BS25" s="38">
        <v>0.0031</v>
      </c>
      <c r="BT25" s="38">
        <v>0.002</v>
      </c>
      <c r="BU25" s="38">
        <v>0.0013</v>
      </c>
      <c r="BV25" s="38">
        <v>0.0004</v>
      </c>
      <c r="BW25" s="38"/>
      <c r="BX25" s="38">
        <v>0.0035</v>
      </c>
      <c r="BY25" s="38">
        <v>0.0009</v>
      </c>
      <c r="BZ25" s="38">
        <v>2.1713</v>
      </c>
      <c r="CA25" s="38">
        <v>0</v>
      </c>
      <c r="CB25" s="38">
        <v>0</v>
      </c>
      <c r="CC25" s="38">
        <v>0</v>
      </c>
      <c r="CD25" s="50"/>
      <c r="CE25" s="53">
        <f t="shared" si="8"/>
        <v>3137.25597834136</v>
      </c>
      <c r="CF25" s="50"/>
      <c r="CG25" s="50"/>
      <c r="CH25" s="50"/>
    </row>
    <row r="26" ht="22.6" customHeight="1" spans="1:86">
      <c r="A26" s="10" t="s">
        <v>33</v>
      </c>
      <c r="B26" s="38">
        <f t="shared" si="4"/>
        <v>2207.8923</v>
      </c>
      <c r="C26" s="38">
        <f t="shared" si="5"/>
        <v>2528.57455986501</v>
      </c>
      <c r="D26" s="38">
        <v>2697.7822</v>
      </c>
      <c r="E26" s="38">
        <v>953.2914</v>
      </c>
      <c r="F26" s="38">
        <v>1575.5285</v>
      </c>
      <c r="G26" s="38">
        <v>0</v>
      </c>
      <c r="H26" s="38">
        <v>329.2485</v>
      </c>
      <c r="I26" s="38">
        <v>0</v>
      </c>
      <c r="J26" s="43">
        <v>649.9664</v>
      </c>
      <c r="K26" s="43">
        <v>1265.455</v>
      </c>
      <c r="L26" s="38">
        <f t="shared" si="0"/>
        <v>5555.8506</v>
      </c>
      <c r="M26" s="38">
        <v>190.6751</v>
      </c>
      <c r="N26" s="38">
        <v>1102.9654</v>
      </c>
      <c r="O26" s="38">
        <v>585.0059</v>
      </c>
      <c r="P26" s="38">
        <v>234.5132</v>
      </c>
      <c r="Q26" s="38"/>
      <c r="R26" s="38">
        <v>0</v>
      </c>
      <c r="S26" s="43">
        <v>0</v>
      </c>
      <c r="T26" s="43">
        <v>2.5859</v>
      </c>
      <c r="U26" s="43">
        <v>12.7768</v>
      </c>
      <c r="V26" s="43">
        <v>14.6641</v>
      </c>
      <c r="W26" s="43">
        <v>9.4936</v>
      </c>
      <c r="X26" s="43">
        <v>8.7573</v>
      </c>
      <c r="Y26" s="38">
        <f t="shared" si="1"/>
        <v>2113.1596</v>
      </c>
      <c r="Z26" s="38">
        <v>484.319</v>
      </c>
      <c r="AA26" s="38">
        <v>0</v>
      </c>
      <c r="AB26" s="38">
        <v>0</v>
      </c>
      <c r="AC26" s="38">
        <v>0</v>
      </c>
      <c r="AD26" s="38">
        <v>0</v>
      </c>
      <c r="AE26" s="38">
        <v>8.7218</v>
      </c>
      <c r="AF26" s="38">
        <v>0</v>
      </c>
      <c r="AG26" s="38">
        <v>0</v>
      </c>
      <c r="AH26" s="38">
        <v>739.5761</v>
      </c>
      <c r="AI26" s="38">
        <f t="shared" si="2"/>
        <v>2.1818</v>
      </c>
      <c r="AJ26" s="38">
        <f t="shared" si="3"/>
        <v>3347.9583</v>
      </c>
      <c r="AK26" s="38">
        <v>4609.42302843</v>
      </c>
      <c r="AL26" s="38">
        <v>1303.61328845392</v>
      </c>
      <c r="AM26" s="38">
        <v>1532.49526329708</v>
      </c>
      <c r="AN26" s="38">
        <v>63.022429675462</v>
      </c>
      <c r="AO26" s="38">
        <v>1416.05507861917</v>
      </c>
      <c r="AP26" s="38">
        <v>363.478708022751</v>
      </c>
      <c r="AQ26" s="38">
        <v>6.666704724429</v>
      </c>
      <c r="AR26" s="38">
        <v>10.729946472851</v>
      </c>
      <c r="AS26" s="38">
        <v>0</v>
      </c>
      <c r="AT26" s="38">
        <v>10.034881737659</v>
      </c>
      <c r="AU26" s="38">
        <v>828.943666102323</v>
      </c>
      <c r="AV26" s="38">
        <f t="shared" si="6"/>
        <v>9294.75450122281</v>
      </c>
      <c r="AW26" s="39">
        <v>-320.682259865014</v>
      </c>
      <c r="AX26" s="46"/>
      <c r="AY26" s="46"/>
      <c r="AZ26" s="46"/>
      <c r="BA26" s="46"/>
      <c r="BB26" s="38">
        <v>17.7678</v>
      </c>
      <c r="BC26" s="38">
        <v>49.5802</v>
      </c>
      <c r="BD26" s="38">
        <v>44.625</v>
      </c>
      <c r="BE26" s="38">
        <v>3.6238</v>
      </c>
      <c r="BF26" s="38">
        <v>6.2713</v>
      </c>
      <c r="BG26" s="38">
        <v>68.807</v>
      </c>
      <c r="BH26" s="38">
        <v>0</v>
      </c>
      <c r="BI26" s="38">
        <v>0</v>
      </c>
      <c r="BJ26" s="38">
        <v>0</v>
      </c>
      <c r="BK26" s="38">
        <v>0</v>
      </c>
      <c r="BL26" s="38"/>
      <c r="BM26" s="38">
        <v>0</v>
      </c>
      <c r="BN26" s="38">
        <v>0</v>
      </c>
      <c r="BO26" s="38">
        <v>0</v>
      </c>
      <c r="BP26" s="38">
        <v>0</v>
      </c>
      <c r="BQ26" s="38">
        <v>0</v>
      </c>
      <c r="BR26" s="38">
        <v>0</v>
      </c>
      <c r="BS26" s="38">
        <v>0.0032</v>
      </c>
      <c r="BT26" s="38">
        <v>0.0015</v>
      </c>
      <c r="BU26" s="38">
        <v>0.0014</v>
      </c>
      <c r="BV26" s="38">
        <v>0.0003</v>
      </c>
      <c r="BW26" s="38"/>
      <c r="BX26" s="38">
        <v>0.0042</v>
      </c>
      <c r="BY26" s="38">
        <v>0.0012</v>
      </c>
      <c r="BZ26" s="38">
        <v>2.17</v>
      </c>
      <c r="CA26" s="38">
        <v>0</v>
      </c>
      <c r="CB26" s="38">
        <v>0</v>
      </c>
      <c r="CC26" s="38">
        <v>0</v>
      </c>
      <c r="CD26" s="50"/>
      <c r="CE26" s="54">
        <f t="shared" si="8"/>
        <v>3943.14475986501</v>
      </c>
      <c r="CF26" s="50"/>
      <c r="CG26" s="50"/>
      <c r="CH26" s="50"/>
    </row>
    <row r="27" ht="22.6" customHeight="1" spans="1:86">
      <c r="A27" s="10" t="s">
        <v>34</v>
      </c>
      <c r="B27" s="38">
        <f t="shared" si="4"/>
        <v>1596.7589</v>
      </c>
      <c r="C27" s="38">
        <f t="shared" si="5"/>
        <v>1819.60119789538</v>
      </c>
      <c r="D27" s="38">
        <v>1600.5062</v>
      </c>
      <c r="E27" s="38">
        <v>1123.7327</v>
      </c>
      <c r="F27" s="38">
        <v>1691.7805</v>
      </c>
      <c r="G27" s="38">
        <v>0</v>
      </c>
      <c r="H27" s="38">
        <v>397.4325</v>
      </c>
      <c r="I27" s="38">
        <v>0</v>
      </c>
      <c r="J27" s="43">
        <v>649.952</v>
      </c>
      <c r="K27" s="43">
        <v>1158.748</v>
      </c>
      <c r="L27" s="38">
        <f t="shared" si="0"/>
        <v>4813.4519</v>
      </c>
      <c r="M27" s="38">
        <v>190.6945</v>
      </c>
      <c r="N27" s="38">
        <v>1073.4748</v>
      </c>
      <c r="O27" s="38">
        <v>531.0299</v>
      </c>
      <c r="P27" s="38">
        <v>234.0919</v>
      </c>
      <c r="Q27" s="38"/>
      <c r="R27" s="38">
        <v>0</v>
      </c>
      <c r="S27" s="43">
        <v>0</v>
      </c>
      <c r="T27" s="43">
        <v>2.9927</v>
      </c>
      <c r="U27" s="43">
        <v>12.5769</v>
      </c>
      <c r="V27" s="43">
        <v>10.4762</v>
      </c>
      <c r="W27" s="43">
        <v>9.4867</v>
      </c>
      <c r="X27" s="43">
        <v>8.8637</v>
      </c>
      <c r="Y27" s="38">
        <f t="shared" si="1"/>
        <v>2029.2911</v>
      </c>
      <c r="Z27" s="38">
        <v>409.08</v>
      </c>
      <c r="AA27" s="38">
        <v>0</v>
      </c>
      <c r="AB27" s="38">
        <v>0</v>
      </c>
      <c r="AC27" s="38">
        <v>0</v>
      </c>
      <c r="AD27" s="38">
        <v>0</v>
      </c>
      <c r="AE27" s="38">
        <v>8.8506</v>
      </c>
      <c r="AF27" s="38">
        <v>0</v>
      </c>
      <c r="AG27" s="38">
        <v>0</v>
      </c>
      <c r="AH27" s="38">
        <v>767.2857</v>
      </c>
      <c r="AI27" s="38">
        <f t="shared" si="2"/>
        <v>2.1856</v>
      </c>
      <c r="AJ27" s="38">
        <f t="shared" si="3"/>
        <v>3216.693</v>
      </c>
      <c r="AK27" s="38">
        <v>4340.771566772</v>
      </c>
      <c r="AL27" s="38">
        <v>1308.8114615185</v>
      </c>
      <c r="AM27" s="38">
        <v>1596.74109171013</v>
      </c>
      <c r="AN27" s="38">
        <v>62.759898680267</v>
      </c>
      <c r="AO27" s="38">
        <v>1401.90243547268</v>
      </c>
      <c r="AP27" s="38">
        <v>354.360097197477</v>
      </c>
      <c r="AQ27" s="38">
        <v>6.56565197638</v>
      </c>
      <c r="AR27" s="38">
        <v>10.435761366666</v>
      </c>
      <c r="AS27" s="38">
        <v>0</v>
      </c>
      <c r="AT27" s="38">
        <v>9.719708581544</v>
      </c>
      <c r="AU27" s="38">
        <v>808.412440046934</v>
      </c>
      <c r="AV27" s="38">
        <f t="shared" si="6"/>
        <v>9071.91220332742</v>
      </c>
      <c r="AW27" s="39">
        <v>-222.842297895384</v>
      </c>
      <c r="AX27" s="46"/>
      <c r="AY27" s="46"/>
      <c r="AZ27" s="46"/>
      <c r="BA27" s="46"/>
      <c r="BB27" s="38">
        <v>17.2526</v>
      </c>
      <c r="BC27" s="38">
        <v>47.8367</v>
      </c>
      <c r="BD27" s="38">
        <v>45.2207</v>
      </c>
      <c r="BE27" s="38">
        <v>3.9806</v>
      </c>
      <c r="BF27" s="38">
        <v>5.2099</v>
      </c>
      <c r="BG27" s="38">
        <v>71.194</v>
      </c>
      <c r="BH27" s="38">
        <v>0</v>
      </c>
      <c r="BI27" s="38">
        <v>0</v>
      </c>
      <c r="BJ27" s="38">
        <v>0</v>
      </c>
      <c r="BK27" s="38">
        <v>0</v>
      </c>
      <c r="BL27" s="38"/>
      <c r="BM27" s="38">
        <v>0</v>
      </c>
      <c r="BN27" s="38">
        <v>0</v>
      </c>
      <c r="BO27" s="38">
        <v>0</v>
      </c>
      <c r="BP27" s="38">
        <v>0</v>
      </c>
      <c r="BQ27" s="38">
        <v>0</v>
      </c>
      <c r="BR27" s="38">
        <v>0</v>
      </c>
      <c r="BS27" s="38">
        <v>0.0031</v>
      </c>
      <c r="BT27" s="38">
        <v>0.0021</v>
      </c>
      <c r="BU27" s="38">
        <v>0.0013</v>
      </c>
      <c r="BV27" s="38">
        <v>0.0002</v>
      </c>
      <c r="BW27" s="38"/>
      <c r="BX27" s="38">
        <v>0.0058</v>
      </c>
      <c r="BY27" s="38">
        <v>0.0057</v>
      </c>
      <c r="BZ27" s="38">
        <v>2.1674</v>
      </c>
      <c r="CA27" s="38">
        <v>0</v>
      </c>
      <c r="CB27" s="38">
        <v>0</v>
      </c>
      <c r="CC27" s="38">
        <v>0</v>
      </c>
      <c r="CD27" s="50"/>
      <c r="CE27" s="53">
        <f t="shared" si="8"/>
        <v>3186.66139789538</v>
      </c>
      <c r="CF27" s="50"/>
      <c r="CG27" s="50"/>
      <c r="CH27" s="50"/>
    </row>
    <row r="28" ht="22.6" customHeight="1" spans="1:86">
      <c r="A28" s="10" t="s">
        <v>35</v>
      </c>
      <c r="B28" s="38">
        <f t="shared" si="4"/>
        <v>778.481</v>
      </c>
      <c r="C28" s="38">
        <f t="shared" si="5"/>
        <v>1478.56964833622</v>
      </c>
      <c r="D28" s="38">
        <v>849.967</v>
      </c>
      <c r="E28" s="38">
        <v>602.1481</v>
      </c>
      <c r="F28" s="38">
        <v>1813.6745</v>
      </c>
      <c r="G28" s="38">
        <v>0</v>
      </c>
      <c r="H28" s="38">
        <v>69.1897</v>
      </c>
      <c r="I28" s="38">
        <v>0</v>
      </c>
      <c r="J28" s="43">
        <v>649.994</v>
      </c>
      <c r="K28" s="43">
        <v>208.252</v>
      </c>
      <c r="L28" s="38">
        <f t="shared" si="0"/>
        <v>3334.9793</v>
      </c>
      <c r="M28" s="38">
        <v>183.0034</v>
      </c>
      <c r="N28" s="38">
        <v>808.5793</v>
      </c>
      <c r="O28" s="38">
        <v>434.5407</v>
      </c>
      <c r="P28" s="38">
        <v>211.3691</v>
      </c>
      <c r="Q28" s="38"/>
      <c r="R28" s="38">
        <v>0</v>
      </c>
      <c r="S28" s="43">
        <v>0</v>
      </c>
      <c r="T28" s="43">
        <v>2.6125</v>
      </c>
      <c r="U28" s="43">
        <v>12.5763</v>
      </c>
      <c r="V28" s="43">
        <v>7.162</v>
      </c>
      <c r="W28" s="43">
        <v>9.7687</v>
      </c>
      <c r="X28" s="43">
        <v>8.4918</v>
      </c>
      <c r="Y28" s="38">
        <f t="shared" si="1"/>
        <v>1637.4925</v>
      </c>
      <c r="Z28" s="38">
        <v>299.613</v>
      </c>
      <c r="AA28" s="38">
        <v>0</v>
      </c>
      <c r="AB28" s="38">
        <v>0</v>
      </c>
      <c r="AC28" s="38">
        <v>0</v>
      </c>
      <c r="AD28" s="38">
        <v>0</v>
      </c>
      <c r="AE28" s="38">
        <v>8.4668</v>
      </c>
      <c r="AF28" s="38">
        <v>0</v>
      </c>
      <c r="AG28" s="38">
        <v>0</v>
      </c>
      <c r="AH28" s="38">
        <v>608.742</v>
      </c>
      <c r="AI28" s="38">
        <f t="shared" si="2"/>
        <v>2.184</v>
      </c>
      <c r="AJ28" s="38">
        <f t="shared" si="3"/>
        <v>2556.4983</v>
      </c>
      <c r="AK28" s="38">
        <v>4055.307901858</v>
      </c>
      <c r="AL28" s="38">
        <v>1191.15049450127</v>
      </c>
      <c r="AM28" s="38">
        <v>1537.25353409791</v>
      </c>
      <c r="AN28" s="38">
        <v>62.77306160746</v>
      </c>
      <c r="AO28" s="38">
        <v>1206.0902165917</v>
      </c>
      <c r="AP28" s="38">
        <v>312.783949663314</v>
      </c>
      <c r="AQ28" s="38">
        <v>6.464396671557</v>
      </c>
      <c r="AR28" s="38">
        <v>11.205014580924</v>
      </c>
      <c r="AS28" s="38">
        <v>0</v>
      </c>
      <c r="AT28" s="38">
        <v>10.539000726387</v>
      </c>
      <c r="AU28" s="38">
        <v>866.354480352945</v>
      </c>
      <c r="AV28" s="38">
        <f t="shared" si="6"/>
        <v>8371.82355499121</v>
      </c>
      <c r="AW28" s="39">
        <v>-700.088648336216</v>
      </c>
      <c r="AX28" s="46"/>
      <c r="AY28" s="46"/>
      <c r="AZ28" s="46"/>
      <c r="BA28" s="46"/>
      <c r="BB28" s="38">
        <v>16.8121</v>
      </c>
      <c r="BC28" s="38">
        <v>43.4714</v>
      </c>
      <c r="BD28" s="38">
        <v>45.1287</v>
      </c>
      <c r="BE28" s="38">
        <v>3.8081</v>
      </c>
      <c r="BF28" s="38">
        <v>5.0941</v>
      </c>
      <c r="BG28" s="38">
        <v>68.689</v>
      </c>
      <c r="BH28" s="38">
        <v>0</v>
      </c>
      <c r="BI28" s="38">
        <v>0</v>
      </c>
      <c r="BJ28" s="38">
        <v>0</v>
      </c>
      <c r="BK28" s="38">
        <v>0</v>
      </c>
      <c r="BL28" s="38"/>
      <c r="BM28" s="38">
        <v>0</v>
      </c>
      <c r="BN28" s="38">
        <v>0</v>
      </c>
      <c r="BO28" s="38">
        <v>0</v>
      </c>
      <c r="BP28" s="38">
        <v>0</v>
      </c>
      <c r="BQ28" s="38">
        <v>0</v>
      </c>
      <c r="BR28" s="38">
        <v>0</v>
      </c>
      <c r="BS28" s="38">
        <v>0.0034</v>
      </c>
      <c r="BT28" s="38">
        <v>0.0018</v>
      </c>
      <c r="BU28" s="38">
        <v>0.0019</v>
      </c>
      <c r="BV28" s="38">
        <v>0.0003</v>
      </c>
      <c r="BW28" s="38"/>
      <c r="BX28" s="38">
        <v>0.0037</v>
      </c>
      <c r="BY28" s="38">
        <v>0.0034</v>
      </c>
      <c r="BZ28" s="38">
        <v>2.1695</v>
      </c>
      <c r="CA28" s="38">
        <v>0</v>
      </c>
      <c r="CB28" s="38">
        <v>0</v>
      </c>
      <c r="CC28" s="38">
        <v>0</v>
      </c>
      <c r="CD28" s="50"/>
      <c r="CE28" s="53">
        <f t="shared" si="8"/>
        <v>2569.92804833622</v>
      </c>
      <c r="CF28" s="50"/>
      <c r="CG28" s="50"/>
      <c r="CH28" s="50"/>
    </row>
    <row r="29" ht="22.6" customHeight="1" spans="1:86">
      <c r="A29" s="10" t="s">
        <v>36</v>
      </c>
      <c r="B29" s="38">
        <f t="shared" si="4"/>
        <v>1517.771</v>
      </c>
      <c r="C29" s="38">
        <f t="shared" si="5"/>
        <v>980.983265690445</v>
      </c>
      <c r="D29" s="38">
        <v>1702.8313</v>
      </c>
      <c r="E29" s="38">
        <v>715.5505</v>
      </c>
      <c r="F29" s="38">
        <v>1956.4133</v>
      </c>
      <c r="G29" s="38">
        <v>0</v>
      </c>
      <c r="H29" s="38">
        <v>0</v>
      </c>
      <c r="I29" s="38">
        <v>0</v>
      </c>
      <c r="J29" s="43">
        <v>649.9942</v>
      </c>
      <c r="K29" s="43">
        <v>36.287</v>
      </c>
      <c r="L29" s="38">
        <f t="shared" si="0"/>
        <v>4374.7951</v>
      </c>
      <c r="M29" s="38">
        <v>174.6148</v>
      </c>
      <c r="N29" s="38">
        <v>887.0063</v>
      </c>
      <c r="O29" s="38">
        <v>402.8365</v>
      </c>
      <c r="P29" s="38">
        <v>254.7097</v>
      </c>
      <c r="Q29" s="38"/>
      <c r="R29" s="38">
        <v>0</v>
      </c>
      <c r="S29" s="43">
        <v>0</v>
      </c>
      <c r="T29" s="43">
        <v>2.2059</v>
      </c>
      <c r="U29" s="43">
        <v>12.5771</v>
      </c>
      <c r="V29" s="43">
        <v>2.1289</v>
      </c>
      <c r="W29" s="43">
        <v>9.6458</v>
      </c>
      <c r="X29" s="43">
        <v>8.4107</v>
      </c>
      <c r="Y29" s="38">
        <f t="shared" si="1"/>
        <v>1719.1673</v>
      </c>
      <c r="Z29" s="38">
        <v>303.906</v>
      </c>
      <c r="AA29" s="38">
        <v>0</v>
      </c>
      <c r="AB29" s="38">
        <v>0</v>
      </c>
      <c r="AC29" s="38">
        <v>0</v>
      </c>
      <c r="AD29" s="38">
        <v>0</v>
      </c>
      <c r="AE29" s="38">
        <v>8.4074</v>
      </c>
      <c r="AF29" s="38">
        <v>0</v>
      </c>
      <c r="AG29" s="38">
        <v>0</v>
      </c>
      <c r="AH29" s="38">
        <v>822.6757</v>
      </c>
      <c r="AI29" s="38">
        <f t="shared" si="2"/>
        <v>2.8677</v>
      </c>
      <c r="AJ29" s="38">
        <f t="shared" si="3"/>
        <v>2857.0241</v>
      </c>
      <c r="AK29" s="38">
        <v>4089.468169468</v>
      </c>
      <c r="AL29" s="38">
        <v>1350.94125855849</v>
      </c>
      <c r="AM29" s="38">
        <v>1636.95695738005</v>
      </c>
      <c r="AN29" s="38">
        <v>61.192040275728</v>
      </c>
      <c r="AO29" s="38">
        <v>1392.03164361728</v>
      </c>
      <c r="AP29" s="38">
        <v>371.568988641293</v>
      </c>
      <c r="AQ29" s="38">
        <v>6.45223135992</v>
      </c>
      <c r="AR29" s="38">
        <v>9.672424304785</v>
      </c>
      <c r="AS29" s="38">
        <v>0</v>
      </c>
      <c r="AT29" s="38">
        <v>9.107697699371</v>
      </c>
      <c r="AU29" s="38">
        <v>744.37122682359</v>
      </c>
      <c r="AV29" s="38">
        <f t="shared" si="6"/>
        <v>8908.61128930076</v>
      </c>
      <c r="AW29" s="38">
        <v>536.787734309555</v>
      </c>
      <c r="AX29" s="46"/>
      <c r="AY29" s="46"/>
      <c r="AZ29" s="46"/>
      <c r="BA29" s="46"/>
      <c r="BB29" s="38">
        <v>16.2776</v>
      </c>
      <c r="BC29" s="38">
        <v>40.2876</v>
      </c>
      <c r="BD29" s="38">
        <v>44.3753</v>
      </c>
      <c r="BE29" s="38">
        <v>3.8646</v>
      </c>
      <c r="BF29" s="38">
        <v>5.2537</v>
      </c>
      <c r="BG29" s="38">
        <v>64.556</v>
      </c>
      <c r="BH29" s="38">
        <v>0</v>
      </c>
      <c r="BI29" s="38">
        <v>0</v>
      </c>
      <c r="BJ29" s="38">
        <v>0</v>
      </c>
      <c r="BK29" s="38">
        <v>0.6863</v>
      </c>
      <c r="BL29" s="38"/>
      <c r="BM29" s="38">
        <v>0</v>
      </c>
      <c r="BN29" s="38">
        <v>0</v>
      </c>
      <c r="BO29" s="38">
        <v>0</v>
      </c>
      <c r="BP29" s="38">
        <v>0</v>
      </c>
      <c r="BQ29" s="38">
        <v>0</v>
      </c>
      <c r="BR29" s="38">
        <v>0</v>
      </c>
      <c r="BS29" s="38">
        <v>0.0031</v>
      </c>
      <c r="BT29" s="38">
        <v>0.0014</v>
      </c>
      <c r="BU29" s="38">
        <v>0.0012</v>
      </c>
      <c r="BV29" s="38">
        <v>0.0003</v>
      </c>
      <c r="BW29" s="38"/>
      <c r="BX29" s="38">
        <v>0.0043</v>
      </c>
      <c r="BY29" s="38">
        <v>0.0033</v>
      </c>
      <c r="BZ29" s="38">
        <v>2.1678</v>
      </c>
      <c r="CA29" s="38">
        <v>0</v>
      </c>
      <c r="CB29" s="38">
        <v>0</v>
      </c>
      <c r="CC29" s="38">
        <v>0</v>
      </c>
      <c r="CD29" s="50"/>
      <c r="CE29" s="53">
        <f t="shared" si="8"/>
        <v>2282.17976569045</v>
      </c>
      <c r="CF29" s="50"/>
      <c r="CG29" s="50"/>
      <c r="CH29" s="50"/>
    </row>
    <row r="30" ht="22.6" customHeight="1" spans="1:86">
      <c r="A30" s="10" t="s">
        <v>37</v>
      </c>
      <c r="B30" s="38">
        <f t="shared" si="4"/>
        <v>2053.6514</v>
      </c>
      <c r="C30" s="38">
        <f t="shared" si="5"/>
        <v>1593.89745118295</v>
      </c>
      <c r="D30" s="38">
        <v>1696.7357</v>
      </c>
      <c r="E30" s="38">
        <v>944.5492</v>
      </c>
      <c r="F30" s="38">
        <v>2159.3838</v>
      </c>
      <c r="G30" s="38">
        <v>0</v>
      </c>
      <c r="H30" s="38">
        <v>0</v>
      </c>
      <c r="I30" s="38">
        <v>0</v>
      </c>
      <c r="J30" s="43">
        <v>649.9495</v>
      </c>
      <c r="K30" s="43">
        <v>639.27</v>
      </c>
      <c r="L30" s="38">
        <f t="shared" si="0"/>
        <v>4800.6687</v>
      </c>
      <c r="M30" s="38">
        <v>165.4344</v>
      </c>
      <c r="N30" s="38">
        <v>730.7754</v>
      </c>
      <c r="O30" s="38">
        <v>318.8803</v>
      </c>
      <c r="P30" s="38">
        <v>257.0991</v>
      </c>
      <c r="Q30" s="38"/>
      <c r="R30" s="38">
        <v>0</v>
      </c>
      <c r="S30" s="43">
        <v>0</v>
      </c>
      <c r="T30" s="43">
        <v>1.8518</v>
      </c>
      <c r="U30" s="43">
        <v>12.5764</v>
      </c>
      <c r="V30" s="43">
        <v>0.5685</v>
      </c>
      <c r="W30" s="43">
        <v>9.8783</v>
      </c>
      <c r="X30" s="43">
        <v>8.2653</v>
      </c>
      <c r="Y30" s="38">
        <f t="shared" si="1"/>
        <v>1472.1892</v>
      </c>
      <c r="Z30" s="38">
        <v>458.019</v>
      </c>
      <c r="AA30" s="38">
        <v>0</v>
      </c>
      <c r="AB30" s="38">
        <v>0</v>
      </c>
      <c r="AC30" s="38">
        <v>0</v>
      </c>
      <c r="AD30" s="38">
        <v>0</v>
      </c>
      <c r="AE30" s="38">
        <v>8.2595</v>
      </c>
      <c r="AF30" s="38">
        <v>0</v>
      </c>
      <c r="AG30" s="38">
        <v>0</v>
      </c>
      <c r="AH30" s="38">
        <v>805.9848</v>
      </c>
      <c r="AI30" s="38">
        <f t="shared" si="2"/>
        <v>2.5648</v>
      </c>
      <c r="AJ30" s="38">
        <f t="shared" si="3"/>
        <v>2747.0173</v>
      </c>
      <c r="AK30" s="38">
        <v>4553.117339815</v>
      </c>
      <c r="AL30" s="38">
        <v>1311.39847289149</v>
      </c>
      <c r="AM30" s="38">
        <v>1663.19403777643</v>
      </c>
      <c r="AN30" s="38">
        <v>61.35401462168</v>
      </c>
      <c r="AO30" s="38">
        <v>1415.94038135793</v>
      </c>
      <c r="AP30" s="38">
        <v>356.76996197136</v>
      </c>
      <c r="AQ30" s="38">
        <v>6.59102968391</v>
      </c>
      <c r="AR30" s="38">
        <v>11.042661098947</v>
      </c>
      <c r="AS30" s="38">
        <v>0</v>
      </c>
      <c r="AT30" s="38">
        <v>10.601336608912</v>
      </c>
      <c r="AU30" s="38">
        <v>850.282067740736</v>
      </c>
      <c r="AV30" s="38">
        <f t="shared" si="6"/>
        <v>9368.36523811781</v>
      </c>
      <c r="AW30" s="38">
        <v>459.753948817046</v>
      </c>
      <c r="AX30" s="46"/>
      <c r="AY30" s="46"/>
      <c r="AZ30" s="46"/>
      <c r="BA30" s="46"/>
      <c r="BB30" s="38">
        <v>15.8919</v>
      </c>
      <c r="BC30" s="38">
        <v>36.1981</v>
      </c>
      <c r="BD30" s="38">
        <v>39.5607</v>
      </c>
      <c r="BE30" s="38">
        <v>4.2243</v>
      </c>
      <c r="BF30" s="38">
        <v>5.0714</v>
      </c>
      <c r="BG30" s="38">
        <v>64.488</v>
      </c>
      <c r="BH30" s="38">
        <v>0</v>
      </c>
      <c r="BI30" s="38">
        <v>0</v>
      </c>
      <c r="BJ30" s="38">
        <v>0</v>
      </c>
      <c r="BK30" s="38">
        <v>0</v>
      </c>
      <c r="BL30" s="38"/>
      <c r="BM30" s="38">
        <v>0</v>
      </c>
      <c r="BN30" s="38">
        <v>0</v>
      </c>
      <c r="BO30" s="38">
        <v>0.0219</v>
      </c>
      <c r="BP30" s="38">
        <v>0</v>
      </c>
      <c r="BQ30" s="38">
        <v>0.0766</v>
      </c>
      <c r="BR30" s="38">
        <v>0</v>
      </c>
      <c r="BS30" s="38">
        <v>0.0033</v>
      </c>
      <c r="BT30" s="38">
        <v>0.0015</v>
      </c>
      <c r="BU30" s="38">
        <v>0.0013</v>
      </c>
      <c r="BV30" s="38">
        <v>0.0004</v>
      </c>
      <c r="BW30" s="38"/>
      <c r="BX30" s="38">
        <v>0.0029</v>
      </c>
      <c r="BY30" s="38">
        <v>0.0033</v>
      </c>
      <c r="BZ30" s="38">
        <v>2.4536</v>
      </c>
      <c r="CA30" s="38">
        <v>0</v>
      </c>
      <c r="CB30" s="38">
        <v>0</v>
      </c>
      <c r="CC30" s="38">
        <v>0</v>
      </c>
      <c r="CD30" s="50"/>
      <c r="CE30" s="53">
        <f t="shared" si="8"/>
        <v>3023.33565118296</v>
      </c>
      <c r="CF30" s="50"/>
      <c r="CG30" s="50"/>
      <c r="CH30" s="50"/>
    </row>
    <row r="31" ht="22.6" customHeight="1" spans="1:86">
      <c r="A31" s="10" t="s">
        <v>38</v>
      </c>
      <c r="B31" s="38">
        <f t="shared" si="4"/>
        <v>2749.8164</v>
      </c>
      <c r="C31" s="38">
        <f t="shared" si="5"/>
        <v>2166.81053267924</v>
      </c>
      <c r="D31" s="38">
        <v>1496.5008</v>
      </c>
      <c r="E31" s="38">
        <v>851.0421</v>
      </c>
      <c r="F31" s="38">
        <v>2400.2551</v>
      </c>
      <c r="G31" s="38">
        <v>0</v>
      </c>
      <c r="H31" s="38">
        <v>0</v>
      </c>
      <c r="I31" s="38">
        <v>0</v>
      </c>
      <c r="J31" s="43">
        <v>509.9277</v>
      </c>
      <c r="K31" s="43">
        <v>249.985</v>
      </c>
      <c r="L31" s="38">
        <f t="shared" si="0"/>
        <v>4747.798</v>
      </c>
      <c r="M31" s="38">
        <v>152.347</v>
      </c>
      <c r="N31" s="38">
        <v>685.5058</v>
      </c>
      <c r="O31" s="38">
        <v>303.5669</v>
      </c>
      <c r="P31" s="38">
        <v>231.1519</v>
      </c>
      <c r="Q31" s="38"/>
      <c r="R31" s="38">
        <v>0</v>
      </c>
      <c r="S31" s="43">
        <v>0</v>
      </c>
      <c r="T31" s="43">
        <v>2.0122</v>
      </c>
      <c r="U31" s="43">
        <v>12.4773</v>
      </c>
      <c r="V31" s="43">
        <v>0</v>
      </c>
      <c r="W31" s="43">
        <v>9.8923</v>
      </c>
      <c r="X31" s="43">
        <v>8.7076</v>
      </c>
      <c r="Y31" s="38">
        <f t="shared" si="1"/>
        <v>1372.5716</v>
      </c>
      <c r="Z31" s="38">
        <v>213.373</v>
      </c>
      <c r="AA31" s="38">
        <v>0</v>
      </c>
      <c r="AB31" s="38">
        <v>0</v>
      </c>
      <c r="AC31" s="38">
        <v>0</v>
      </c>
      <c r="AD31" s="38">
        <v>0</v>
      </c>
      <c r="AE31" s="38">
        <v>8.6614</v>
      </c>
      <c r="AF31" s="38">
        <v>0</v>
      </c>
      <c r="AG31" s="38">
        <v>0</v>
      </c>
      <c r="AH31" s="38">
        <v>401.1833</v>
      </c>
      <c r="AI31" s="38">
        <f t="shared" si="2"/>
        <v>2.1923</v>
      </c>
      <c r="AJ31" s="38">
        <f t="shared" si="3"/>
        <v>1997.9816</v>
      </c>
      <c r="AK31" s="38">
        <v>5081.078535411</v>
      </c>
      <c r="AL31" s="38">
        <v>1335.16629208205</v>
      </c>
      <c r="AM31" s="38">
        <v>1726.16388830291</v>
      </c>
      <c r="AN31" s="38">
        <v>62.011920917119</v>
      </c>
      <c r="AO31" s="38">
        <v>1378.66200813921</v>
      </c>
      <c r="AP31" s="38">
        <v>361.564847404864</v>
      </c>
      <c r="AQ31" s="38">
        <v>6.723613181423</v>
      </c>
      <c r="AR31" s="38">
        <v>9.462261405628</v>
      </c>
      <c r="AS31" s="38">
        <v>0</v>
      </c>
      <c r="AT31" s="38">
        <v>9.003086209551</v>
      </c>
      <c r="AU31" s="38">
        <v>726.788273728643</v>
      </c>
      <c r="AV31" s="38">
        <f t="shared" si="6"/>
        <v>9951.37110543857</v>
      </c>
      <c r="AW31" s="38">
        <v>583.005867320762</v>
      </c>
      <c r="AX31" s="46"/>
      <c r="AY31" s="46"/>
      <c r="AZ31" s="46"/>
      <c r="BA31" s="46"/>
      <c r="BB31" s="38">
        <v>14.6997</v>
      </c>
      <c r="BC31" s="38">
        <v>34.8849</v>
      </c>
      <c r="BD31" s="38">
        <v>37.8219</v>
      </c>
      <c r="BE31" s="38">
        <v>3.7071</v>
      </c>
      <c r="BF31" s="38">
        <v>4.8804</v>
      </c>
      <c r="BG31" s="38">
        <v>56.353</v>
      </c>
      <c r="BH31" s="38">
        <v>0</v>
      </c>
      <c r="BI31" s="38">
        <v>0</v>
      </c>
      <c r="BJ31" s="38">
        <v>0</v>
      </c>
      <c r="BK31" s="38">
        <v>0</v>
      </c>
      <c r="BL31" s="38"/>
      <c r="BM31" s="38">
        <v>0</v>
      </c>
      <c r="BN31" s="38">
        <v>0</v>
      </c>
      <c r="BO31" s="38">
        <v>0</v>
      </c>
      <c r="BP31" s="38">
        <v>0</v>
      </c>
      <c r="BQ31" s="38">
        <v>0</v>
      </c>
      <c r="BR31" s="38">
        <v>0</v>
      </c>
      <c r="BS31" s="38">
        <v>0.0033</v>
      </c>
      <c r="BT31" s="38">
        <v>0.0017</v>
      </c>
      <c r="BU31" s="38">
        <v>0.0013</v>
      </c>
      <c r="BV31" s="38">
        <v>0.0003</v>
      </c>
      <c r="BW31" s="38"/>
      <c r="BX31" s="38">
        <v>0.0046</v>
      </c>
      <c r="BY31" s="38">
        <v>0.0117</v>
      </c>
      <c r="BZ31" s="38">
        <v>2.1694</v>
      </c>
      <c r="CA31" s="38">
        <v>0</v>
      </c>
      <c r="CB31" s="38">
        <v>0</v>
      </c>
      <c r="CC31" s="38">
        <v>0</v>
      </c>
      <c r="CD31" s="50"/>
      <c r="CE31" s="53">
        <f t="shared" si="8"/>
        <v>2933.71383267924</v>
      </c>
      <c r="CF31" s="50"/>
      <c r="CG31" s="50"/>
      <c r="CH31" s="50"/>
    </row>
    <row r="32" ht="22.6" customHeight="1" spans="1:86">
      <c r="A32" s="10" t="s">
        <v>39</v>
      </c>
      <c r="B32" s="38">
        <f t="shared" si="4"/>
        <v>2597.5921</v>
      </c>
      <c r="C32" s="38">
        <f t="shared" si="5"/>
        <v>2593.07944036701</v>
      </c>
      <c r="D32" s="38">
        <v>1598.5527</v>
      </c>
      <c r="E32" s="38">
        <v>572.5504</v>
      </c>
      <c r="F32" s="38">
        <v>2463.1275</v>
      </c>
      <c r="G32" s="38">
        <v>0</v>
      </c>
      <c r="H32" s="38">
        <v>0</v>
      </c>
      <c r="I32" s="38">
        <v>0</v>
      </c>
      <c r="J32" s="43">
        <v>449.945</v>
      </c>
      <c r="K32" s="43">
        <v>33.76</v>
      </c>
      <c r="L32" s="38">
        <f t="shared" si="0"/>
        <v>4634.2306</v>
      </c>
      <c r="M32" s="38">
        <v>149.7463</v>
      </c>
      <c r="N32" s="38">
        <v>586.8261</v>
      </c>
      <c r="O32" s="38">
        <v>291.6154</v>
      </c>
      <c r="P32" s="38">
        <v>236.1659</v>
      </c>
      <c r="Q32" s="38"/>
      <c r="R32" s="38">
        <v>0</v>
      </c>
      <c r="S32" s="43">
        <v>0</v>
      </c>
      <c r="T32" s="43">
        <v>1.8841</v>
      </c>
      <c r="U32" s="43">
        <v>12.4767</v>
      </c>
      <c r="V32" s="43">
        <v>0</v>
      </c>
      <c r="W32" s="43">
        <v>10.1519</v>
      </c>
      <c r="X32" s="43">
        <v>8.1113</v>
      </c>
      <c r="Y32" s="38">
        <f t="shared" si="1"/>
        <v>1264.3537</v>
      </c>
      <c r="Z32" s="38">
        <v>439.718</v>
      </c>
      <c r="AA32" s="38">
        <v>0</v>
      </c>
      <c r="AB32" s="38">
        <v>0</v>
      </c>
      <c r="AC32" s="38">
        <v>0</v>
      </c>
      <c r="AD32" s="38">
        <v>0</v>
      </c>
      <c r="AE32" s="38">
        <v>8.1919</v>
      </c>
      <c r="AF32" s="38">
        <v>0</v>
      </c>
      <c r="AG32" s="38">
        <v>0</v>
      </c>
      <c r="AH32" s="38">
        <v>322.1923</v>
      </c>
      <c r="AI32" s="38">
        <f t="shared" si="2"/>
        <v>2.1826</v>
      </c>
      <c r="AJ32" s="38">
        <f t="shared" si="3"/>
        <v>2036.6385</v>
      </c>
      <c r="AK32" s="38">
        <v>4960.549213928</v>
      </c>
      <c r="AL32" s="38">
        <v>1379.09994351862</v>
      </c>
      <c r="AM32" s="38">
        <v>1756.68360333619</v>
      </c>
      <c r="AN32" s="38">
        <v>61.723074218735</v>
      </c>
      <c r="AO32" s="38">
        <v>1409.58775660999</v>
      </c>
      <c r="AP32" s="38">
        <v>381.551145507254</v>
      </c>
      <c r="AQ32" s="38">
        <v>6.689027952777</v>
      </c>
      <c r="AR32" s="38">
        <v>9.602910058019</v>
      </c>
      <c r="AS32" s="38">
        <v>0</v>
      </c>
      <c r="AT32" s="38">
        <v>9.152896708737</v>
      </c>
      <c r="AU32" s="38">
        <v>736.449012644335</v>
      </c>
      <c r="AV32" s="38">
        <f t="shared" si="6"/>
        <v>9955.88376507156</v>
      </c>
      <c r="AW32" s="38">
        <v>4.51265963298829</v>
      </c>
      <c r="AX32" s="46"/>
      <c r="AY32" s="46"/>
      <c r="AZ32" s="46"/>
      <c r="BA32" s="46"/>
      <c r="BB32" s="38">
        <v>13.4298</v>
      </c>
      <c r="BC32" s="38">
        <v>33.4427</v>
      </c>
      <c r="BD32" s="38">
        <v>34.7752</v>
      </c>
      <c r="BE32" s="38">
        <v>3.8653</v>
      </c>
      <c r="BF32" s="38">
        <v>4.9223</v>
      </c>
      <c r="BG32" s="38">
        <v>59.311</v>
      </c>
      <c r="BH32" s="38">
        <v>0</v>
      </c>
      <c r="BI32" s="38">
        <v>0</v>
      </c>
      <c r="BJ32" s="38">
        <v>0</v>
      </c>
      <c r="BK32" s="38">
        <v>0</v>
      </c>
      <c r="BL32" s="38"/>
      <c r="BM32" s="38">
        <v>0</v>
      </c>
      <c r="BN32" s="38">
        <v>0</v>
      </c>
      <c r="BO32" s="38">
        <v>0</v>
      </c>
      <c r="BP32" s="38">
        <v>0</v>
      </c>
      <c r="BQ32" s="38">
        <v>0</v>
      </c>
      <c r="BR32" s="38">
        <v>0</v>
      </c>
      <c r="BS32" s="38">
        <v>0.0031</v>
      </c>
      <c r="BT32" s="38">
        <v>0.0017</v>
      </c>
      <c r="BU32" s="38">
        <v>0.001</v>
      </c>
      <c r="BV32" s="38">
        <v>0.0005</v>
      </c>
      <c r="BW32" s="38"/>
      <c r="BX32" s="38">
        <v>0.0027</v>
      </c>
      <c r="BY32" s="38">
        <v>0.0033</v>
      </c>
      <c r="BZ32" s="38">
        <v>2.1703</v>
      </c>
      <c r="CA32" s="38">
        <v>0</v>
      </c>
      <c r="CB32" s="38">
        <v>0</v>
      </c>
      <c r="CC32" s="38">
        <v>0</v>
      </c>
      <c r="CD32" s="50"/>
      <c r="CE32" s="54">
        <f t="shared" si="8"/>
        <v>3504.73604036701</v>
      </c>
      <c r="CF32" s="50"/>
      <c r="CG32" s="50"/>
      <c r="CH32" s="50"/>
    </row>
    <row r="33" ht="22.6" customHeight="1" spans="1:86">
      <c r="A33" s="10" t="s">
        <v>40</v>
      </c>
      <c r="B33" s="38">
        <f t="shared" si="4"/>
        <v>2934.0667</v>
      </c>
      <c r="C33" s="38">
        <f t="shared" si="5"/>
        <v>3508.18630527473</v>
      </c>
      <c r="D33" s="38">
        <v>2299.0605</v>
      </c>
      <c r="E33" s="38">
        <v>502.768</v>
      </c>
      <c r="F33" s="38">
        <v>2423.6762</v>
      </c>
      <c r="G33" s="38">
        <v>0</v>
      </c>
      <c r="H33" s="38">
        <v>155.8261</v>
      </c>
      <c r="I33" s="38">
        <v>0</v>
      </c>
      <c r="J33" s="43">
        <v>449.9866</v>
      </c>
      <c r="K33" s="43">
        <v>33.303</v>
      </c>
      <c r="L33" s="38">
        <f t="shared" si="0"/>
        <v>5381.3308</v>
      </c>
      <c r="M33" s="38">
        <v>131.4658</v>
      </c>
      <c r="N33" s="38">
        <v>509.1539</v>
      </c>
      <c r="O33" s="38">
        <v>300.216</v>
      </c>
      <c r="P33" s="38">
        <v>204.7579</v>
      </c>
      <c r="Q33" s="38"/>
      <c r="R33" s="38">
        <v>0</v>
      </c>
      <c r="S33" s="43">
        <v>0</v>
      </c>
      <c r="T33" s="43">
        <v>1.851</v>
      </c>
      <c r="U33" s="43">
        <v>12.2765</v>
      </c>
      <c r="V33" s="43">
        <v>0</v>
      </c>
      <c r="W33" s="43">
        <v>10.2301</v>
      </c>
      <c r="X33" s="43">
        <v>7.5676</v>
      </c>
      <c r="Y33" s="38">
        <f t="shared" si="1"/>
        <v>1145.5936</v>
      </c>
      <c r="Z33" s="38">
        <v>428.075</v>
      </c>
      <c r="AA33" s="38">
        <v>0</v>
      </c>
      <c r="AB33" s="38">
        <v>0</v>
      </c>
      <c r="AC33" s="38">
        <v>0</v>
      </c>
      <c r="AD33" s="38">
        <v>0</v>
      </c>
      <c r="AE33" s="38">
        <v>7.7031</v>
      </c>
      <c r="AF33" s="38">
        <v>0</v>
      </c>
      <c r="AG33" s="38">
        <v>0</v>
      </c>
      <c r="AH33" s="38">
        <v>863.709</v>
      </c>
      <c r="AI33" s="38">
        <f t="shared" si="2"/>
        <v>2.1834</v>
      </c>
      <c r="AJ33" s="38">
        <f t="shared" si="3"/>
        <v>2447.2641</v>
      </c>
      <c r="AK33" s="38">
        <v>4405.355933031</v>
      </c>
      <c r="AL33" s="38">
        <v>1407.47329375393</v>
      </c>
      <c r="AM33" s="38">
        <v>1671.94698726115</v>
      </c>
      <c r="AN33" s="38">
        <v>62.895474992135</v>
      </c>
      <c r="AO33" s="38">
        <v>1424.95854681711</v>
      </c>
      <c r="AP33" s="38">
        <v>402.433881335474</v>
      </c>
      <c r="AQ33" s="38">
        <v>6.700042606024</v>
      </c>
      <c r="AR33" s="38">
        <v>9.484646185421</v>
      </c>
      <c r="AS33" s="38">
        <v>0</v>
      </c>
      <c r="AT33" s="38">
        <v>8.998424088669</v>
      </c>
      <c r="AU33" s="38">
        <v>727.757025926367</v>
      </c>
      <c r="AV33" s="38">
        <f t="shared" si="6"/>
        <v>9381.76415979683</v>
      </c>
      <c r="AW33" s="39">
        <v>-574.119605274729</v>
      </c>
      <c r="AX33" s="46"/>
      <c r="AY33" s="46"/>
      <c r="AZ33" s="46"/>
      <c r="BA33" s="46"/>
      <c r="BB33" s="38">
        <v>12.7912</v>
      </c>
      <c r="BC33" s="38">
        <v>29.8443</v>
      </c>
      <c r="BD33" s="38">
        <v>31.0202</v>
      </c>
      <c r="BE33" s="38">
        <v>3.6314</v>
      </c>
      <c r="BF33" s="38">
        <v>3.8467</v>
      </c>
      <c r="BG33" s="38">
        <v>50.332</v>
      </c>
      <c r="BH33" s="38">
        <v>0</v>
      </c>
      <c r="BI33" s="38">
        <v>0</v>
      </c>
      <c r="BJ33" s="38">
        <v>0</v>
      </c>
      <c r="BK33" s="38">
        <v>0</v>
      </c>
      <c r="BL33" s="38"/>
      <c r="BM33" s="38">
        <v>0</v>
      </c>
      <c r="BN33" s="38">
        <v>0</v>
      </c>
      <c r="BO33" s="38">
        <v>0</v>
      </c>
      <c r="BP33" s="38">
        <v>0</v>
      </c>
      <c r="BQ33" s="38">
        <v>0</v>
      </c>
      <c r="BR33" s="38">
        <v>0</v>
      </c>
      <c r="BS33" s="38">
        <v>0.0033</v>
      </c>
      <c r="BT33" s="38">
        <v>0.0015</v>
      </c>
      <c r="BU33" s="38">
        <v>0.001</v>
      </c>
      <c r="BV33" s="38">
        <v>0.0003</v>
      </c>
      <c r="BW33" s="38"/>
      <c r="BX33" s="38">
        <v>0.0042</v>
      </c>
      <c r="BY33" s="38">
        <v>0.0033</v>
      </c>
      <c r="BZ33" s="38">
        <v>2.1698</v>
      </c>
      <c r="CA33" s="38">
        <v>0</v>
      </c>
      <c r="CB33" s="38">
        <v>0</v>
      </c>
      <c r="CC33" s="38">
        <v>0</v>
      </c>
      <c r="CD33" s="50"/>
      <c r="CE33" s="54">
        <f t="shared" si="8"/>
        <v>4931.43610527473</v>
      </c>
      <c r="CF33" s="50"/>
      <c r="CG33" s="50"/>
      <c r="CH33" s="50"/>
    </row>
    <row r="34" ht="22.6" customHeight="1" spans="1:86">
      <c r="A34" s="10" t="s">
        <v>41</v>
      </c>
      <c r="B34" s="38">
        <f t="shared" si="4"/>
        <v>3483.8973</v>
      </c>
      <c r="C34" s="38">
        <f t="shared" si="5"/>
        <v>3620.98771950321</v>
      </c>
      <c r="D34" s="38">
        <v>2949.2084</v>
      </c>
      <c r="E34" s="38">
        <v>472.1161</v>
      </c>
      <c r="F34" s="38">
        <v>2358.2688</v>
      </c>
      <c r="G34" s="38">
        <v>0</v>
      </c>
      <c r="H34" s="38">
        <v>306.1886</v>
      </c>
      <c r="I34" s="38">
        <v>0</v>
      </c>
      <c r="J34" s="43">
        <v>449.9374</v>
      </c>
      <c r="K34" s="43">
        <v>33.111</v>
      </c>
      <c r="L34" s="38">
        <f t="shared" si="0"/>
        <v>6085.7819</v>
      </c>
      <c r="M34" s="38">
        <v>131.2373</v>
      </c>
      <c r="N34" s="38">
        <v>499.9081</v>
      </c>
      <c r="O34" s="38">
        <v>379.2657</v>
      </c>
      <c r="P34" s="38">
        <v>209.4617</v>
      </c>
      <c r="Q34" s="38"/>
      <c r="R34" s="38">
        <v>0</v>
      </c>
      <c r="S34" s="43">
        <v>0</v>
      </c>
      <c r="T34" s="43">
        <v>1.7574</v>
      </c>
      <c r="U34" s="43">
        <v>11.9782</v>
      </c>
      <c r="V34" s="43">
        <v>0</v>
      </c>
      <c r="W34" s="43">
        <v>10.793</v>
      </c>
      <c r="X34" s="43">
        <v>7.1751</v>
      </c>
      <c r="Y34" s="38">
        <f t="shared" si="1"/>
        <v>1219.8728</v>
      </c>
      <c r="Z34" s="38">
        <v>278.406</v>
      </c>
      <c r="AA34" s="38">
        <v>0</v>
      </c>
      <c r="AB34" s="38">
        <v>0</v>
      </c>
      <c r="AC34" s="38">
        <v>0</v>
      </c>
      <c r="AD34" s="38">
        <v>0</v>
      </c>
      <c r="AE34" s="38">
        <v>7.2034</v>
      </c>
      <c r="AF34" s="38">
        <v>0</v>
      </c>
      <c r="AG34" s="38">
        <v>0</v>
      </c>
      <c r="AH34" s="38">
        <v>1093.9038</v>
      </c>
      <c r="AI34" s="38">
        <f t="shared" si="2"/>
        <v>2.4986</v>
      </c>
      <c r="AJ34" s="38">
        <f t="shared" si="3"/>
        <v>2601.8846</v>
      </c>
      <c r="AK34" s="38">
        <v>4307.748628796</v>
      </c>
      <c r="AL34" s="38">
        <v>1392.8999644482</v>
      </c>
      <c r="AM34" s="38">
        <v>1655.20656842447</v>
      </c>
      <c r="AN34" s="38">
        <v>62.949415745124</v>
      </c>
      <c r="AO34" s="38">
        <v>1417.19098815578</v>
      </c>
      <c r="AP34" s="38">
        <v>402.001794375171</v>
      </c>
      <c r="AQ34" s="38">
        <v>6.676380348878</v>
      </c>
      <c r="AR34" s="38">
        <v>9.627654179321</v>
      </c>
      <c r="AS34" s="38">
        <v>0</v>
      </c>
      <c r="AT34" s="38">
        <v>9.173097361756</v>
      </c>
      <c r="AU34" s="38">
        <v>737.289221740009</v>
      </c>
      <c r="AV34" s="38">
        <f t="shared" si="6"/>
        <v>9244.67374029362</v>
      </c>
      <c r="AW34" s="39">
        <v>-137.090419503209</v>
      </c>
      <c r="AX34" s="46"/>
      <c r="AY34" s="46"/>
      <c r="AZ34" s="46"/>
      <c r="BA34" s="46"/>
      <c r="BB34" s="38">
        <v>13.3064</v>
      </c>
      <c r="BC34" s="38">
        <v>30.2073</v>
      </c>
      <c r="BD34" s="38">
        <v>29.5207</v>
      </c>
      <c r="BE34" s="38">
        <v>3.2975</v>
      </c>
      <c r="BF34" s="38">
        <v>3.5704</v>
      </c>
      <c r="BG34" s="38">
        <v>51.335</v>
      </c>
      <c r="BH34" s="38">
        <v>0</v>
      </c>
      <c r="BI34" s="38">
        <v>0</v>
      </c>
      <c r="BJ34" s="38">
        <v>0</v>
      </c>
      <c r="BK34" s="38">
        <v>0</v>
      </c>
      <c r="BL34" s="38"/>
      <c r="BM34" s="38">
        <v>0</v>
      </c>
      <c r="BN34" s="38">
        <v>0</v>
      </c>
      <c r="BO34" s="38">
        <v>0</v>
      </c>
      <c r="BP34" s="38">
        <v>0</v>
      </c>
      <c r="BQ34" s="38">
        <v>0.0753</v>
      </c>
      <c r="BR34" s="38">
        <v>0</v>
      </c>
      <c r="BS34" s="38">
        <v>0.0031</v>
      </c>
      <c r="BT34" s="38">
        <v>0.0014</v>
      </c>
      <c r="BU34" s="38">
        <v>0.0011</v>
      </c>
      <c r="BV34" s="38">
        <v>0.0002</v>
      </c>
      <c r="BW34" s="38"/>
      <c r="BX34" s="38">
        <v>0.0028</v>
      </c>
      <c r="BY34" s="38">
        <v>0.0033</v>
      </c>
      <c r="BZ34" s="38">
        <v>2.4114</v>
      </c>
      <c r="CA34" s="38">
        <v>0</v>
      </c>
      <c r="CB34" s="38">
        <v>0</v>
      </c>
      <c r="CC34" s="38">
        <v>0</v>
      </c>
      <c r="CD34" s="50"/>
      <c r="CE34" s="54">
        <f t="shared" si="8"/>
        <v>5124.53481950321</v>
      </c>
      <c r="CF34" s="50"/>
      <c r="CG34" s="50"/>
      <c r="CH34" s="50"/>
    </row>
    <row r="35" ht="22.6" customHeight="1" spans="1:86">
      <c r="A35" s="10" t="s">
        <v>42</v>
      </c>
      <c r="B35" s="38">
        <f t="shared" si="4"/>
        <v>3923.2794</v>
      </c>
      <c r="C35" s="38">
        <f t="shared" si="5"/>
        <v>3539.43875776578</v>
      </c>
      <c r="D35" s="38">
        <v>2998.1687</v>
      </c>
      <c r="E35" s="38">
        <v>467.0471</v>
      </c>
      <c r="F35" s="38">
        <v>2525.4666</v>
      </c>
      <c r="G35" s="38">
        <v>0</v>
      </c>
      <c r="H35" s="38">
        <v>0</v>
      </c>
      <c r="I35" s="38">
        <v>0</v>
      </c>
      <c r="J35" s="43">
        <v>449.9438</v>
      </c>
      <c r="K35" s="43">
        <v>33.186</v>
      </c>
      <c r="L35" s="38">
        <f t="shared" si="0"/>
        <v>5990.6824</v>
      </c>
      <c r="M35" s="38">
        <v>127.6127</v>
      </c>
      <c r="N35" s="38">
        <v>472.3276</v>
      </c>
      <c r="O35" s="38">
        <v>319.0731</v>
      </c>
      <c r="P35" s="38">
        <v>188.6247</v>
      </c>
      <c r="Q35" s="38"/>
      <c r="R35" s="38">
        <v>0</v>
      </c>
      <c r="S35" s="43">
        <v>0</v>
      </c>
      <c r="T35" s="43">
        <v>1.7183</v>
      </c>
      <c r="U35" s="43">
        <v>11.9776</v>
      </c>
      <c r="V35" s="43">
        <v>0</v>
      </c>
      <c r="W35" s="43">
        <v>11.9913</v>
      </c>
      <c r="X35" s="43">
        <v>7.0732</v>
      </c>
      <c r="Y35" s="38">
        <f t="shared" si="1"/>
        <v>1107.6381</v>
      </c>
      <c r="Z35" s="38">
        <v>41.116</v>
      </c>
      <c r="AA35" s="38">
        <v>0</v>
      </c>
      <c r="AB35" s="38">
        <v>0</v>
      </c>
      <c r="AC35" s="38">
        <v>0</v>
      </c>
      <c r="AD35" s="38">
        <v>0</v>
      </c>
      <c r="AE35" s="38">
        <v>7.1274</v>
      </c>
      <c r="AF35" s="38">
        <v>0</v>
      </c>
      <c r="AG35" s="38">
        <v>0</v>
      </c>
      <c r="AH35" s="38">
        <v>909.3396</v>
      </c>
      <c r="AI35" s="38">
        <f t="shared" si="2"/>
        <v>2.1819</v>
      </c>
      <c r="AJ35" s="38">
        <f t="shared" si="3"/>
        <v>2067.403</v>
      </c>
      <c r="AK35" s="38">
        <v>4654.91038183</v>
      </c>
      <c r="AL35" s="38">
        <v>1323.92970780328</v>
      </c>
      <c r="AM35" s="38">
        <v>1714.57813219723</v>
      </c>
      <c r="AN35" s="38">
        <v>62.863937112742</v>
      </c>
      <c r="AO35" s="38">
        <v>1454.11561077104</v>
      </c>
      <c r="AP35" s="38">
        <v>411.423708150905</v>
      </c>
      <c r="AQ35" s="38">
        <v>6.692904662636</v>
      </c>
      <c r="AR35" s="38">
        <v>9.884598177123</v>
      </c>
      <c r="AS35" s="38">
        <v>0</v>
      </c>
      <c r="AT35" s="38">
        <v>9.438504812667</v>
      </c>
      <c r="AU35" s="38">
        <v>758.302724421333</v>
      </c>
      <c r="AV35" s="38">
        <f t="shared" si="6"/>
        <v>9628.51438252784</v>
      </c>
      <c r="AW35" s="38">
        <v>383.840642234218</v>
      </c>
      <c r="AX35" s="46"/>
      <c r="AY35" s="46"/>
      <c r="AZ35" s="46"/>
      <c r="BA35" s="46"/>
      <c r="BB35" s="38">
        <v>15.8291</v>
      </c>
      <c r="BC35" s="38">
        <v>29.783</v>
      </c>
      <c r="BD35" s="38">
        <v>24.0245</v>
      </c>
      <c r="BE35" s="38">
        <v>3.403</v>
      </c>
      <c r="BF35" s="38">
        <v>3.8851</v>
      </c>
      <c r="BG35" s="38">
        <v>50.688</v>
      </c>
      <c r="BH35" s="38">
        <v>0</v>
      </c>
      <c r="BI35" s="38">
        <v>0</v>
      </c>
      <c r="BJ35" s="38">
        <v>0</v>
      </c>
      <c r="BK35" s="38">
        <v>0</v>
      </c>
      <c r="BL35" s="38"/>
      <c r="BM35" s="38">
        <v>0</v>
      </c>
      <c r="BN35" s="38">
        <v>0</v>
      </c>
      <c r="BO35" s="38">
        <v>0</v>
      </c>
      <c r="BP35" s="38">
        <v>0</v>
      </c>
      <c r="BQ35" s="38">
        <v>0</v>
      </c>
      <c r="BR35" s="38">
        <v>0</v>
      </c>
      <c r="BS35" s="38">
        <v>0.0033</v>
      </c>
      <c r="BT35" s="38">
        <v>0.0007</v>
      </c>
      <c r="BU35" s="38">
        <v>0.0023</v>
      </c>
      <c r="BV35" s="38">
        <v>0.0002</v>
      </c>
      <c r="BW35" s="38"/>
      <c r="BX35" s="38">
        <v>0.0035</v>
      </c>
      <c r="BY35" s="38">
        <v>0.003</v>
      </c>
      <c r="BZ35" s="38">
        <v>2.1689</v>
      </c>
      <c r="CA35" s="38">
        <v>0</v>
      </c>
      <c r="CB35" s="38">
        <v>0</v>
      </c>
      <c r="CC35" s="38">
        <v>0</v>
      </c>
      <c r="CD35" s="50"/>
      <c r="CE35" s="54">
        <f t="shared" si="8"/>
        <v>4617.50705776578</v>
      </c>
      <c r="CF35" s="50"/>
      <c r="CG35" s="50"/>
      <c r="CH35" s="50"/>
    </row>
    <row r="36" ht="22.6" customHeight="1" spans="1:86">
      <c r="A36" s="10" t="s">
        <v>43</v>
      </c>
      <c r="B36" s="38">
        <f t="shared" si="4"/>
        <v>3045.6746</v>
      </c>
      <c r="C36" s="38">
        <f t="shared" si="5"/>
        <v>3680.39376126061</v>
      </c>
      <c r="D36" s="38">
        <v>2298.5465</v>
      </c>
      <c r="E36" s="38">
        <v>484.8746</v>
      </c>
      <c r="F36" s="38">
        <v>2552.036</v>
      </c>
      <c r="G36" s="38">
        <v>0</v>
      </c>
      <c r="H36" s="38">
        <v>0</v>
      </c>
      <c r="I36" s="38">
        <v>0</v>
      </c>
      <c r="J36" s="43">
        <v>449.936</v>
      </c>
      <c r="K36" s="43">
        <v>33.776</v>
      </c>
      <c r="L36" s="38">
        <f t="shared" si="0"/>
        <v>5335.4571</v>
      </c>
      <c r="M36" s="38">
        <v>119.2678</v>
      </c>
      <c r="N36" s="38">
        <v>485.0073</v>
      </c>
      <c r="O36" s="38">
        <v>391.8922</v>
      </c>
      <c r="P36" s="38">
        <v>210.0682</v>
      </c>
      <c r="Q36" s="38"/>
      <c r="R36" s="38">
        <v>0</v>
      </c>
      <c r="S36" s="43">
        <v>0</v>
      </c>
      <c r="T36" s="43">
        <v>1.7161</v>
      </c>
      <c r="U36" s="43">
        <v>11.8783</v>
      </c>
      <c r="V36" s="43">
        <v>0</v>
      </c>
      <c r="W36" s="43">
        <v>13.206</v>
      </c>
      <c r="X36" s="43">
        <v>5.9713</v>
      </c>
      <c r="Y36" s="38">
        <f t="shared" si="1"/>
        <v>1206.2355</v>
      </c>
      <c r="Z36" s="38">
        <v>205.616</v>
      </c>
      <c r="AA36" s="38">
        <v>0</v>
      </c>
      <c r="AB36" s="38">
        <v>0</v>
      </c>
      <c r="AC36" s="38">
        <v>0</v>
      </c>
      <c r="AD36" s="38">
        <v>0</v>
      </c>
      <c r="AE36" s="38">
        <v>6.0039</v>
      </c>
      <c r="AF36" s="38">
        <v>0</v>
      </c>
      <c r="AG36" s="38">
        <v>0</v>
      </c>
      <c r="AH36" s="38">
        <v>869.557</v>
      </c>
      <c r="AI36" s="38">
        <f t="shared" si="2"/>
        <v>2.3701</v>
      </c>
      <c r="AJ36" s="38">
        <f t="shared" si="3"/>
        <v>2289.7825</v>
      </c>
      <c r="AK36" s="38">
        <v>4258.800037043</v>
      </c>
      <c r="AL36" s="38">
        <v>1300.11877419432</v>
      </c>
      <c r="AM36" s="38">
        <v>1669.40237488783</v>
      </c>
      <c r="AN36" s="38">
        <v>62.77147608922</v>
      </c>
      <c r="AO36" s="38">
        <v>1342.89093729345</v>
      </c>
      <c r="AP36" s="38">
        <v>353.225699125684</v>
      </c>
      <c r="AQ36" s="38">
        <v>6.58592263373</v>
      </c>
      <c r="AR36" s="38">
        <v>9.448634947104</v>
      </c>
      <c r="AS36" s="38">
        <v>0</v>
      </c>
      <c r="AT36" s="38">
        <v>9.004233597773</v>
      </c>
      <c r="AU36" s="38">
        <v>724.239860620496</v>
      </c>
      <c r="AV36" s="38">
        <f t="shared" si="6"/>
        <v>8993.79522126723</v>
      </c>
      <c r="AW36" s="39">
        <v>-634.719161260608</v>
      </c>
      <c r="AX36" s="46"/>
      <c r="AY36" s="46"/>
      <c r="AZ36" s="46"/>
      <c r="BA36" s="46"/>
      <c r="BB36" s="38">
        <v>16.407</v>
      </c>
      <c r="BC36" s="38">
        <v>28.4557</v>
      </c>
      <c r="BD36" s="38">
        <v>21.6009</v>
      </c>
      <c r="BE36" s="38">
        <v>1.9369</v>
      </c>
      <c r="BF36" s="38">
        <v>3.7953</v>
      </c>
      <c r="BG36" s="38">
        <v>47.072</v>
      </c>
      <c r="BH36" s="38">
        <v>0</v>
      </c>
      <c r="BI36" s="38">
        <v>0</v>
      </c>
      <c r="BJ36" s="38">
        <v>0</v>
      </c>
      <c r="BK36" s="38">
        <v>0</v>
      </c>
      <c r="BL36" s="38"/>
      <c r="BM36" s="38">
        <v>0</v>
      </c>
      <c r="BN36" s="38">
        <v>0</v>
      </c>
      <c r="BO36" s="38">
        <v>0.0214</v>
      </c>
      <c r="BP36" s="38">
        <v>0</v>
      </c>
      <c r="BQ36" s="38">
        <v>0.0764</v>
      </c>
      <c r="BR36" s="38">
        <v>0</v>
      </c>
      <c r="BS36" s="38">
        <v>0.0034</v>
      </c>
      <c r="BT36" s="38">
        <v>0.0021</v>
      </c>
      <c r="BU36" s="38">
        <v>0.001</v>
      </c>
      <c r="BV36" s="38">
        <v>0.0002</v>
      </c>
      <c r="BW36" s="38"/>
      <c r="BX36" s="38">
        <v>0.0034</v>
      </c>
      <c r="BY36" s="38">
        <v>0.003</v>
      </c>
      <c r="BZ36" s="38">
        <v>2.2592</v>
      </c>
      <c r="CA36" s="38">
        <v>0</v>
      </c>
      <c r="CB36" s="38">
        <v>0</v>
      </c>
      <c r="CC36" s="38">
        <v>0</v>
      </c>
      <c r="CD36" s="50"/>
      <c r="CE36" s="54">
        <f t="shared" si="8"/>
        <v>4874.83456126061</v>
      </c>
      <c r="CF36" s="50"/>
      <c r="CG36" s="50"/>
      <c r="CH36" s="50"/>
    </row>
    <row r="37" ht="22.6" customHeight="1" spans="1:86">
      <c r="A37" s="10" t="s">
        <v>44</v>
      </c>
      <c r="B37" s="38">
        <f t="shared" si="4"/>
        <v>3769.2174</v>
      </c>
      <c r="C37" s="38">
        <f t="shared" si="5"/>
        <v>3228.1329012344</v>
      </c>
      <c r="D37" s="38">
        <v>2983.1563</v>
      </c>
      <c r="E37" s="38">
        <v>849.3289</v>
      </c>
      <c r="F37" s="38">
        <v>2080.6945</v>
      </c>
      <c r="G37" s="38">
        <v>0</v>
      </c>
      <c r="H37" s="38">
        <v>0</v>
      </c>
      <c r="I37" s="38">
        <v>0</v>
      </c>
      <c r="J37" s="43">
        <v>649.9597</v>
      </c>
      <c r="K37" s="43">
        <v>799.503</v>
      </c>
      <c r="L37" s="38">
        <f t="shared" si="0"/>
        <v>5913.1797</v>
      </c>
      <c r="M37" s="38">
        <v>125.7557</v>
      </c>
      <c r="N37" s="38">
        <v>418.9397</v>
      </c>
      <c r="O37" s="38">
        <v>363.3697</v>
      </c>
      <c r="P37" s="38">
        <v>244.1411</v>
      </c>
      <c r="Q37" s="38"/>
      <c r="R37" s="38">
        <v>0</v>
      </c>
      <c r="S37" s="43">
        <v>0</v>
      </c>
      <c r="T37" s="43">
        <v>1.7961</v>
      </c>
      <c r="U37" s="43">
        <v>11.0808</v>
      </c>
      <c r="V37" s="43">
        <v>0</v>
      </c>
      <c r="W37" s="43">
        <v>14.2376</v>
      </c>
      <c r="X37" s="43">
        <v>6.1604</v>
      </c>
      <c r="Y37" s="38">
        <f t="shared" si="1"/>
        <v>1152.2062</v>
      </c>
      <c r="Z37" s="38">
        <v>111.317</v>
      </c>
      <c r="AA37" s="38">
        <v>0</v>
      </c>
      <c r="AB37" s="38">
        <v>0</v>
      </c>
      <c r="AC37" s="38">
        <v>0</v>
      </c>
      <c r="AD37" s="38">
        <v>0</v>
      </c>
      <c r="AE37" s="38">
        <v>6.1862</v>
      </c>
      <c r="AF37" s="38">
        <v>0</v>
      </c>
      <c r="AG37" s="38">
        <v>0</v>
      </c>
      <c r="AH37" s="38">
        <v>872.0704</v>
      </c>
      <c r="AI37" s="38">
        <f t="shared" si="2"/>
        <v>2.1825</v>
      </c>
      <c r="AJ37" s="38">
        <f t="shared" si="3"/>
        <v>2143.9623</v>
      </c>
      <c r="AK37" s="38">
        <v>4295.525236447</v>
      </c>
      <c r="AL37" s="38">
        <v>1483.61422964869</v>
      </c>
      <c r="AM37" s="38">
        <v>1669.63791891202</v>
      </c>
      <c r="AN37" s="38">
        <v>62.225458253592</v>
      </c>
      <c r="AO37" s="38">
        <v>1573.59034085584</v>
      </c>
      <c r="AP37" s="38">
        <v>443.68169358958</v>
      </c>
      <c r="AQ37" s="38">
        <v>6.604842326115</v>
      </c>
      <c r="AR37" s="38">
        <v>12.106009978838</v>
      </c>
      <c r="AS37" s="38">
        <v>0</v>
      </c>
      <c r="AT37" s="38">
        <v>11.631391979661</v>
      </c>
      <c r="AU37" s="38">
        <v>932.131184160256</v>
      </c>
      <c r="AV37" s="38">
        <f t="shared" si="6"/>
        <v>9534.87972003283</v>
      </c>
      <c r="AW37" s="38">
        <v>541.084498765602</v>
      </c>
      <c r="AX37" s="46"/>
      <c r="AY37" s="46"/>
      <c r="AZ37" s="46"/>
      <c r="BA37" s="46"/>
      <c r="BB37" s="38">
        <v>16.4202</v>
      </c>
      <c r="BC37" s="38">
        <v>30.9644</v>
      </c>
      <c r="BD37" s="38">
        <v>21.4048</v>
      </c>
      <c r="BE37" s="38">
        <v>1.9784</v>
      </c>
      <c r="BF37" s="38">
        <v>4.8869</v>
      </c>
      <c r="BG37" s="38">
        <v>50.101</v>
      </c>
      <c r="BH37" s="38">
        <v>0</v>
      </c>
      <c r="BI37" s="38">
        <v>0</v>
      </c>
      <c r="BJ37" s="38">
        <v>0</v>
      </c>
      <c r="BK37" s="38">
        <v>0</v>
      </c>
      <c r="BL37" s="38"/>
      <c r="BM37" s="38">
        <v>0</v>
      </c>
      <c r="BN37" s="38">
        <v>0</v>
      </c>
      <c r="BO37" s="38">
        <v>0</v>
      </c>
      <c r="BP37" s="38">
        <v>0</v>
      </c>
      <c r="BQ37" s="38">
        <v>0</v>
      </c>
      <c r="BR37" s="38">
        <v>0</v>
      </c>
      <c r="BS37" s="38">
        <v>0.0032</v>
      </c>
      <c r="BT37" s="38">
        <v>0.0012</v>
      </c>
      <c r="BU37" s="38">
        <v>0.0012</v>
      </c>
      <c r="BV37" s="38">
        <v>0.0003</v>
      </c>
      <c r="BW37" s="38"/>
      <c r="BX37" s="38">
        <v>0.0041</v>
      </c>
      <c r="BY37" s="38">
        <v>0.0034</v>
      </c>
      <c r="BZ37" s="38">
        <v>2.1691</v>
      </c>
      <c r="CA37" s="38">
        <v>0</v>
      </c>
      <c r="CB37" s="38">
        <v>0</v>
      </c>
      <c r="CC37" s="38">
        <v>0</v>
      </c>
      <c r="CD37" s="50"/>
      <c r="CE37" s="54">
        <f t="shared" si="8"/>
        <v>4337.2760012344</v>
      </c>
      <c r="CF37" s="50"/>
      <c r="CG37" s="50"/>
      <c r="CH37" s="50"/>
    </row>
    <row r="38" ht="22.6" customHeight="1" spans="1:86">
      <c r="A38" s="10" t="s">
        <v>45</v>
      </c>
      <c r="B38" s="38">
        <f t="shared" si="4"/>
        <v>3876.6125</v>
      </c>
      <c r="C38" s="38">
        <f t="shared" si="5"/>
        <v>3896.78618265756</v>
      </c>
      <c r="D38" s="38">
        <v>2099.2464</v>
      </c>
      <c r="E38" s="38">
        <v>992.9119</v>
      </c>
      <c r="F38" s="38">
        <v>2136.3008</v>
      </c>
      <c r="G38" s="38">
        <v>0</v>
      </c>
      <c r="H38" s="38">
        <v>550.2493</v>
      </c>
      <c r="I38" s="38">
        <v>0</v>
      </c>
      <c r="J38" s="43">
        <v>749.9512</v>
      </c>
      <c r="K38" s="43">
        <v>672.382</v>
      </c>
      <c r="L38" s="38">
        <f t="shared" si="0"/>
        <v>5778.7084</v>
      </c>
      <c r="M38" s="38">
        <v>94.3208</v>
      </c>
      <c r="N38" s="38">
        <v>304.7944</v>
      </c>
      <c r="O38" s="38">
        <v>348.3961</v>
      </c>
      <c r="P38" s="38">
        <v>208.6163</v>
      </c>
      <c r="Q38" s="38"/>
      <c r="R38" s="38">
        <v>0</v>
      </c>
      <c r="S38" s="43">
        <v>0</v>
      </c>
      <c r="T38" s="43">
        <v>1.5116</v>
      </c>
      <c r="U38" s="43">
        <v>10.9791</v>
      </c>
      <c r="V38" s="43">
        <v>0</v>
      </c>
      <c r="W38" s="43">
        <v>10.1765</v>
      </c>
      <c r="X38" s="43">
        <v>5.5233</v>
      </c>
      <c r="Y38" s="38">
        <f t="shared" si="1"/>
        <v>956.1276</v>
      </c>
      <c r="Z38" s="38">
        <v>0.401</v>
      </c>
      <c r="AA38" s="38">
        <v>0</v>
      </c>
      <c r="AB38" s="38">
        <v>0</v>
      </c>
      <c r="AC38" s="38">
        <v>0</v>
      </c>
      <c r="AD38" s="38">
        <v>0</v>
      </c>
      <c r="AE38" s="38">
        <v>5.4977</v>
      </c>
      <c r="AF38" s="38">
        <v>0</v>
      </c>
      <c r="AG38" s="38">
        <v>0</v>
      </c>
      <c r="AH38" s="38">
        <v>936.3366</v>
      </c>
      <c r="AI38" s="38">
        <f t="shared" si="2"/>
        <v>3.733</v>
      </c>
      <c r="AJ38" s="38">
        <f t="shared" si="3"/>
        <v>1902.0959</v>
      </c>
      <c r="AK38" s="38">
        <v>4605.758777915</v>
      </c>
      <c r="AL38" s="38">
        <v>1358.40110522551</v>
      </c>
      <c r="AM38" s="38">
        <v>1620.95913015881</v>
      </c>
      <c r="AN38" s="38">
        <v>63.481696402467</v>
      </c>
      <c r="AO38" s="38">
        <v>1475.5426729317</v>
      </c>
      <c r="AP38" s="38">
        <v>383.938242834581</v>
      </c>
      <c r="AQ38" s="38">
        <v>6.624411907201</v>
      </c>
      <c r="AR38" s="38">
        <v>10.413281266071</v>
      </c>
      <c r="AS38" s="38">
        <v>0</v>
      </c>
      <c r="AT38" s="38">
        <v>9.927661514693</v>
      </c>
      <c r="AU38" s="38">
        <v>802.121246293833</v>
      </c>
      <c r="AV38" s="38">
        <f t="shared" si="6"/>
        <v>9514.70603737527</v>
      </c>
      <c r="AW38" s="39">
        <v>-20.1736826575616</v>
      </c>
      <c r="AX38" s="46"/>
      <c r="AY38" s="46"/>
      <c r="AZ38" s="46"/>
      <c r="BA38" s="46"/>
      <c r="BB38" s="38">
        <v>14.1319</v>
      </c>
      <c r="BC38" s="38">
        <v>20.7674</v>
      </c>
      <c r="BD38" s="38">
        <v>19.6002</v>
      </c>
      <c r="BE38" s="38">
        <v>1.0899</v>
      </c>
      <c r="BF38" s="38">
        <v>2.8914</v>
      </c>
      <c r="BG38" s="38">
        <v>35.84</v>
      </c>
      <c r="BH38" s="38">
        <v>0</v>
      </c>
      <c r="BI38" s="38">
        <v>0</v>
      </c>
      <c r="BJ38" s="38">
        <v>0</v>
      </c>
      <c r="BK38" s="38">
        <v>1.5528</v>
      </c>
      <c r="BL38" s="38"/>
      <c r="BM38" s="38">
        <v>0</v>
      </c>
      <c r="BN38" s="38">
        <v>0</v>
      </c>
      <c r="BO38" s="38">
        <v>0</v>
      </c>
      <c r="BP38" s="38">
        <v>0</v>
      </c>
      <c r="BQ38" s="38">
        <v>0</v>
      </c>
      <c r="BR38" s="38">
        <v>0</v>
      </c>
      <c r="BS38" s="38">
        <v>0.0034</v>
      </c>
      <c r="BT38" s="38">
        <v>0.0018</v>
      </c>
      <c r="BU38" s="38">
        <v>0.0011</v>
      </c>
      <c r="BV38" s="38">
        <v>0.0002</v>
      </c>
      <c r="BW38" s="38"/>
      <c r="BX38" s="38">
        <v>0.0032</v>
      </c>
      <c r="BY38" s="38">
        <v>0.0029</v>
      </c>
      <c r="BZ38" s="38">
        <v>2.1676</v>
      </c>
      <c r="CA38" s="38">
        <v>0</v>
      </c>
      <c r="CB38" s="38">
        <v>0</v>
      </c>
      <c r="CC38" s="38">
        <v>0</v>
      </c>
      <c r="CD38" s="50"/>
      <c r="CE38" s="54">
        <f t="shared" si="8"/>
        <v>4927.84458265756</v>
      </c>
      <c r="CF38" s="50"/>
      <c r="CG38" s="50"/>
      <c r="CH38" s="50"/>
    </row>
    <row r="39" ht="22.6" customHeight="1" spans="1:86">
      <c r="A39" s="10" t="s">
        <v>46</v>
      </c>
      <c r="B39" s="38">
        <f t="shared" si="4"/>
        <v>2868.1919</v>
      </c>
      <c r="C39" s="38">
        <f t="shared" si="5"/>
        <v>2951.49202930165</v>
      </c>
      <c r="D39" s="38">
        <v>847.1353</v>
      </c>
      <c r="E39" s="38">
        <v>1158.2981</v>
      </c>
      <c r="F39" s="38">
        <v>2158.8205</v>
      </c>
      <c r="G39" s="38">
        <v>0</v>
      </c>
      <c r="H39" s="38">
        <v>409.2497</v>
      </c>
      <c r="I39" s="38">
        <v>0</v>
      </c>
      <c r="J39" s="43">
        <v>649.9522</v>
      </c>
      <c r="K39" s="43">
        <v>683.65</v>
      </c>
      <c r="L39" s="38">
        <f t="shared" si="0"/>
        <v>4573.5036</v>
      </c>
      <c r="M39" s="38">
        <v>100.8532</v>
      </c>
      <c r="N39" s="38">
        <v>247.8692</v>
      </c>
      <c r="O39" s="38">
        <v>366.3417</v>
      </c>
      <c r="P39" s="38">
        <v>210.8319</v>
      </c>
      <c r="Q39" s="38"/>
      <c r="R39" s="38">
        <v>0</v>
      </c>
      <c r="S39" s="43">
        <v>0</v>
      </c>
      <c r="T39" s="43">
        <v>1.4519</v>
      </c>
      <c r="U39" s="43">
        <v>10.9799</v>
      </c>
      <c r="V39" s="43">
        <v>0</v>
      </c>
      <c r="W39" s="43">
        <v>13.1221</v>
      </c>
      <c r="X39" s="43">
        <v>5.3059</v>
      </c>
      <c r="Y39" s="38">
        <f t="shared" si="1"/>
        <v>925.896</v>
      </c>
      <c r="Z39" s="38">
        <v>0.437</v>
      </c>
      <c r="AA39" s="38">
        <v>0</v>
      </c>
      <c r="AB39" s="38">
        <v>0</v>
      </c>
      <c r="AC39" s="38">
        <v>0</v>
      </c>
      <c r="AD39" s="38">
        <v>0</v>
      </c>
      <c r="AE39" s="38">
        <v>5.3629</v>
      </c>
      <c r="AF39" s="38">
        <v>0</v>
      </c>
      <c r="AG39" s="38">
        <v>0</v>
      </c>
      <c r="AH39" s="38">
        <v>772.3275</v>
      </c>
      <c r="AI39" s="38">
        <f t="shared" si="2"/>
        <v>1.2883</v>
      </c>
      <c r="AJ39" s="38">
        <f t="shared" si="3"/>
        <v>1705.3117</v>
      </c>
      <c r="AK39" s="38">
        <v>4751.823958604</v>
      </c>
      <c r="AL39" s="38">
        <v>1248.79077141257</v>
      </c>
      <c r="AM39" s="38">
        <v>1610.57277068736</v>
      </c>
      <c r="AN39" s="38">
        <v>63.512756884116</v>
      </c>
      <c r="AO39" s="38">
        <v>1418.80642023796</v>
      </c>
      <c r="AP39" s="38">
        <v>331.25797300861</v>
      </c>
      <c r="AQ39" s="38">
        <v>6.641257238999</v>
      </c>
      <c r="AR39" s="38">
        <v>11.399599056177</v>
      </c>
      <c r="AS39" s="38">
        <v>0</v>
      </c>
      <c r="AT39" s="38">
        <v>10.863673614149</v>
      </c>
      <c r="AU39" s="38">
        <v>871.678226992722</v>
      </c>
      <c r="AV39" s="38">
        <f t="shared" si="6"/>
        <v>9431.40590807362</v>
      </c>
      <c r="AW39" s="39">
        <v>-83.3001293016514</v>
      </c>
      <c r="AX39" s="46"/>
      <c r="AY39" s="46"/>
      <c r="AZ39" s="46"/>
      <c r="BA39" s="46"/>
      <c r="BB39" s="38">
        <v>13.3054</v>
      </c>
      <c r="BC39" s="38">
        <v>20.1481</v>
      </c>
      <c r="BD39" s="38">
        <v>21.4049</v>
      </c>
      <c r="BE39" s="38">
        <v>1.3129</v>
      </c>
      <c r="BF39" s="38">
        <v>3.3119</v>
      </c>
      <c r="BG39" s="38">
        <v>41.37</v>
      </c>
      <c r="BH39" s="38">
        <v>0</v>
      </c>
      <c r="BI39" s="38">
        <v>0</v>
      </c>
      <c r="BJ39" s="38">
        <v>0</v>
      </c>
      <c r="BK39" s="38">
        <v>0</v>
      </c>
      <c r="BL39" s="38"/>
      <c r="BM39" s="38">
        <v>0</v>
      </c>
      <c r="BN39" s="38">
        <v>0</v>
      </c>
      <c r="BO39" s="38">
        <v>0</v>
      </c>
      <c r="BP39" s="38">
        <v>0</v>
      </c>
      <c r="BQ39" s="38">
        <v>0.1508</v>
      </c>
      <c r="BR39" s="38">
        <v>0</v>
      </c>
      <c r="BS39" s="38">
        <v>0.0033</v>
      </c>
      <c r="BT39" s="38">
        <v>0.0017</v>
      </c>
      <c r="BU39" s="38">
        <v>0.001</v>
      </c>
      <c r="BV39" s="38">
        <v>0.0002</v>
      </c>
      <c r="BW39" s="38"/>
      <c r="BX39" s="38">
        <v>0.0034</v>
      </c>
      <c r="BY39" s="38">
        <v>0.0035</v>
      </c>
      <c r="BZ39" s="38">
        <v>1.1244</v>
      </c>
      <c r="CA39" s="38">
        <v>0</v>
      </c>
      <c r="CB39" s="38">
        <v>0</v>
      </c>
      <c r="CC39" s="38">
        <v>0</v>
      </c>
      <c r="CD39" s="50"/>
      <c r="CE39" s="55">
        <f t="shared" si="8"/>
        <v>3825.10972930165</v>
      </c>
      <c r="CF39" s="50"/>
      <c r="CG39" s="50"/>
      <c r="CH39" s="50"/>
    </row>
    <row r="40" ht="22.6" customHeight="1" spans="50:86">
      <c r="AX40" s="47">
        <v>45656</v>
      </c>
      <c r="AY40" s="48">
        <v>4587.84758081442</v>
      </c>
      <c r="AZ40" s="49">
        <v>4651.108373072</v>
      </c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6"/>
      <c r="CF40" s="50"/>
      <c r="CG40" s="50"/>
      <c r="CH40" s="50"/>
    </row>
    <row r="41" ht="22.6" customHeight="1" spans="51:86">
      <c r="AY41" s="13"/>
      <c r="CE41" s="56"/>
      <c r="CF41" s="50"/>
      <c r="CG41" s="50"/>
      <c r="CH41" s="50"/>
    </row>
    <row r="42" ht="14.3" customHeight="1" spans="83:86">
      <c r="CE42" s="56"/>
      <c r="CF42" s="50"/>
      <c r="CG42" s="50"/>
      <c r="CH42" s="50"/>
    </row>
    <row r="43" ht="14.3" customHeight="1" spans="60:86">
      <c r="BH43" s="13"/>
      <c r="BI43" s="13"/>
      <c r="BJ43" s="13"/>
      <c r="BK43" s="13"/>
      <c r="CE43" s="56"/>
      <c r="CF43" s="50"/>
      <c r="CG43" s="50"/>
      <c r="CH43" s="50"/>
    </row>
  </sheetData>
  <mergeCells count="36">
    <mergeCell ref="A1:K1"/>
    <mergeCell ref="A2:C2"/>
    <mergeCell ref="D3:L3"/>
    <mergeCell ref="M3:AJ3"/>
    <mergeCell ref="AK3:AW3"/>
    <mergeCell ref="BB3:BG3"/>
    <mergeCell ref="BH3:CC3"/>
    <mergeCell ref="M4:Y4"/>
    <mergeCell ref="AA4:AF4"/>
    <mergeCell ref="BB4:BG4"/>
    <mergeCell ref="BH4:BR4"/>
    <mergeCell ref="BS4:CC4"/>
    <mergeCell ref="A3:A5"/>
    <mergeCell ref="B3:B5"/>
    <mergeCell ref="C3:C5"/>
    <mergeCell ref="D4:D5"/>
    <mergeCell ref="E4:E5"/>
    <mergeCell ref="J4:J5"/>
    <mergeCell ref="K4:K5"/>
    <mergeCell ref="L4:L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CE3:CE5"/>
  </mergeCells>
  <pageMargins left="0.75" right="0.75" top="0.270000010728836" bottom="0.270000010728836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4"/>
  <sheetViews>
    <sheetView workbookViewId="0">
      <selection activeCell="A1" sqref="A1:N1"/>
    </sheetView>
  </sheetViews>
  <sheetFormatPr defaultColWidth="10" defaultRowHeight="13.5"/>
  <cols>
    <col min="1" max="1" width="13.3333333333333" customWidth="1"/>
    <col min="2" max="2" width="21.5416666666667" customWidth="1"/>
    <col min="3" max="6" width="18.4666666666667" customWidth="1"/>
    <col min="7" max="14" width="13.3333333333333" customWidth="1"/>
    <col min="15" max="15" width="40.275" customWidth="1"/>
    <col min="16" max="18" width="12.8166666666667" customWidth="1"/>
    <col min="19" max="21" width="16.4083333333333" customWidth="1"/>
  </cols>
  <sheetData>
    <row r="1" ht="22.75" customHeight="1" spans="1:21">
      <c r="A1" s="15" t="s">
        <v>238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3"/>
      <c r="P1" s="13"/>
      <c r="Q1" s="13"/>
      <c r="R1" s="13"/>
      <c r="S1" s="13"/>
      <c r="T1" s="13"/>
      <c r="U1" s="13"/>
    </row>
    <row r="2" ht="17.05" customHeight="1" spans="1:21">
      <c r="A2" s="16" t="s">
        <v>46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3"/>
      <c r="P2" s="13"/>
      <c r="Q2" s="13"/>
      <c r="R2" s="13"/>
      <c r="S2" s="13"/>
      <c r="T2" s="13"/>
      <c r="U2" s="13"/>
    </row>
    <row r="3" ht="23.5" customHeight="1" spans="1:15">
      <c r="A3" s="17" t="s">
        <v>239</v>
      </c>
      <c r="B3" s="17" t="s">
        <v>240</v>
      </c>
      <c r="C3" s="17" t="s">
        <v>241</v>
      </c>
      <c r="D3" s="17" t="s">
        <v>242</v>
      </c>
      <c r="E3" s="17" t="s">
        <v>243</v>
      </c>
      <c r="F3" s="17" t="s">
        <v>244</v>
      </c>
      <c r="G3" s="17" t="s">
        <v>245</v>
      </c>
      <c r="H3" s="17" t="s">
        <v>246</v>
      </c>
      <c r="I3" s="17" t="s">
        <v>247</v>
      </c>
      <c r="J3" s="17" t="s">
        <v>248</v>
      </c>
      <c r="K3" s="17" t="s">
        <v>249</v>
      </c>
      <c r="L3" s="17" t="s">
        <v>250</v>
      </c>
      <c r="M3" s="17" t="s">
        <v>251</v>
      </c>
      <c r="N3" s="17" t="s">
        <v>252</v>
      </c>
      <c r="O3" s="17" t="s">
        <v>253</v>
      </c>
    </row>
    <row r="4" ht="17.05" customHeight="1" spans="1:15">
      <c r="A4" s="18" t="s">
        <v>183</v>
      </c>
      <c r="B4" s="18"/>
      <c r="C4" s="18"/>
      <c r="D4" s="18"/>
      <c r="E4" s="18"/>
      <c r="F4" s="18"/>
      <c r="G4" s="19">
        <f>SUM(G6:G294)</f>
        <v>4708.6902</v>
      </c>
      <c r="H4" s="19">
        <f>SUM(H6:H294)</f>
        <v>219748.1172</v>
      </c>
      <c r="I4" s="19">
        <f>SUM(I6:I294)</f>
        <v>4635.9616</v>
      </c>
      <c r="J4" s="19">
        <f>SUM(J6:J294)</f>
        <v>72.7286</v>
      </c>
      <c r="K4" s="19"/>
      <c r="L4" s="19"/>
      <c r="M4" s="19">
        <f>SUM(M6:M294)</f>
        <v>215384.6535</v>
      </c>
      <c r="N4" s="19">
        <f>SUM(N6:N294)</f>
        <v>215384.6535</v>
      </c>
      <c r="O4" s="26"/>
    </row>
    <row r="5" ht="17.05" customHeight="1" spans="1:15">
      <c r="A5" s="20" t="s">
        <v>254</v>
      </c>
      <c r="B5" s="20"/>
      <c r="C5" s="20"/>
      <c r="D5" s="20"/>
      <c r="E5" s="20"/>
      <c r="F5" s="20"/>
      <c r="G5" s="21">
        <v>107.64</v>
      </c>
      <c r="H5" s="21">
        <v>5594.75</v>
      </c>
      <c r="I5" s="21">
        <v>100.8532</v>
      </c>
      <c r="J5" s="23">
        <f t="shared" ref="J5:J68" si="0">G5-I5</f>
        <v>6.7868</v>
      </c>
      <c r="K5" s="23"/>
      <c r="L5" s="27"/>
      <c r="M5" s="21">
        <v>5384.1164</v>
      </c>
      <c r="N5" s="21">
        <v>5384.1164</v>
      </c>
      <c r="O5" s="23"/>
    </row>
    <row r="6" ht="21.05" customHeight="1" spans="1:15">
      <c r="A6" s="21" t="s">
        <v>255</v>
      </c>
      <c r="B6" s="22" t="s">
        <v>256</v>
      </c>
      <c r="C6" s="22" t="s">
        <v>227</v>
      </c>
      <c r="D6" s="22" t="s">
        <v>257</v>
      </c>
      <c r="E6" s="22" t="s">
        <v>258</v>
      </c>
      <c r="F6" s="22" t="s">
        <v>259</v>
      </c>
      <c r="G6" s="21">
        <v>0</v>
      </c>
      <c r="H6" s="21">
        <v>0</v>
      </c>
      <c r="I6" s="21">
        <v>0</v>
      </c>
      <c r="J6" s="23">
        <f t="shared" si="0"/>
        <v>0</v>
      </c>
      <c r="K6" s="23" t="s">
        <v>260</v>
      </c>
      <c r="L6" s="27" t="s">
        <v>261</v>
      </c>
      <c r="M6" s="21">
        <v>0</v>
      </c>
      <c r="N6" s="21">
        <v>0</v>
      </c>
      <c r="O6" s="28"/>
    </row>
    <row r="7" ht="21.05" customHeight="1" spans="1:15">
      <c r="A7" s="21"/>
      <c r="B7" s="22"/>
      <c r="C7" s="22"/>
      <c r="D7" s="22" t="s">
        <v>262</v>
      </c>
      <c r="E7" s="22" t="s">
        <v>258</v>
      </c>
      <c r="F7" s="22" t="s">
        <v>259</v>
      </c>
      <c r="G7" s="21">
        <v>0</v>
      </c>
      <c r="H7" s="21">
        <v>0</v>
      </c>
      <c r="I7" s="21">
        <v>0</v>
      </c>
      <c r="J7" s="23">
        <f t="shared" si="0"/>
        <v>0</v>
      </c>
      <c r="K7" s="23" t="s">
        <v>260</v>
      </c>
      <c r="L7" s="27" t="s">
        <v>261</v>
      </c>
      <c r="M7" s="21">
        <v>0</v>
      </c>
      <c r="N7" s="21">
        <v>0</v>
      </c>
      <c r="O7" s="28"/>
    </row>
    <row r="8" ht="21.05" customHeight="1" spans="1:15">
      <c r="A8" s="21"/>
      <c r="B8" s="22"/>
      <c r="C8" s="22"/>
      <c r="D8" s="22" t="s">
        <v>263</v>
      </c>
      <c r="E8" s="22" t="s">
        <v>258</v>
      </c>
      <c r="F8" s="22" t="s">
        <v>259</v>
      </c>
      <c r="G8" s="21">
        <v>0</v>
      </c>
      <c r="H8" s="21">
        <v>0</v>
      </c>
      <c r="I8" s="21">
        <v>0</v>
      </c>
      <c r="J8" s="23">
        <f t="shared" si="0"/>
        <v>0</v>
      </c>
      <c r="K8" s="23" t="s">
        <v>260</v>
      </c>
      <c r="L8" s="27" t="s">
        <v>261</v>
      </c>
      <c r="M8" s="21">
        <v>0</v>
      </c>
      <c r="N8" s="21">
        <v>0</v>
      </c>
      <c r="O8" s="28"/>
    </row>
    <row r="9" ht="21.05" customHeight="1" spans="1:15">
      <c r="A9" s="21"/>
      <c r="B9" s="22"/>
      <c r="C9" s="22"/>
      <c r="D9" s="22" t="s">
        <v>264</v>
      </c>
      <c r="E9" s="22" t="s">
        <v>258</v>
      </c>
      <c r="F9" s="22" t="s">
        <v>259</v>
      </c>
      <c r="G9" s="21">
        <v>0</v>
      </c>
      <c r="H9" s="21">
        <v>0</v>
      </c>
      <c r="I9" s="21">
        <v>0</v>
      </c>
      <c r="J9" s="23">
        <f t="shared" si="0"/>
        <v>0</v>
      </c>
      <c r="K9" s="23" t="s">
        <v>260</v>
      </c>
      <c r="L9" s="27" t="s">
        <v>261</v>
      </c>
      <c r="M9" s="21">
        <v>0</v>
      </c>
      <c r="N9" s="21">
        <v>0</v>
      </c>
      <c r="O9" s="28"/>
    </row>
    <row r="10" ht="21.05" customHeight="1" spans="1:15">
      <c r="A10" s="21"/>
      <c r="B10" s="22"/>
      <c r="C10" s="22"/>
      <c r="D10" s="22" t="s">
        <v>265</v>
      </c>
      <c r="E10" s="22" t="s">
        <v>258</v>
      </c>
      <c r="F10" s="22" t="s">
        <v>259</v>
      </c>
      <c r="G10" s="21">
        <v>0</v>
      </c>
      <c r="H10" s="21">
        <v>0</v>
      </c>
      <c r="I10" s="21">
        <v>0</v>
      </c>
      <c r="J10" s="23">
        <f t="shared" si="0"/>
        <v>0</v>
      </c>
      <c r="K10" s="23" t="s">
        <v>260</v>
      </c>
      <c r="L10" s="27" t="s">
        <v>261</v>
      </c>
      <c r="M10" s="21">
        <v>0</v>
      </c>
      <c r="N10" s="21">
        <v>0</v>
      </c>
      <c r="O10" s="28"/>
    </row>
    <row r="11" ht="21.05" customHeight="1" spans="1:15">
      <c r="A11" s="21"/>
      <c r="B11" s="22"/>
      <c r="C11" s="22"/>
      <c r="D11" s="22" t="s">
        <v>266</v>
      </c>
      <c r="E11" s="22" t="s">
        <v>258</v>
      </c>
      <c r="F11" s="22" t="s">
        <v>259</v>
      </c>
      <c r="G11" s="21">
        <v>0</v>
      </c>
      <c r="H11" s="21">
        <v>0</v>
      </c>
      <c r="I11" s="21">
        <v>0</v>
      </c>
      <c r="J11" s="23">
        <f t="shared" si="0"/>
        <v>0</v>
      </c>
      <c r="K11" s="23" t="s">
        <v>260</v>
      </c>
      <c r="L11" s="27" t="s">
        <v>261</v>
      </c>
      <c r="M11" s="21">
        <v>0</v>
      </c>
      <c r="N11" s="21">
        <v>0</v>
      </c>
      <c r="O11" s="28"/>
    </row>
    <row r="12" ht="21.05" customHeight="1" spans="1:15">
      <c r="A12" s="21"/>
      <c r="B12" s="22"/>
      <c r="C12" s="22"/>
      <c r="D12" s="22" t="s">
        <v>267</v>
      </c>
      <c r="E12" s="22" t="s">
        <v>258</v>
      </c>
      <c r="F12" s="22" t="s">
        <v>259</v>
      </c>
      <c r="G12" s="21">
        <v>0</v>
      </c>
      <c r="H12" s="21">
        <v>0</v>
      </c>
      <c r="I12" s="21">
        <v>0</v>
      </c>
      <c r="J12" s="23">
        <f t="shared" si="0"/>
        <v>0</v>
      </c>
      <c r="K12" s="23" t="s">
        <v>260</v>
      </c>
      <c r="L12" s="27" t="s">
        <v>261</v>
      </c>
      <c r="M12" s="21">
        <v>0</v>
      </c>
      <c r="N12" s="21">
        <v>0</v>
      </c>
      <c r="O12" s="28"/>
    </row>
    <row r="13" ht="21.05" customHeight="1" spans="1:15">
      <c r="A13" s="21"/>
      <c r="B13" s="22"/>
      <c r="C13" s="22"/>
      <c r="D13" s="22" t="s">
        <v>268</v>
      </c>
      <c r="E13" s="22" t="s">
        <v>258</v>
      </c>
      <c r="F13" s="22" t="s">
        <v>259</v>
      </c>
      <c r="G13" s="21">
        <v>0</v>
      </c>
      <c r="H13" s="21">
        <v>0</v>
      </c>
      <c r="I13" s="21">
        <v>0</v>
      </c>
      <c r="J13" s="23">
        <f t="shared" si="0"/>
        <v>0</v>
      </c>
      <c r="K13" s="23" t="s">
        <v>260</v>
      </c>
      <c r="L13" s="27" t="s">
        <v>261</v>
      </c>
      <c r="M13" s="21">
        <v>0</v>
      </c>
      <c r="N13" s="21">
        <v>0</v>
      </c>
      <c r="O13" s="28"/>
    </row>
    <row r="14" ht="21.05" customHeight="1" spans="1:15">
      <c r="A14" s="21"/>
      <c r="B14" s="22"/>
      <c r="C14" s="22"/>
      <c r="D14" s="22" t="s">
        <v>269</v>
      </c>
      <c r="E14" s="22" t="s">
        <v>258</v>
      </c>
      <c r="F14" s="22" t="s">
        <v>259</v>
      </c>
      <c r="G14" s="21">
        <v>0</v>
      </c>
      <c r="H14" s="21">
        <v>0</v>
      </c>
      <c r="I14" s="21">
        <v>0</v>
      </c>
      <c r="J14" s="23">
        <f t="shared" si="0"/>
        <v>0</v>
      </c>
      <c r="K14" s="23" t="s">
        <v>260</v>
      </c>
      <c r="L14" s="27" t="s">
        <v>261</v>
      </c>
      <c r="M14" s="21">
        <v>0</v>
      </c>
      <c r="N14" s="21">
        <v>0</v>
      </c>
      <c r="O14" s="28"/>
    </row>
    <row r="15" ht="21.05" customHeight="1" spans="1:15">
      <c r="A15" s="21"/>
      <c r="B15" s="22"/>
      <c r="C15" s="22"/>
      <c r="D15" s="22" t="s">
        <v>270</v>
      </c>
      <c r="E15" s="22" t="s">
        <v>258</v>
      </c>
      <c r="F15" s="22" t="s">
        <v>259</v>
      </c>
      <c r="G15" s="21">
        <v>18</v>
      </c>
      <c r="H15" s="21">
        <v>768</v>
      </c>
      <c r="I15" s="21">
        <v>13.3054</v>
      </c>
      <c r="J15" s="23">
        <f t="shared" si="0"/>
        <v>4.6946</v>
      </c>
      <c r="K15" s="23" t="s">
        <v>271</v>
      </c>
      <c r="L15" s="27" t="s">
        <v>272</v>
      </c>
      <c r="M15" s="21">
        <v>602.2012</v>
      </c>
      <c r="N15" s="21">
        <v>602.2012</v>
      </c>
      <c r="O15" s="28" t="s">
        <v>273</v>
      </c>
    </row>
    <row r="16" ht="21.05" customHeight="1" spans="1:15">
      <c r="A16" s="21"/>
      <c r="B16" s="22"/>
      <c r="C16" s="22"/>
      <c r="D16" s="22" t="s">
        <v>274</v>
      </c>
      <c r="E16" s="22" t="s">
        <v>258</v>
      </c>
      <c r="F16" s="22" t="s">
        <v>259</v>
      </c>
      <c r="G16" s="21">
        <v>0</v>
      </c>
      <c r="H16" s="21">
        <v>0</v>
      </c>
      <c r="I16" s="21">
        <v>0</v>
      </c>
      <c r="J16" s="23">
        <f t="shared" si="0"/>
        <v>0</v>
      </c>
      <c r="K16" s="23" t="s">
        <v>260</v>
      </c>
      <c r="L16" s="27" t="s">
        <v>261</v>
      </c>
      <c r="M16" s="21">
        <v>0</v>
      </c>
      <c r="N16" s="21">
        <v>0</v>
      </c>
      <c r="O16" s="28"/>
    </row>
    <row r="17" ht="21.05" customHeight="1" spans="1:15">
      <c r="A17" s="21"/>
      <c r="B17" s="22"/>
      <c r="C17" s="22" t="s">
        <v>234</v>
      </c>
      <c r="D17" s="22" t="s">
        <v>275</v>
      </c>
      <c r="E17" s="22" t="s">
        <v>276</v>
      </c>
      <c r="F17" s="22" t="s">
        <v>259</v>
      </c>
      <c r="G17" s="21">
        <v>0</v>
      </c>
      <c r="H17" s="21">
        <v>0</v>
      </c>
      <c r="I17" s="21">
        <v>0</v>
      </c>
      <c r="J17" s="23">
        <f t="shared" si="0"/>
        <v>0</v>
      </c>
      <c r="K17" s="23" t="s">
        <v>260</v>
      </c>
      <c r="L17" s="27" t="s">
        <v>261</v>
      </c>
      <c r="M17" s="21">
        <v>0</v>
      </c>
      <c r="N17" s="21">
        <v>0</v>
      </c>
      <c r="O17" s="28"/>
    </row>
    <row r="18" ht="21.05" customHeight="1" spans="1:15">
      <c r="A18" s="21"/>
      <c r="B18" s="22"/>
      <c r="C18" s="22"/>
      <c r="D18" s="22" t="s">
        <v>277</v>
      </c>
      <c r="E18" s="22" t="s">
        <v>276</v>
      </c>
      <c r="F18" s="22" t="s">
        <v>259</v>
      </c>
      <c r="G18" s="21">
        <v>3.3</v>
      </c>
      <c r="H18" s="21">
        <v>505</v>
      </c>
      <c r="I18" s="21">
        <v>3.3161</v>
      </c>
      <c r="J18" s="23">
        <f t="shared" si="0"/>
        <v>-0.0161000000000002</v>
      </c>
      <c r="K18" s="23" t="s">
        <v>278</v>
      </c>
      <c r="L18" s="27" t="s">
        <v>261</v>
      </c>
      <c r="M18" s="21">
        <v>505.9136</v>
      </c>
      <c r="N18" s="21">
        <v>505.9136</v>
      </c>
      <c r="O18" s="28"/>
    </row>
    <row r="19" ht="21.05" customHeight="1" spans="1:15">
      <c r="A19" s="21"/>
      <c r="B19" s="22"/>
      <c r="C19" s="22"/>
      <c r="D19" s="22" t="s">
        <v>279</v>
      </c>
      <c r="E19" s="22" t="s">
        <v>276</v>
      </c>
      <c r="F19" s="22" t="s">
        <v>259</v>
      </c>
      <c r="G19" s="21">
        <v>16.4</v>
      </c>
      <c r="H19" s="21">
        <v>824.7</v>
      </c>
      <c r="I19" s="21">
        <v>16.832</v>
      </c>
      <c r="J19" s="23">
        <f t="shared" si="0"/>
        <v>-0.432000000000002</v>
      </c>
      <c r="K19" s="23" t="s">
        <v>280</v>
      </c>
      <c r="L19" s="27" t="s">
        <v>272</v>
      </c>
      <c r="M19" s="21">
        <v>838.2672</v>
      </c>
      <c r="N19" s="21">
        <v>838.2672</v>
      </c>
      <c r="O19" s="28" t="s">
        <v>281</v>
      </c>
    </row>
    <row r="20" ht="21.05" customHeight="1" spans="1:15">
      <c r="A20" s="21"/>
      <c r="B20" s="22"/>
      <c r="C20" s="22" t="s">
        <v>235</v>
      </c>
      <c r="D20" s="22" t="s">
        <v>282</v>
      </c>
      <c r="E20" s="22" t="s">
        <v>276</v>
      </c>
      <c r="F20" s="22" t="s">
        <v>259</v>
      </c>
      <c r="G20" s="21">
        <v>21.4</v>
      </c>
      <c r="H20" s="21">
        <v>1239.66</v>
      </c>
      <c r="I20" s="21">
        <v>21.4049</v>
      </c>
      <c r="J20" s="23">
        <f t="shared" si="0"/>
        <v>-0.00490000000000279</v>
      </c>
      <c r="K20" s="23" t="s">
        <v>283</v>
      </c>
      <c r="L20" s="27" t="s">
        <v>261</v>
      </c>
      <c r="M20" s="21">
        <v>1239.7252</v>
      </c>
      <c r="N20" s="21">
        <v>1239.7252</v>
      </c>
      <c r="O20" s="28"/>
    </row>
    <row r="21" ht="21.05" customHeight="1" spans="1:15">
      <c r="A21" s="21"/>
      <c r="B21" s="22"/>
      <c r="C21" s="22" t="s">
        <v>233</v>
      </c>
      <c r="D21" s="22" t="s">
        <v>284</v>
      </c>
      <c r="E21" s="22" t="s">
        <v>258</v>
      </c>
      <c r="F21" s="22" t="s">
        <v>259</v>
      </c>
      <c r="G21" s="21">
        <v>2.2</v>
      </c>
      <c r="H21" s="21">
        <v>116</v>
      </c>
      <c r="I21" s="21">
        <v>1.3129</v>
      </c>
      <c r="J21" s="23">
        <f t="shared" si="0"/>
        <v>0.8871</v>
      </c>
      <c r="K21" s="23" t="s">
        <v>285</v>
      </c>
      <c r="L21" s="27" t="s">
        <v>272</v>
      </c>
      <c r="M21" s="21">
        <v>92.0409</v>
      </c>
      <c r="N21" s="21">
        <v>92.0409</v>
      </c>
      <c r="O21" s="28" t="s">
        <v>273</v>
      </c>
    </row>
    <row r="22" ht="21.05" customHeight="1" spans="1:15">
      <c r="A22" s="21"/>
      <c r="B22" s="22"/>
      <c r="C22" s="22"/>
      <c r="D22" s="22" t="s">
        <v>286</v>
      </c>
      <c r="E22" s="22" t="s">
        <v>258</v>
      </c>
      <c r="F22" s="22" t="s">
        <v>259</v>
      </c>
      <c r="G22" s="21">
        <v>0</v>
      </c>
      <c r="H22" s="21">
        <v>0</v>
      </c>
      <c r="I22" s="21">
        <v>0</v>
      </c>
      <c r="J22" s="23">
        <f t="shared" si="0"/>
        <v>0</v>
      </c>
      <c r="K22" s="23" t="s">
        <v>260</v>
      </c>
      <c r="L22" s="27" t="s">
        <v>261</v>
      </c>
      <c r="M22" s="21">
        <v>0</v>
      </c>
      <c r="N22" s="21">
        <v>0</v>
      </c>
      <c r="O22" s="28"/>
    </row>
    <row r="23" ht="21.05" customHeight="1" spans="1:15">
      <c r="A23" s="21"/>
      <c r="B23" s="22"/>
      <c r="C23" s="22" t="s">
        <v>236</v>
      </c>
      <c r="D23" s="22" t="s">
        <v>287</v>
      </c>
      <c r="E23" s="22" t="s">
        <v>258</v>
      </c>
      <c r="F23" s="22" t="s">
        <v>259</v>
      </c>
      <c r="G23" s="21">
        <v>5</v>
      </c>
      <c r="H23" s="21">
        <v>220.8</v>
      </c>
      <c r="I23" s="21">
        <v>3.3119</v>
      </c>
      <c r="J23" s="23">
        <f t="shared" si="0"/>
        <v>1.6881</v>
      </c>
      <c r="K23" s="23" t="s">
        <v>288</v>
      </c>
      <c r="L23" s="27" t="s">
        <v>272</v>
      </c>
      <c r="M23" s="21">
        <v>179.1933</v>
      </c>
      <c r="N23" s="21">
        <v>179.1933</v>
      </c>
      <c r="O23" s="28" t="s">
        <v>273</v>
      </c>
    </row>
    <row r="24" ht="21.05" customHeight="1" spans="1:15">
      <c r="A24" s="21"/>
      <c r="B24" s="22"/>
      <c r="C24" s="22" t="s">
        <v>237</v>
      </c>
      <c r="D24" s="22" t="s">
        <v>289</v>
      </c>
      <c r="E24" s="22" t="s">
        <v>276</v>
      </c>
      <c r="F24" s="22" t="s">
        <v>259</v>
      </c>
      <c r="G24" s="21">
        <v>41.34</v>
      </c>
      <c r="H24" s="21">
        <v>1920.59</v>
      </c>
      <c r="I24" s="21">
        <v>41.37</v>
      </c>
      <c r="J24" s="23">
        <f t="shared" si="0"/>
        <v>-0.029999999999994</v>
      </c>
      <c r="K24" s="23" t="s">
        <v>290</v>
      </c>
      <c r="L24" s="27" t="s">
        <v>261</v>
      </c>
      <c r="M24" s="21">
        <v>1926.775</v>
      </c>
      <c r="N24" s="21">
        <v>1926.775</v>
      </c>
      <c r="O24" s="28"/>
    </row>
    <row r="25" ht="21.05" customHeight="1" spans="1:15">
      <c r="A25" s="21"/>
      <c r="B25" s="22"/>
      <c r="C25" s="22"/>
      <c r="D25" s="22" t="s">
        <v>291</v>
      </c>
      <c r="E25" s="22" t="s">
        <v>276</v>
      </c>
      <c r="F25" s="22" t="s">
        <v>259</v>
      </c>
      <c r="G25" s="21">
        <v>0</v>
      </c>
      <c r="H25" s="21">
        <v>0</v>
      </c>
      <c r="I25" s="21">
        <v>0</v>
      </c>
      <c r="J25" s="23">
        <f t="shared" si="0"/>
        <v>0</v>
      </c>
      <c r="K25" s="23" t="s">
        <v>260</v>
      </c>
      <c r="L25" s="27" t="s">
        <v>261</v>
      </c>
      <c r="M25" s="21">
        <v>0</v>
      </c>
      <c r="N25" s="21">
        <v>0</v>
      </c>
      <c r="O25" s="28"/>
    </row>
    <row r="26" ht="25.6" customHeight="1" spans="1:15">
      <c r="A26" s="10" t="s">
        <v>292</v>
      </c>
      <c r="B26" s="10" t="s">
        <v>293</v>
      </c>
      <c r="C26" s="10" t="s">
        <v>294</v>
      </c>
      <c r="D26" s="10" t="s">
        <v>295</v>
      </c>
      <c r="E26" s="10" t="s">
        <v>296</v>
      </c>
      <c r="F26" s="10" t="s">
        <v>297</v>
      </c>
      <c r="G26" s="24">
        <v>0.5</v>
      </c>
      <c r="H26" s="24">
        <v>247.8</v>
      </c>
      <c r="I26" s="24">
        <v>0.5626</v>
      </c>
      <c r="J26" s="25">
        <f t="shared" si="0"/>
        <v>-0.0626</v>
      </c>
      <c r="K26" s="25" t="s">
        <v>298</v>
      </c>
      <c r="L26" s="29" t="s">
        <v>272</v>
      </c>
      <c r="M26" s="24">
        <v>230.1575</v>
      </c>
      <c r="N26" s="24">
        <v>230.1575</v>
      </c>
      <c r="O26" s="30" t="s">
        <v>299</v>
      </c>
    </row>
    <row r="27" ht="21.05" customHeight="1" spans="1:15">
      <c r="A27" s="10"/>
      <c r="B27" s="10" t="s">
        <v>300</v>
      </c>
      <c r="C27" s="10" t="s">
        <v>301</v>
      </c>
      <c r="D27" s="10" t="s">
        <v>302</v>
      </c>
      <c r="E27" s="10" t="s">
        <v>276</v>
      </c>
      <c r="F27" s="10" t="s">
        <v>297</v>
      </c>
      <c r="G27" s="24">
        <v>10.6</v>
      </c>
      <c r="H27" s="24">
        <v>654.5</v>
      </c>
      <c r="I27" s="24">
        <v>10.6063</v>
      </c>
      <c r="J27" s="25">
        <f t="shared" si="0"/>
        <v>-0.00629999999999953</v>
      </c>
      <c r="K27" s="25" t="s">
        <v>303</v>
      </c>
      <c r="L27" s="29" t="s">
        <v>261</v>
      </c>
      <c r="M27" s="24">
        <v>654.5838</v>
      </c>
      <c r="N27" s="24">
        <v>654.5838</v>
      </c>
      <c r="O27" s="30"/>
    </row>
    <row r="28" ht="21.05" customHeight="1" spans="1:15">
      <c r="A28" s="10"/>
      <c r="B28" s="10"/>
      <c r="C28" s="10" t="s">
        <v>304</v>
      </c>
      <c r="D28" s="10" t="s">
        <v>305</v>
      </c>
      <c r="E28" s="10" t="s">
        <v>296</v>
      </c>
      <c r="F28" s="10" t="s">
        <v>297</v>
      </c>
      <c r="G28" s="24">
        <v>0</v>
      </c>
      <c r="H28" s="24">
        <v>72.55</v>
      </c>
      <c r="I28" s="24">
        <v>0</v>
      </c>
      <c r="J28" s="25">
        <f t="shared" si="0"/>
        <v>0</v>
      </c>
      <c r="K28" s="25" t="s">
        <v>260</v>
      </c>
      <c r="L28" s="29" t="s">
        <v>261</v>
      </c>
      <c r="M28" s="24">
        <v>71.073</v>
      </c>
      <c r="N28" s="24">
        <v>71.073</v>
      </c>
      <c r="O28" s="30"/>
    </row>
    <row r="29" ht="21.05" customHeight="1" spans="1:15">
      <c r="A29" s="10"/>
      <c r="B29" s="10"/>
      <c r="C29" s="10" t="s">
        <v>306</v>
      </c>
      <c r="D29" s="10" t="s">
        <v>307</v>
      </c>
      <c r="E29" s="10" t="s">
        <v>296</v>
      </c>
      <c r="F29" s="10" t="s">
        <v>297</v>
      </c>
      <c r="G29" s="24">
        <v>71</v>
      </c>
      <c r="H29" s="24">
        <v>7304.7</v>
      </c>
      <c r="I29" s="24">
        <v>70.993</v>
      </c>
      <c r="J29" s="25">
        <f t="shared" si="0"/>
        <v>0.007000000000005</v>
      </c>
      <c r="K29" s="25" t="s">
        <v>308</v>
      </c>
      <c r="L29" s="29" t="s">
        <v>261</v>
      </c>
      <c r="M29" s="24">
        <v>7262.2868</v>
      </c>
      <c r="N29" s="24">
        <v>7262.2868</v>
      </c>
      <c r="O29" s="30"/>
    </row>
    <row r="30" ht="21.05" customHeight="1" spans="1:15">
      <c r="A30" s="10"/>
      <c r="B30" s="10"/>
      <c r="C30" s="10" t="s">
        <v>309</v>
      </c>
      <c r="D30" s="10" t="s">
        <v>310</v>
      </c>
      <c r="E30" s="10" t="s">
        <v>296</v>
      </c>
      <c r="F30" s="10" t="s">
        <v>297</v>
      </c>
      <c r="G30" s="24">
        <v>28</v>
      </c>
      <c r="H30" s="24">
        <v>1029</v>
      </c>
      <c r="I30" s="24">
        <v>26.046</v>
      </c>
      <c r="J30" s="25">
        <f t="shared" si="0"/>
        <v>1.954</v>
      </c>
      <c r="K30" s="25" t="s">
        <v>311</v>
      </c>
      <c r="L30" s="29" t="s">
        <v>272</v>
      </c>
      <c r="M30" s="24">
        <v>1019.995</v>
      </c>
      <c r="N30" s="24">
        <v>1019.995</v>
      </c>
      <c r="O30" s="30" t="s">
        <v>273</v>
      </c>
    </row>
    <row r="31" ht="21.05" customHeight="1" spans="1:15">
      <c r="A31" s="10"/>
      <c r="B31" s="10"/>
      <c r="C31" s="10" t="s">
        <v>312</v>
      </c>
      <c r="D31" s="10" t="s">
        <v>313</v>
      </c>
      <c r="E31" s="10" t="s">
        <v>276</v>
      </c>
      <c r="F31" s="10" t="s">
        <v>297</v>
      </c>
      <c r="G31" s="24">
        <v>4.3</v>
      </c>
      <c r="H31" s="24">
        <v>196.95</v>
      </c>
      <c r="I31" s="24">
        <v>4.304</v>
      </c>
      <c r="J31" s="25">
        <f t="shared" si="0"/>
        <v>-0.00400000000000045</v>
      </c>
      <c r="K31" s="25" t="s">
        <v>314</v>
      </c>
      <c r="L31" s="29" t="s">
        <v>261</v>
      </c>
      <c r="M31" s="24">
        <v>197.036</v>
      </c>
      <c r="N31" s="24">
        <v>197.036</v>
      </c>
      <c r="O31" s="30"/>
    </row>
    <row r="32" ht="21.05" customHeight="1" spans="1:15">
      <c r="A32" s="10"/>
      <c r="B32" s="10"/>
      <c r="C32" s="10" t="s">
        <v>315</v>
      </c>
      <c r="D32" s="10" t="s">
        <v>316</v>
      </c>
      <c r="E32" s="10" t="s">
        <v>296</v>
      </c>
      <c r="F32" s="10" t="s">
        <v>297</v>
      </c>
      <c r="G32" s="24">
        <v>17.66</v>
      </c>
      <c r="H32" s="24">
        <v>869.5</v>
      </c>
      <c r="I32" s="24">
        <v>16.698</v>
      </c>
      <c r="J32" s="25">
        <f t="shared" si="0"/>
        <v>0.962</v>
      </c>
      <c r="K32" s="25" t="s">
        <v>317</v>
      </c>
      <c r="L32" s="29" t="s">
        <v>272</v>
      </c>
      <c r="M32" s="24">
        <v>858.929</v>
      </c>
      <c r="N32" s="24">
        <v>858.929</v>
      </c>
      <c r="O32" s="30" t="s">
        <v>273</v>
      </c>
    </row>
    <row r="33" ht="21.05" customHeight="1" spans="1:15">
      <c r="A33" s="10"/>
      <c r="B33" s="10"/>
      <c r="C33" s="10" t="s">
        <v>318</v>
      </c>
      <c r="D33" s="10" t="s">
        <v>319</v>
      </c>
      <c r="E33" s="10" t="s">
        <v>276</v>
      </c>
      <c r="F33" s="10" t="s">
        <v>297</v>
      </c>
      <c r="G33" s="24">
        <v>2</v>
      </c>
      <c r="H33" s="24">
        <v>87.27</v>
      </c>
      <c r="I33" s="24">
        <v>2.2159</v>
      </c>
      <c r="J33" s="25">
        <f t="shared" si="0"/>
        <v>-0.2159</v>
      </c>
      <c r="K33" s="25" t="s">
        <v>320</v>
      </c>
      <c r="L33" s="29" t="s">
        <v>272</v>
      </c>
      <c r="M33" s="24">
        <v>91.1548</v>
      </c>
      <c r="N33" s="24">
        <v>91.1548</v>
      </c>
      <c r="O33" s="30" t="s">
        <v>299</v>
      </c>
    </row>
    <row r="34" ht="21.05" customHeight="1" spans="1:15">
      <c r="A34" s="10"/>
      <c r="B34" s="10"/>
      <c r="C34" s="10" t="s">
        <v>321</v>
      </c>
      <c r="D34" s="10" t="s">
        <v>322</v>
      </c>
      <c r="E34" s="10" t="s">
        <v>296</v>
      </c>
      <c r="F34" s="10" t="s">
        <v>297</v>
      </c>
      <c r="G34" s="24">
        <v>0</v>
      </c>
      <c r="H34" s="24">
        <v>0</v>
      </c>
      <c r="I34" s="24">
        <v>0</v>
      </c>
      <c r="J34" s="25">
        <f t="shared" si="0"/>
        <v>0</v>
      </c>
      <c r="K34" s="25" t="s">
        <v>260</v>
      </c>
      <c r="L34" s="29" t="s">
        <v>261</v>
      </c>
      <c r="M34" s="24">
        <v>0</v>
      </c>
      <c r="N34" s="24">
        <v>0</v>
      </c>
      <c r="O34" s="30"/>
    </row>
    <row r="35" ht="21.05" customHeight="1" spans="1:15">
      <c r="A35" s="10"/>
      <c r="B35" s="10"/>
      <c r="C35" s="10" t="s">
        <v>323</v>
      </c>
      <c r="D35" s="10" t="s">
        <v>324</v>
      </c>
      <c r="E35" s="10" t="s">
        <v>296</v>
      </c>
      <c r="F35" s="10" t="s">
        <v>297</v>
      </c>
      <c r="G35" s="24">
        <v>0.1</v>
      </c>
      <c r="H35" s="24">
        <v>19.95</v>
      </c>
      <c r="I35" s="24">
        <v>0</v>
      </c>
      <c r="J35" s="25">
        <f t="shared" si="0"/>
        <v>0.1</v>
      </c>
      <c r="K35" s="25" t="s">
        <v>260</v>
      </c>
      <c r="L35" s="29" t="s">
        <v>272</v>
      </c>
      <c r="M35" s="24">
        <v>22.742</v>
      </c>
      <c r="N35" s="24">
        <v>22.742</v>
      </c>
      <c r="O35" s="30" t="s">
        <v>273</v>
      </c>
    </row>
    <row r="36" ht="21.05" customHeight="1" spans="1:15">
      <c r="A36" s="10"/>
      <c r="B36" s="10"/>
      <c r="C36" s="10"/>
      <c r="D36" s="10" t="s">
        <v>325</v>
      </c>
      <c r="E36" s="10" t="s">
        <v>296</v>
      </c>
      <c r="F36" s="10" t="s">
        <v>297</v>
      </c>
      <c r="G36" s="24">
        <v>1</v>
      </c>
      <c r="H36" s="24">
        <v>318.6</v>
      </c>
      <c r="I36" s="24">
        <v>1.0007</v>
      </c>
      <c r="J36" s="25">
        <f t="shared" si="0"/>
        <v>-0.000699999999999923</v>
      </c>
      <c r="K36" s="25" t="s">
        <v>290</v>
      </c>
      <c r="L36" s="29" t="s">
        <v>261</v>
      </c>
      <c r="M36" s="24">
        <v>302.1535</v>
      </c>
      <c r="N36" s="24">
        <v>302.1535</v>
      </c>
      <c r="O36" s="30"/>
    </row>
    <row r="37" ht="21.05" customHeight="1" spans="1:15">
      <c r="A37" s="10"/>
      <c r="B37" s="10"/>
      <c r="C37" s="10" t="s">
        <v>326</v>
      </c>
      <c r="D37" s="10" t="s">
        <v>327</v>
      </c>
      <c r="E37" s="10" t="s">
        <v>296</v>
      </c>
      <c r="F37" s="10" t="s">
        <v>297</v>
      </c>
      <c r="G37" s="24">
        <v>2</v>
      </c>
      <c r="H37" s="24">
        <v>381.03</v>
      </c>
      <c r="I37" s="24">
        <v>1.633</v>
      </c>
      <c r="J37" s="25">
        <f t="shared" si="0"/>
        <v>0.367</v>
      </c>
      <c r="K37" s="25" t="s">
        <v>328</v>
      </c>
      <c r="L37" s="29" t="s">
        <v>272</v>
      </c>
      <c r="M37" s="24">
        <v>372.335</v>
      </c>
      <c r="N37" s="24">
        <v>372.335</v>
      </c>
      <c r="O37" s="30" t="s">
        <v>273</v>
      </c>
    </row>
    <row r="38" ht="21.05" customHeight="1" spans="1:15">
      <c r="A38" s="10"/>
      <c r="B38" s="10"/>
      <c r="C38" s="10" t="s">
        <v>329</v>
      </c>
      <c r="D38" s="10" t="s">
        <v>330</v>
      </c>
      <c r="E38" s="10" t="s">
        <v>296</v>
      </c>
      <c r="F38" s="10" t="s">
        <v>297</v>
      </c>
      <c r="G38" s="24">
        <v>16</v>
      </c>
      <c r="H38" s="24">
        <v>777</v>
      </c>
      <c r="I38" s="24">
        <v>15.154</v>
      </c>
      <c r="J38" s="25">
        <f t="shared" si="0"/>
        <v>0.846</v>
      </c>
      <c r="K38" s="25" t="s">
        <v>331</v>
      </c>
      <c r="L38" s="29" t="s">
        <v>272</v>
      </c>
      <c r="M38" s="24">
        <v>778.808</v>
      </c>
      <c r="N38" s="24">
        <v>778.808</v>
      </c>
      <c r="O38" s="30" t="s">
        <v>273</v>
      </c>
    </row>
    <row r="39" ht="21.05" customHeight="1" spans="1:15">
      <c r="A39" s="10"/>
      <c r="B39" s="10"/>
      <c r="C39" s="10" t="s">
        <v>332</v>
      </c>
      <c r="D39" s="10" t="s">
        <v>327</v>
      </c>
      <c r="E39" s="10" t="s">
        <v>296</v>
      </c>
      <c r="F39" s="10" t="s">
        <v>297</v>
      </c>
      <c r="G39" s="24">
        <v>8</v>
      </c>
      <c r="H39" s="24">
        <v>971.07</v>
      </c>
      <c r="I39" s="24">
        <v>8.003</v>
      </c>
      <c r="J39" s="25">
        <f t="shared" si="0"/>
        <v>-0.00300000000000011</v>
      </c>
      <c r="K39" s="25" t="s">
        <v>333</v>
      </c>
      <c r="L39" s="29" t="s">
        <v>261</v>
      </c>
      <c r="M39" s="24">
        <v>971.266</v>
      </c>
      <c r="N39" s="24">
        <v>971.266</v>
      </c>
      <c r="O39" s="30"/>
    </row>
    <row r="40" ht="21.05" customHeight="1" spans="1:15">
      <c r="A40" s="10"/>
      <c r="B40" s="10"/>
      <c r="C40" s="10" t="s">
        <v>334</v>
      </c>
      <c r="D40" s="10" t="s">
        <v>335</v>
      </c>
      <c r="E40" s="10" t="s">
        <v>296</v>
      </c>
      <c r="F40" s="10" t="s">
        <v>297</v>
      </c>
      <c r="G40" s="24">
        <v>2.3</v>
      </c>
      <c r="H40" s="24">
        <v>313.8</v>
      </c>
      <c r="I40" s="24">
        <v>1.9977</v>
      </c>
      <c r="J40" s="25">
        <f t="shared" si="0"/>
        <v>0.3023</v>
      </c>
      <c r="K40" s="25" t="s">
        <v>336</v>
      </c>
      <c r="L40" s="29" t="s">
        <v>272</v>
      </c>
      <c r="M40" s="24">
        <v>300.0895</v>
      </c>
      <c r="N40" s="24">
        <v>300.0895</v>
      </c>
      <c r="O40" s="30" t="s">
        <v>273</v>
      </c>
    </row>
    <row r="41" ht="25.6" customHeight="1" spans="1:15">
      <c r="A41" s="10"/>
      <c r="B41" s="10"/>
      <c r="C41" s="10" t="s">
        <v>337</v>
      </c>
      <c r="D41" s="10" t="s">
        <v>338</v>
      </c>
      <c r="E41" s="10" t="s">
        <v>276</v>
      </c>
      <c r="F41" s="10" t="s">
        <v>297</v>
      </c>
      <c r="G41" s="24">
        <v>8</v>
      </c>
      <c r="H41" s="24">
        <v>293.8</v>
      </c>
      <c r="I41" s="24">
        <v>6.599</v>
      </c>
      <c r="J41" s="25">
        <f t="shared" si="0"/>
        <v>1.401</v>
      </c>
      <c r="K41" s="25" t="s">
        <v>339</v>
      </c>
      <c r="L41" s="29" t="s">
        <v>272</v>
      </c>
      <c r="M41" s="24">
        <v>294.303</v>
      </c>
      <c r="N41" s="24">
        <v>294.303</v>
      </c>
      <c r="O41" s="30" t="s">
        <v>340</v>
      </c>
    </row>
    <row r="42" ht="21.05" customHeight="1" spans="1:15">
      <c r="A42" s="10"/>
      <c r="B42" s="10"/>
      <c r="C42" s="10" t="s">
        <v>341</v>
      </c>
      <c r="D42" s="10" t="s">
        <v>316</v>
      </c>
      <c r="E42" s="10" t="s">
        <v>296</v>
      </c>
      <c r="F42" s="10" t="s">
        <v>297</v>
      </c>
      <c r="G42" s="24">
        <v>0</v>
      </c>
      <c r="H42" s="24">
        <v>0</v>
      </c>
      <c r="I42" s="24">
        <v>0</v>
      </c>
      <c r="J42" s="25">
        <f t="shared" si="0"/>
        <v>0</v>
      </c>
      <c r="K42" s="25" t="s">
        <v>260</v>
      </c>
      <c r="L42" s="29" t="s">
        <v>261</v>
      </c>
      <c r="M42" s="24">
        <v>0</v>
      </c>
      <c r="N42" s="24">
        <v>0</v>
      </c>
      <c r="O42" s="30"/>
    </row>
    <row r="43" ht="21.05" customHeight="1" spans="1:15">
      <c r="A43" s="10"/>
      <c r="B43" s="10" t="s">
        <v>342</v>
      </c>
      <c r="C43" s="10" t="s">
        <v>343</v>
      </c>
      <c r="D43" s="10" t="s">
        <v>344</v>
      </c>
      <c r="E43" s="10" t="s">
        <v>258</v>
      </c>
      <c r="F43" s="10" t="s">
        <v>297</v>
      </c>
      <c r="G43" s="24">
        <v>0</v>
      </c>
      <c r="H43" s="24">
        <v>0</v>
      </c>
      <c r="I43" s="24">
        <v>0</v>
      </c>
      <c r="J43" s="25">
        <f t="shared" si="0"/>
        <v>0</v>
      </c>
      <c r="K43" s="25" t="s">
        <v>260</v>
      </c>
      <c r="L43" s="29" t="s">
        <v>261</v>
      </c>
      <c r="M43" s="24">
        <v>0</v>
      </c>
      <c r="N43" s="24">
        <v>0</v>
      </c>
      <c r="O43" s="30"/>
    </row>
    <row r="44" ht="21.05" customHeight="1" spans="1:15">
      <c r="A44" s="10"/>
      <c r="B44" s="10"/>
      <c r="C44" s="10"/>
      <c r="D44" s="10" t="s">
        <v>345</v>
      </c>
      <c r="E44" s="10" t="s">
        <v>258</v>
      </c>
      <c r="F44" s="10" t="s">
        <v>297</v>
      </c>
      <c r="G44" s="24">
        <v>0</v>
      </c>
      <c r="H44" s="24">
        <v>1702.3</v>
      </c>
      <c r="I44" s="24">
        <v>0</v>
      </c>
      <c r="J44" s="25">
        <f t="shared" si="0"/>
        <v>0</v>
      </c>
      <c r="K44" s="25" t="s">
        <v>260</v>
      </c>
      <c r="L44" s="29" t="s">
        <v>261</v>
      </c>
      <c r="M44" s="24">
        <v>1620.7819</v>
      </c>
      <c r="N44" s="24">
        <v>1620.7819</v>
      </c>
      <c r="O44" s="30"/>
    </row>
    <row r="45" ht="21.05" customHeight="1" spans="1:15">
      <c r="A45" s="10"/>
      <c r="B45" s="10"/>
      <c r="C45" s="10"/>
      <c r="D45" s="10" t="s">
        <v>346</v>
      </c>
      <c r="E45" s="10" t="s">
        <v>258</v>
      </c>
      <c r="F45" s="10" t="s">
        <v>297</v>
      </c>
      <c r="G45" s="24">
        <v>0</v>
      </c>
      <c r="H45" s="24">
        <v>0</v>
      </c>
      <c r="I45" s="24">
        <v>0</v>
      </c>
      <c r="J45" s="25">
        <f t="shared" si="0"/>
        <v>0</v>
      </c>
      <c r="K45" s="25" t="s">
        <v>260</v>
      </c>
      <c r="L45" s="29" t="s">
        <v>261</v>
      </c>
      <c r="M45" s="24">
        <v>0</v>
      </c>
      <c r="N45" s="24">
        <v>0</v>
      </c>
      <c r="O45" s="30"/>
    </row>
    <row r="46" ht="21.05" customHeight="1" spans="1:15">
      <c r="A46" s="10"/>
      <c r="B46" s="10"/>
      <c r="C46" s="10" t="s">
        <v>347</v>
      </c>
      <c r="D46" s="10" t="s">
        <v>348</v>
      </c>
      <c r="E46" s="10" t="s">
        <v>258</v>
      </c>
      <c r="F46" s="10" t="s">
        <v>297</v>
      </c>
      <c r="G46" s="24">
        <v>0</v>
      </c>
      <c r="H46" s="24">
        <v>301</v>
      </c>
      <c r="I46" s="24">
        <v>0</v>
      </c>
      <c r="J46" s="25">
        <f t="shared" si="0"/>
        <v>0</v>
      </c>
      <c r="K46" s="25" t="s">
        <v>260</v>
      </c>
      <c r="L46" s="29" t="s">
        <v>261</v>
      </c>
      <c r="M46" s="24">
        <v>256.8492</v>
      </c>
      <c r="N46" s="24">
        <v>256.8492</v>
      </c>
      <c r="O46" s="30"/>
    </row>
    <row r="47" ht="21.05" customHeight="1" spans="1:15">
      <c r="A47" s="10"/>
      <c r="B47" s="10"/>
      <c r="C47" s="10"/>
      <c r="D47" s="10" t="s">
        <v>349</v>
      </c>
      <c r="E47" s="10" t="s">
        <v>258</v>
      </c>
      <c r="F47" s="10" t="s">
        <v>297</v>
      </c>
      <c r="G47" s="24">
        <v>211.5</v>
      </c>
      <c r="H47" s="24">
        <v>7083.5</v>
      </c>
      <c r="I47" s="24">
        <v>210.8319</v>
      </c>
      <c r="J47" s="25">
        <f t="shared" si="0"/>
        <v>0.66810000000001</v>
      </c>
      <c r="K47" s="25" t="s">
        <v>350</v>
      </c>
      <c r="L47" s="29" t="s">
        <v>261</v>
      </c>
      <c r="M47" s="24">
        <v>7004.6016</v>
      </c>
      <c r="N47" s="24">
        <v>7004.6016</v>
      </c>
      <c r="O47" s="30"/>
    </row>
    <row r="48" ht="21.05" customHeight="1" spans="1:15">
      <c r="A48" s="10"/>
      <c r="B48" s="10"/>
      <c r="C48" s="10"/>
      <c r="D48" s="10" t="s">
        <v>351</v>
      </c>
      <c r="E48" s="10" t="s">
        <v>258</v>
      </c>
      <c r="F48" s="10" t="s">
        <v>297</v>
      </c>
      <c r="G48" s="24">
        <v>0</v>
      </c>
      <c r="H48" s="24">
        <v>856</v>
      </c>
      <c r="I48" s="24">
        <v>0</v>
      </c>
      <c r="J48" s="25">
        <f t="shared" si="0"/>
        <v>0</v>
      </c>
      <c r="K48" s="25" t="s">
        <v>260</v>
      </c>
      <c r="L48" s="29" t="s">
        <v>261</v>
      </c>
      <c r="M48" s="24">
        <v>759.4001</v>
      </c>
      <c r="N48" s="24">
        <v>759.4001</v>
      </c>
      <c r="O48" s="30"/>
    </row>
    <row r="49" ht="21.05" customHeight="1" spans="1:15">
      <c r="A49" s="10" t="s">
        <v>352</v>
      </c>
      <c r="B49" s="10" t="s">
        <v>353</v>
      </c>
      <c r="C49" s="10" t="s">
        <v>354</v>
      </c>
      <c r="D49" s="10" t="s">
        <v>355</v>
      </c>
      <c r="E49" s="10" t="s">
        <v>356</v>
      </c>
      <c r="F49" s="10" t="s">
        <v>297</v>
      </c>
      <c r="G49" s="24">
        <v>0</v>
      </c>
      <c r="H49" s="24">
        <v>0</v>
      </c>
      <c r="I49" s="24">
        <v>0</v>
      </c>
      <c r="J49" s="25">
        <f t="shared" si="0"/>
        <v>0</v>
      </c>
      <c r="K49" s="25" t="s">
        <v>260</v>
      </c>
      <c r="L49" s="29" t="s">
        <v>261</v>
      </c>
      <c r="M49" s="24">
        <v>0</v>
      </c>
      <c r="N49" s="24">
        <v>0</v>
      </c>
      <c r="O49" s="30"/>
    </row>
    <row r="50" ht="21.05" customHeight="1" spans="1:15">
      <c r="A50" s="10"/>
      <c r="B50" s="10"/>
      <c r="C50" s="10" t="s">
        <v>357</v>
      </c>
      <c r="D50" s="10" t="s">
        <v>358</v>
      </c>
      <c r="E50" s="10" t="s">
        <v>359</v>
      </c>
      <c r="F50" s="10" t="s">
        <v>297</v>
      </c>
      <c r="G50" s="24">
        <v>2</v>
      </c>
      <c r="H50" s="24">
        <v>111.6</v>
      </c>
      <c r="I50" s="24">
        <v>2</v>
      </c>
      <c r="J50" s="25">
        <f t="shared" si="0"/>
        <v>0</v>
      </c>
      <c r="K50" s="25" t="s">
        <v>260</v>
      </c>
      <c r="L50" s="29" t="s">
        <v>261</v>
      </c>
      <c r="M50" s="24">
        <v>111.483</v>
      </c>
      <c r="N50" s="24">
        <v>111.483</v>
      </c>
      <c r="O50" s="30"/>
    </row>
    <row r="51" ht="21.05" customHeight="1" spans="1:15">
      <c r="A51" s="10"/>
      <c r="B51" s="10"/>
      <c r="C51" s="10" t="s">
        <v>360</v>
      </c>
      <c r="D51" s="10" t="s">
        <v>361</v>
      </c>
      <c r="E51" s="10" t="s">
        <v>359</v>
      </c>
      <c r="F51" s="10" t="s">
        <v>297</v>
      </c>
      <c r="G51" s="24">
        <v>76</v>
      </c>
      <c r="H51" s="24">
        <v>2853.9</v>
      </c>
      <c r="I51" s="24">
        <v>75.8871</v>
      </c>
      <c r="J51" s="25">
        <f t="shared" si="0"/>
        <v>0.112899999999996</v>
      </c>
      <c r="K51" s="25" t="s">
        <v>362</v>
      </c>
      <c r="L51" s="29" t="s">
        <v>261</v>
      </c>
      <c r="M51" s="24">
        <v>2848.9965</v>
      </c>
      <c r="N51" s="24">
        <v>2848.9965</v>
      </c>
      <c r="O51" s="30"/>
    </row>
    <row r="52" ht="21.05" customHeight="1" spans="1:15">
      <c r="A52" s="10"/>
      <c r="B52" s="10"/>
      <c r="C52" s="10"/>
      <c r="D52" s="10" t="s">
        <v>363</v>
      </c>
      <c r="E52" s="10" t="s">
        <v>359</v>
      </c>
      <c r="F52" s="10" t="s">
        <v>297</v>
      </c>
      <c r="G52" s="24">
        <v>1.7</v>
      </c>
      <c r="H52" s="24">
        <v>108.7</v>
      </c>
      <c r="I52" s="24">
        <v>1.6983</v>
      </c>
      <c r="J52" s="25">
        <f t="shared" si="0"/>
        <v>0.00170000000000003</v>
      </c>
      <c r="K52" s="25" t="s">
        <v>364</v>
      </c>
      <c r="L52" s="29" t="s">
        <v>261</v>
      </c>
      <c r="M52" s="24">
        <v>107.4536</v>
      </c>
      <c r="N52" s="24">
        <v>107.4536</v>
      </c>
      <c r="O52" s="30"/>
    </row>
    <row r="53" ht="21.05" customHeight="1" spans="1:15">
      <c r="A53" s="10"/>
      <c r="B53" s="10"/>
      <c r="C53" s="10" t="s">
        <v>365</v>
      </c>
      <c r="D53" s="10" t="s">
        <v>366</v>
      </c>
      <c r="E53" s="10" t="s">
        <v>359</v>
      </c>
      <c r="F53" s="10" t="s">
        <v>297</v>
      </c>
      <c r="G53" s="24">
        <v>0.7</v>
      </c>
      <c r="H53" s="24">
        <v>76.4</v>
      </c>
      <c r="I53" s="24">
        <v>0.6979</v>
      </c>
      <c r="J53" s="25">
        <f t="shared" si="0"/>
        <v>0.00209999999999999</v>
      </c>
      <c r="K53" s="25" t="s">
        <v>367</v>
      </c>
      <c r="L53" s="29" t="s">
        <v>261</v>
      </c>
      <c r="M53" s="24">
        <v>76.267</v>
      </c>
      <c r="N53" s="24">
        <v>76.267</v>
      </c>
      <c r="O53" s="30"/>
    </row>
    <row r="54" ht="21.05" customHeight="1" spans="1:15">
      <c r="A54" s="10"/>
      <c r="B54" s="10"/>
      <c r="C54" s="10" t="s">
        <v>368</v>
      </c>
      <c r="D54" s="10" t="s">
        <v>369</v>
      </c>
      <c r="E54" s="10" t="s">
        <v>359</v>
      </c>
      <c r="F54" s="10" t="s">
        <v>297</v>
      </c>
      <c r="G54" s="24">
        <v>5.56</v>
      </c>
      <c r="H54" s="24">
        <v>92.96</v>
      </c>
      <c r="I54" s="24">
        <v>5.5601</v>
      </c>
      <c r="J54" s="25">
        <f t="shared" si="0"/>
        <v>-0.000100000000000655</v>
      </c>
      <c r="K54" s="25" t="s">
        <v>260</v>
      </c>
      <c r="L54" s="29" t="s">
        <v>261</v>
      </c>
      <c r="M54" s="24">
        <v>92.4827</v>
      </c>
      <c r="N54" s="24">
        <v>92.4827</v>
      </c>
      <c r="O54" s="30"/>
    </row>
    <row r="55" ht="21.05" customHeight="1" spans="1:15">
      <c r="A55" s="10"/>
      <c r="B55" s="10"/>
      <c r="C55" s="10"/>
      <c r="D55" s="10" t="s">
        <v>370</v>
      </c>
      <c r="E55" s="10" t="s">
        <v>359</v>
      </c>
      <c r="F55" s="10" t="s">
        <v>297</v>
      </c>
      <c r="G55" s="24">
        <v>7.4589</v>
      </c>
      <c r="H55" s="24">
        <v>67.9089</v>
      </c>
      <c r="I55" s="24">
        <v>1.779</v>
      </c>
      <c r="J55" s="25">
        <f t="shared" si="0"/>
        <v>5.6799</v>
      </c>
      <c r="K55" s="25" t="s">
        <v>371</v>
      </c>
      <c r="L55" s="29" t="s">
        <v>272</v>
      </c>
      <c r="M55" s="24">
        <v>58.8226</v>
      </c>
      <c r="N55" s="24">
        <v>58.8226</v>
      </c>
      <c r="O55" s="30" t="s">
        <v>372</v>
      </c>
    </row>
    <row r="56" ht="21.05" customHeight="1" spans="1:15">
      <c r="A56" s="10"/>
      <c r="B56" s="10"/>
      <c r="C56" s="10" t="s">
        <v>373</v>
      </c>
      <c r="D56" s="10" t="s">
        <v>374</v>
      </c>
      <c r="E56" s="10" t="s">
        <v>359</v>
      </c>
      <c r="F56" s="10" t="s">
        <v>297</v>
      </c>
      <c r="G56" s="24">
        <v>9.7</v>
      </c>
      <c r="H56" s="24">
        <v>475.82</v>
      </c>
      <c r="I56" s="24">
        <v>9.409</v>
      </c>
      <c r="J56" s="25">
        <f t="shared" si="0"/>
        <v>0.290999999999999</v>
      </c>
      <c r="K56" s="25" t="s">
        <v>375</v>
      </c>
      <c r="L56" s="29" t="s">
        <v>272</v>
      </c>
      <c r="M56" s="24">
        <v>452.862</v>
      </c>
      <c r="N56" s="24">
        <v>452.862</v>
      </c>
      <c r="O56" s="30" t="s">
        <v>273</v>
      </c>
    </row>
    <row r="57" ht="21.05" customHeight="1" spans="1:15">
      <c r="A57" s="10"/>
      <c r="B57" s="10"/>
      <c r="C57" s="10"/>
      <c r="D57" s="10" t="s">
        <v>376</v>
      </c>
      <c r="E57" s="10" t="s">
        <v>359</v>
      </c>
      <c r="F57" s="10" t="s">
        <v>297</v>
      </c>
      <c r="G57" s="24">
        <v>0</v>
      </c>
      <c r="H57" s="24">
        <v>0</v>
      </c>
      <c r="I57" s="24">
        <v>0</v>
      </c>
      <c r="J57" s="25">
        <f t="shared" si="0"/>
        <v>0</v>
      </c>
      <c r="K57" s="25" t="s">
        <v>260</v>
      </c>
      <c r="L57" s="29" t="s">
        <v>261</v>
      </c>
      <c r="M57" s="24">
        <v>0</v>
      </c>
      <c r="N57" s="24">
        <v>0</v>
      </c>
      <c r="O57" s="30"/>
    </row>
    <row r="58" ht="21.05" customHeight="1" spans="1:15">
      <c r="A58" s="10"/>
      <c r="B58" s="10"/>
      <c r="C58" s="10"/>
      <c r="D58" s="10" t="s">
        <v>366</v>
      </c>
      <c r="E58" s="10" t="s">
        <v>359</v>
      </c>
      <c r="F58" s="10" t="s">
        <v>297</v>
      </c>
      <c r="G58" s="24">
        <v>41.4793</v>
      </c>
      <c r="H58" s="24">
        <v>1820.6393</v>
      </c>
      <c r="I58" s="24">
        <v>41.4618</v>
      </c>
      <c r="J58" s="25">
        <f t="shared" si="0"/>
        <v>0.0175000000000054</v>
      </c>
      <c r="K58" s="25" t="s">
        <v>377</v>
      </c>
      <c r="L58" s="29" t="s">
        <v>261</v>
      </c>
      <c r="M58" s="24">
        <v>1819.4111</v>
      </c>
      <c r="N58" s="24">
        <v>1819.4111</v>
      </c>
      <c r="O58" s="30"/>
    </row>
    <row r="59" ht="21.05" customHeight="1" spans="1:15">
      <c r="A59" s="10"/>
      <c r="B59" s="10"/>
      <c r="C59" s="10" t="s">
        <v>378</v>
      </c>
      <c r="D59" s="10" t="s">
        <v>355</v>
      </c>
      <c r="E59" s="10" t="s">
        <v>356</v>
      </c>
      <c r="F59" s="10" t="s">
        <v>297</v>
      </c>
      <c r="G59" s="24">
        <v>4.24</v>
      </c>
      <c r="H59" s="24">
        <v>169.71</v>
      </c>
      <c r="I59" s="24">
        <v>4.2539</v>
      </c>
      <c r="J59" s="25">
        <f t="shared" si="0"/>
        <v>-0.0138999999999996</v>
      </c>
      <c r="K59" s="25" t="s">
        <v>379</v>
      </c>
      <c r="L59" s="29" t="s">
        <v>261</v>
      </c>
      <c r="M59" s="24">
        <v>169.9817</v>
      </c>
      <c r="N59" s="24">
        <v>169.9817</v>
      </c>
      <c r="O59" s="30"/>
    </row>
    <row r="60" ht="21.05" customHeight="1" spans="1:15">
      <c r="A60" s="10"/>
      <c r="B60" s="10"/>
      <c r="C60" s="10" t="s">
        <v>380</v>
      </c>
      <c r="D60" s="10" t="s">
        <v>381</v>
      </c>
      <c r="E60" s="10" t="s">
        <v>382</v>
      </c>
      <c r="F60" s="10" t="s">
        <v>297</v>
      </c>
      <c r="G60" s="24">
        <v>0</v>
      </c>
      <c r="H60" s="24">
        <v>0</v>
      </c>
      <c r="I60" s="24">
        <v>0</v>
      </c>
      <c r="J60" s="25">
        <f t="shared" si="0"/>
        <v>0</v>
      </c>
      <c r="K60" s="25" t="s">
        <v>260</v>
      </c>
      <c r="L60" s="29" t="s">
        <v>261</v>
      </c>
      <c r="M60" s="24">
        <v>0</v>
      </c>
      <c r="N60" s="24">
        <v>0</v>
      </c>
      <c r="O60" s="30"/>
    </row>
    <row r="61" ht="21.05" customHeight="1" spans="1:15">
      <c r="A61" s="10"/>
      <c r="B61" s="10"/>
      <c r="C61" s="10"/>
      <c r="D61" s="10" t="s">
        <v>383</v>
      </c>
      <c r="E61" s="10" t="s">
        <v>382</v>
      </c>
      <c r="F61" s="10" t="s">
        <v>297</v>
      </c>
      <c r="G61" s="24">
        <v>0</v>
      </c>
      <c r="H61" s="24">
        <v>54.7</v>
      </c>
      <c r="I61" s="24">
        <v>0</v>
      </c>
      <c r="J61" s="25">
        <f t="shared" si="0"/>
        <v>0</v>
      </c>
      <c r="K61" s="25" t="s">
        <v>260</v>
      </c>
      <c r="L61" s="29" t="s">
        <v>261</v>
      </c>
      <c r="M61" s="24">
        <v>53.8563</v>
      </c>
      <c r="N61" s="24">
        <v>53.8563</v>
      </c>
      <c r="O61" s="30"/>
    </row>
    <row r="62" ht="21.05" customHeight="1" spans="1:15">
      <c r="A62" s="10"/>
      <c r="B62" s="10"/>
      <c r="C62" s="10" t="s">
        <v>384</v>
      </c>
      <c r="D62" s="10" t="s">
        <v>358</v>
      </c>
      <c r="E62" s="10" t="s">
        <v>359</v>
      </c>
      <c r="F62" s="10" t="s">
        <v>297</v>
      </c>
      <c r="G62" s="24">
        <v>0.03</v>
      </c>
      <c r="H62" s="24">
        <v>9.73</v>
      </c>
      <c r="I62" s="24">
        <v>0.0295</v>
      </c>
      <c r="J62" s="25">
        <f t="shared" si="0"/>
        <v>0.0005</v>
      </c>
      <c r="K62" s="25" t="s">
        <v>385</v>
      </c>
      <c r="L62" s="29" t="s">
        <v>272</v>
      </c>
      <c r="M62" s="24">
        <v>9.7306</v>
      </c>
      <c r="N62" s="24">
        <v>9.7306</v>
      </c>
      <c r="O62" s="30" t="s">
        <v>273</v>
      </c>
    </row>
    <row r="63" ht="21.05" customHeight="1" spans="1:15">
      <c r="A63" s="10"/>
      <c r="B63" s="10"/>
      <c r="C63" s="10" t="s">
        <v>386</v>
      </c>
      <c r="D63" s="10" t="s">
        <v>387</v>
      </c>
      <c r="E63" s="10" t="s">
        <v>356</v>
      </c>
      <c r="F63" s="10" t="s">
        <v>297</v>
      </c>
      <c r="G63" s="24">
        <v>0</v>
      </c>
      <c r="H63" s="24">
        <v>113</v>
      </c>
      <c r="I63" s="24">
        <v>0</v>
      </c>
      <c r="J63" s="25">
        <f t="shared" si="0"/>
        <v>0</v>
      </c>
      <c r="K63" s="25" t="s">
        <v>260</v>
      </c>
      <c r="L63" s="29" t="s">
        <v>261</v>
      </c>
      <c r="M63" s="24">
        <v>107.2338</v>
      </c>
      <c r="N63" s="24">
        <v>107.2338</v>
      </c>
      <c r="O63" s="30"/>
    </row>
    <row r="64" ht="21.05" customHeight="1" spans="1:15">
      <c r="A64" s="10"/>
      <c r="B64" s="10"/>
      <c r="C64" s="10"/>
      <c r="D64" s="10" t="s">
        <v>355</v>
      </c>
      <c r="E64" s="10" t="s">
        <v>356</v>
      </c>
      <c r="F64" s="10" t="s">
        <v>297</v>
      </c>
      <c r="G64" s="24">
        <v>25.47</v>
      </c>
      <c r="H64" s="24">
        <v>1058.57</v>
      </c>
      <c r="I64" s="24">
        <v>25.4225</v>
      </c>
      <c r="J64" s="25">
        <f t="shared" si="0"/>
        <v>0.0474999999999994</v>
      </c>
      <c r="K64" s="25" t="s">
        <v>388</v>
      </c>
      <c r="L64" s="29" t="s">
        <v>261</v>
      </c>
      <c r="M64" s="24">
        <v>1034.3586</v>
      </c>
      <c r="N64" s="24">
        <v>1034.3586</v>
      </c>
      <c r="O64" s="30"/>
    </row>
    <row r="65" ht="21.05" customHeight="1" spans="1:15">
      <c r="A65" s="10"/>
      <c r="B65" s="10"/>
      <c r="C65" s="10" t="s">
        <v>389</v>
      </c>
      <c r="D65" s="10" t="s">
        <v>358</v>
      </c>
      <c r="E65" s="10" t="s">
        <v>359</v>
      </c>
      <c r="F65" s="10" t="s">
        <v>297</v>
      </c>
      <c r="G65" s="24">
        <v>0.5</v>
      </c>
      <c r="H65" s="24">
        <v>63.7</v>
      </c>
      <c r="I65" s="24">
        <v>0.4995</v>
      </c>
      <c r="J65" s="25">
        <f t="shared" si="0"/>
        <v>0.0005</v>
      </c>
      <c r="K65" s="25" t="s">
        <v>364</v>
      </c>
      <c r="L65" s="29" t="s">
        <v>261</v>
      </c>
      <c r="M65" s="24">
        <v>63.578</v>
      </c>
      <c r="N65" s="24">
        <v>63.578</v>
      </c>
      <c r="O65" s="30"/>
    </row>
    <row r="66" ht="21.05" customHeight="1" spans="1:15">
      <c r="A66" s="10"/>
      <c r="B66" s="10"/>
      <c r="C66" s="10" t="s">
        <v>390</v>
      </c>
      <c r="D66" s="10" t="s">
        <v>391</v>
      </c>
      <c r="E66" s="10" t="s">
        <v>359</v>
      </c>
      <c r="F66" s="10" t="s">
        <v>297</v>
      </c>
      <c r="G66" s="24">
        <v>0.45</v>
      </c>
      <c r="H66" s="24">
        <v>48.15</v>
      </c>
      <c r="I66" s="24">
        <v>0.45</v>
      </c>
      <c r="J66" s="25">
        <f t="shared" si="0"/>
        <v>0</v>
      </c>
      <c r="K66" s="25" t="s">
        <v>260</v>
      </c>
      <c r="L66" s="29" t="s">
        <v>261</v>
      </c>
      <c r="M66" s="24">
        <v>48.15</v>
      </c>
      <c r="N66" s="24">
        <v>48.15</v>
      </c>
      <c r="O66" s="30"/>
    </row>
    <row r="67" ht="21.05" customHeight="1" spans="1:15">
      <c r="A67" s="10"/>
      <c r="B67" s="10"/>
      <c r="C67" s="10" t="s">
        <v>392</v>
      </c>
      <c r="D67" s="10" t="s">
        <v>374</v>
      </c>
      <c r="E67" s="10" t="s">
        <v>359</v>
      </c>
      <c r="F67" s="10" t="s">
        <v>297</v>
      </c>
      <c r="G67" s="24">
        <v>0.5</v>
      </c>
      <c r="H67" s="24">
        <v>248.3285</v>
      </c>
      <c r="I67" s="24">
        <v>0.4878</v>
      </c>
      <c r="J67" s="25">
        <f t="shared" si="0"/>
        <v>0.0122</v>
      </c>
      <c r="K67" s="25" t="s">
        <v>393</v>
      </c>
      <c r="L67" s="29" t="s">
        <v>272</v>
      </c>
      <c r="M67" s="24">
        <v>245.6679</v>
      </c>
      <c r="N67" s="24">
        <v>245.6679</v>
      </c>
      <c r="O67" s="30" t="s">
        <v>273</v>
      </c>
    </row>
    <row r="68" ht="21.05" customHeight="1" spans="1:15">
      <c r="A68" s="10"/>
      <c r="B68" s="10"/>
      <c r="C68" s="10" t="s">
        <v>66</v>
      </c>
      <c r="D68" s="10" t="s">
        <v>355</v>
      </c>
      <c r="E68" s="10" t="s">
        <v>356</v>
      </c>
      <c r="F68" s="10" t="s">
        <v>297</v>
      </c>
      <c r="G68" s="24">
        <v>0</v>
      </c>
      <c r="H68" s="24">
        <v>0</v>
      </c>
      <c r="I68" s="24">
        <v>0</v>
      </c>
      <c r="J68" s="25">
        <f t="shared" si="0"/>
        <v>0</v>
      </c>
      <c r="K68" s="25" t="s">
        <v>260</v>
      </c>
      <c r="L68" s="29" t="s">
        <v>261</v>
      </c>
      <c r="M68" s="24">
        <v>0</v>
      </c>
      <c r="N68" s="24">
        <v>0</v>
      </c>
      <c r="O68" s="30"/>
    </row>
    <row r="69" ht="21.05" customHeight="1" spans="1:15">
      <c r="A69" s="10"/>
      <c r="B69" s="10"/>
      <c r="C69" s="10" t="s">
        <v>394</v>
      </c>
      <c r="D69" s="10" t="s">
        <v>395</v>
      </c>
      <c r="E69" s="10" t="s">
        <v>359</v>
      </c>
      <c r="F69" s="10" t="s">
        <v>297</v>
      </c>
      <c r="G69" s="24">
        <v>0.4</v>
      </c>
      <c r="H69" s="24">
        <v>12.4</v>
      </c>
      <c r="I69" s="24">
        <v>0.399</v>
      </c>
      <c r="J69" s="25">
        <f t="shared" ref="J69:J132" si="1">G69-I69</f>
        <v>0.001</v>
      </c>
      <c r="K69" s="25" t="s">
        <v>396</v>
      </c>
      <c r="L69" s="29" t="s">
        <v>261</v>
      </c>
      <c r="M69" s="24">
        <v>12.3628</v>
      </c>
      <c r="N69" s="24">
        <v>12.3628</v>
      </c>
      <c r="O69" s="30"/>
    </row>
    <row r="70" ht="21.05" customHeight="1" spans="1:15">
      <c r="A70" s="10"/>
      <c r="B70" s="10"/>
      <c r="C70" s="10"/>
      <c r="D70" s="10" t="s">
        <v>397</v>
      </c>
      <c r="E70" s="10" t="s">
        <v>359</v>
      </c>
      <c r="F70" s="10" t="s">
        <v>297</v>
      </c>
      <c r="G70" s="24">
        <v>0.62</v>
      </c>
      <c r="H70" s="24">
        <v>134.42</v>
      </c>
      <c r="I70" s="24">
        <v>0.6223</v>
      </c>
      <c r="J70" s="25">
        <f t="shared" si="1"/>
        <v>-0.00229999999999997</v>
      </c>
      <c r="K70" s="25" t="s">
        <v>398</v>
      </c>
      <c r="L70" s="29" t="s">
        <v>261</v>
      </c>
      <c r="M70" s="24">
        <v>130.2274</v>
      </c>
      <c r="N70" s="24">
        <v>130.2274</v>
      </c>
      <c r="O70" s="30"/>
    </row>
    <row r="71" ht="21.05" customHeight="1" spans="1:15">
      <c r="A71" s="10"/>
      <c r="B71" s="10"/>
      <c r="C71" s="10" t="s">
        <v>399</v>
      </c>
      <c r="D71" s="10" t="s">
        <v>355</v>
      </c>
      <c r="E71" s="10" t="s">
        <v>356</v>
      </c>
      <c r="F71" s="10" t="s">
        <v>297</v>
      </c>
      <c r="G71" s="24">
        <v>1.7</v>
      </c>
      <c r="H71" s="24">
        <v>159.2</v>
      </c>
      <c r="I71" s="24">
        <v>1.7059</v>
      </c>
      <c r="J71" s="25">
        <f t="shared" si="1"/>
        <v>-0.00590000000000002</v>
      </c>
      <c r="K71" s="25" t="s">
        <v>400</v>
      </c>
      <c r="L71" s="29" t="s">
        <v>261</v>
      </c>
      <c r="M71" s="24">
        <v>150.0053</v>
      </c>
      <c r="N71" s="24">
        <v>150.0053</v>
      </c>
      <c r="O71" s="30"/>
    </row>
    <row r="72" ht="21.05" customHeight="1" spans="1:15">
      <c r="A72" s="10"/>
      <c r="B72" s="10"/>
      <c r="C72" s="10" t="s">
        <v>401</v>
      </c>
      <c r="D72" s="10" t="s">
        <v>355</v>
      </c>
      <c r="E72" s="10" t="s">
        <v>356</v>
      </c>
      <c r="F72" s="10" t="s">
        <v>297</v>
      </c>
      <c r="G72" s="24">
        <v>5.3</v>
      </c>
      <c r="H72" s="24">
        <v>179.8</v>
      </c>
      <c r="I72" s="24">
        <v>5.2905</v>
      </c>
      <c r="J72" s="25">
        <f t="shared" si="1"/>
        <v>0.00950000000000006</v>
      </c>
      <c r="K72" s="25" t="s">
        <v>402</v>
      </c>
      <c r="L72" s="29" t="s">
        <v>261</v>
      </c>
      <c r="M72" s="24">
        <v>179.5364</v>
      </c>
      <c r="N72" s="24">
        <v>179.5364</v>
      </c>
      <c r="O72" s="30"/>
    </row>
    <row r="73" ht="21.05" customHeight="1" spans="1:15">
      <c r="A73" s="10"/>
      <c r="B73" s="10"/>
      <c r="C73" s="10" t="s">
        <v>403</v>
      </c>
      <c r="D73" s="10" t="s">
        <v>404</v>
      </c>
      <c r="E73" s="10" t="s">
        <v>359</v>
      </c>
      <c r="F73" s="10" t="s">
        <v>297</v>
      </c>
      <c r="G73" s="24">
        <v>0</v>
      </c>
      <c r="H73" s="24">
        <v>0</v>
      </c>
      <c r="I73" s="24">
        <v>0</v>
      </c>
      <c r="J73" s="25">
        <f t="shared" si="1"/>
        <v>0</v>
      </c>
      <c r="K73" s="25" t="s">
        <v>260</v>
      </c>
      <c r="L73" s="29" t="s">
        <v>261</v>
      </c>
      <c r="M73" s="24">
        <v>0</v>
      </c>
      <c r="N73" s="24">
        <v>0</v>
      </c>
      <c r="O73" s="30"/>
    </row>
    <row r="74" ht="21.05" customHeight="1" spans="1:15">
      <c r="A74" s="10"/>
      <c r="B74" s="10"/>
      <c r="C74" s="10"/>
      <c r="D74" s="10" t="s">
        <v>358</v>
      </c>
      <c r="E74" s="10" t="s">
        <v>359</v>
      </c>
      <c r="F74" s="10" t="s">
        <v>297</v>
      </c>
      <c r="G74" s="24">
        <v>36</v>
      </c>
      <c r="H74" s="24">
        <v>2345</v>
      </c>
      <c r="I74" s="24">
        <v>33.112</v>
      </c>
      <c r="J74" s="25">
        <f t="shared" si="1"/>
        <v>2.888</v>
      </c>
      <c r="K74" s="25" t="s">
        <v>405</v>
      </c>
      <c r="L74" s="29" t="s">
        <v>272</v>
      </c>
      <c r="M74" s="24">
        <v>2306.635</v>
      </c>
      <c r="N74" s="24">
        <v>2306.635</v>
      </c>
      <c r="O74" s="30" t="s">
        <v>273</v>
      </c>
    </row>
    <row r="75" ht="21.05" customHeight="1" spans="1:15">
      <c r="A75" s="10"/>
      <c r="B75" s="10"/>
      <c r="C75" s="10" t="s">
        <v>406</v>
      </c>
      <c r="D75" s="10" t="s">
        <v>407</v>
      </c>
      <c r="E75" s="10" t="s">
        <v>359</v>
      </c>
      <c r="F75" s="10" t="s">
        <v>297</v>
      </c>
      <c r="G75" s="24">
        <v>1.3</v>
      </c>
      <c r="H75" s="24">
        <v>109.51</v>
      </c>
      <c r="I75" s="24">
        <v>1.2123</v>
      </c>
      <c r="J75" s="25">
        <f t="shared" si="1"/>
        <v>0.0877000000000001</v>
      </c>
      <c r="K75" s="25" t="s">
        <v>408</v>
      </c>
      <c r="L75" s="29" t="s">
        <v>272</v>
      </c>
      <c r="M75" s="24">
        <v>107.72</v>
      </c>
      <c r="N75" s="24">
        <v>107.72</v>
      </c>
      <c r="O75" s="30" t="s">
        <v>409</v>
      </c>
    </row>
    <row r="76" ht="21.05" customHeight="1" spans="1:15">
      <c r="A76" s="10"/>
      <c r="B76" s="10"/>
      <c r="C76" s="10" t="s">
        <v>410</v>
      </c>
      <c r="D76" s="10" t="s">
        <v>411</v>
      </c>
      <c r="E76" s="10" t="s">
        <v>359</v>
      </c>
      <c r="F76" s="10" t="s">
        <v>297</v>
      </c>
      <c r="G76" s="24">
        <v>4.9</v>
      </c>
      <c r="H76" s="24">
        <v>214.55</v>
      </c>
      <c r="I76" s="24">
        <v>4.8923</v>
      </c>
      <c r="J76" s="25">
        <f t="shared" si="1"/>
        <v>0.00770000000000071</v>
      </c>
      <c r="K76" s="25" t="s">
        <v>412</v>
      </c>
      <c r="L76" s="29" t="s">
        <v>261</v>
      </c>
      <c r="M76" s="24">
        <v>209.5627</v>
      </c>
      <c r="N76" s="24">
        <v>209.5627</v>
      </c>
      <c r="O76" s="30"/>
    </row>
    <row r="77" ht="21.05" customHeight="1" spans="1:15">
      <c r="A77" s="10"/>
      <c r="B77" s="10"/>
      <c r="C77" s="10" t="s">
        <v>91</v>
      </c>
      <c r="D77" s="10" t="s">
        <v>383</v>
      </c>
      <c r="E77" s="10" t="s">
        <v>382</v>
      </c>
      <c r="F77" s="10" t="s">
        <v>297</v>
      </c>
      <c r="G77" s="24">
        <v>4.7</v>
      </c>
      <c r="H77" s="24">
        <v>341.84</v>
      </c>
      <c r="I77" s="24">
        <v>4.42</v>
      </c>
      <c r="J77" s="25">
        <f t="shared" si="1"/>
        <v>0.28</v>
      </c>
      <c r="K77" s="25" t="s">
        <v>413</v>
      </c>
      <c r="L77" s="29" t="s">
        <v>272</v>
      </c>
      <c r="M77" s="24">
        <v>331.3567</v>
      </c>
      <c r="N77" s="24">
        <v>331.3567</v>
      </c>
      <c r="O77" s="30" t="s">
        <v>273</v>
      </c>
    </row>
    <row r="78" ht="21.05" customHeight="1" spans="1:15">
      <c r="A78" s="10"/>
      <c r="B78" s="10"/>
      <c r="C78" s="10" t="s">
        <v>414</v>
      </c>
      <c r="D78" s="10" t="s">
        <v>355</v>
      </c>
      <c r="E78" s="10" t="s">
        <v>356</v>
      </c>
      <c r="F78" s="10" t="s">
        <v>297</v>
      </c>
      <c r="G78" s="24">
        <v>39</v>
      </c>
      <c r="H78" s="24">
        <v>1420.1</v>
      </c>
      <c r="I78" s="24">
        <v>39.0091</v>
      </c>
      <c r="J78" s="25">
        <f t="shared" si="1"/>
        <v>-0.00909999999999656</v>
      </c>
      <c r="K78" s="25" t="s">
        <v>283</v>
      </c>
      <c r="L78" s="29" t="s">
        <v>261</v>
      </c>
      <c r="M78" s="24">
        <v>1420.4296</v>
      </c>
      <c r="N78" s="24">
        <v>1420.4296</v>
      </c>
      <c r="O78" s="30"/>
    </row>
    <row r="79" ht="21.05" customHeight="1" spans="1:15">
      <c r="A79" s="10"/>
      <c r="B79" s="10"/>
      <c r="C79" s="10" t="s">
        <v>64</v>
      </c>
      <c r="D79" s="10" t="s">
        <v>358</v>
      </c>
      <c r="E79" s="10" t="s">
        <v>359</v>
      </c>
      <c r="F79" s="10" t="s">
        <v>297</v>
      </c>
      <c r="G79" s="24">
        <v>1</v>
      </c>
      <c r="H79" s="24">
        <v>43.4</v>
      </c>
      <c r="I79" s="24">
        <v>0.9988</v>
      </c>
      <c r="J79" s="25">
        <f t="shared" si="1"/>
        <v>0.00119999999999998</v>
      </c>
      <c r="K79" s="25" t="s">
        <v>415</v>
      </c>
      <c r="L79" s="29" t="s">
        <v>261</v>
      </c>
      <c r="M79" s="24">
        <v>43.3288</v>
      </c>
      <c r="N79" s="24">
        <v>43.3288</v>
      </c>
      <c r="O79" s="30"/>
    </row>
    <row r="80" ht="21.05" customHeight="1" spans="1:15">
      <c r="A80" s="10"/>
      <c r="B80" s="10"/>
      <c r="C80" s="10" t="s">
        <v>65</v>
      </c>
      <c r="D80" s="10" t="s">
        <v>416</v>
      </c>
      <c r="E80" s="10" t="s">
        <v>359</v>
      </c>
      <c r="F80" s="10" t="s">
        <v>297</v>
      </c>
      <c r="G80" s="24">
        <v>19.9</v>
      </c>
      <c r="H80" s="24">
        <v>711.31</v>
      </c>
      <c r="I80" s="24">
        <v>19.3846</v>
      </c>
      <c r="J80" s="25">
        <f t="shared" si="1"/>
        <v>0.5154</v>
      </c>
      <c r="K80" s="25" t="s">
        <v>417</v>
      </c>
      <c r="L80" s="29" t="s">
        <v>272</v>
      </c>
      <c r="M80" s="24">
        <v>697.426</v>
      </c>
      <c r="N80" s="24">
        <v>697.426</v>
      </c>
      <c r="O80" s="30" t="s">
        <v>273</v>
      </c>
    </row>
    <row r="81" ht="21.05" customHeight="1" spans="1:15">
      <c r="A81" s="10"/>
      <c r="B81" s="10"/>
      <c r="C81" s="10" t="s">
        <v>418</v>
      </c>
      <c r="D81" s="10" t="s">
        <v>419</v>
      </c>
      <c r="E81" s="10" t="s">
        <v>359</v>
      </c>
      <c r="F81" s="10" t="s">
        <v>297</v>
      </c>
      <c r="G81" s="24">
        <v>0</v>
      </c>
      <c r="H81" s="24">
        <v>0</v>
      </c>
      <c r="I81" s="24">
        <v>0</v>
      </c>
      <c r="J81" s="25">
        <f t="shared" si="1"/>
        <v>0</v>
      </c>
      <c r="K81" s="25" t="s">
        <v>260</v>
      </c>
      <c r="L81" s="29" t="s">
        <v>261</v>
      </c>
      <c r="M81" s="24">
        <v>0</v>
      </c>
      <c r="N81" s="24">
        <v>0</v>
      </c>
      <c r="O81" s="30"/>
    </row>
    <row r="82" ht="21.05" customHeight="1" spans="1:15">
      <c r="A82" s="10"/>
      <c r="B82" s="10" t="s">
        <v>420</v>
      </c>
      <c r="C82" s="10" t="s">
        <v>421</v>
      </c>
      <c r="D82" s="10" t="s">
        <v>383</v>
      </c>
      <c r="E82" s="10" t="s">
        <v>382</v>
      </c>
      <c r="F82" s="10" t="s">
        <v>297</v>
      </c>
      <c r="G82" s="24">
        <v>0</v>
      </c>
      <c r="H82" s="24">
        <v>6.3</v>
      </c>
      <c r="I82" s="24">
        <v>0</v>
      </c>
      <c r="J82" s="25">
        <f t="shared" si="1"/>
        <v>0</v>
      </c>
      <c r="K82" s="25" t="s">
        <v>260</v>
      </c>
      <c r="L82" s="29" t="s">
        <v>261</v>
      </c>
      <c r="M82" s="24">
        <v>6.268</v>
      </c>
      <c r="N82" s="24">
        <v>6.268</v>
      </c>
      <c r="O82" s="30"/>
    </row>
    <row r="83" ht="21.05" customHeight="1" spans="1:15">
      <c r="A83" s="10"/>
      <c r="B83" s="10"/>
      <c r="C83" s="10" t="s">
        <v>422</v>
      </c>
      <c r="D83" s="10" t="s">
        <v>383</v>
      </c>
      <c r="E83" s="10" t="s">
        <v>382</v>
      </c>
      <c r="F83" s="10" t="s">
        <v>297</v>
      </c>
      <c r="G83" s="24">
        <v>0.4</v>
      </c>
      <c r="H83" s="24">
        <v>433.05</v>
      </c>
      <c r="I83" s="24">
        <v>0.398</v>
      </c>
      <c r="J83" s="25">
        <f t="shared" si="1"/>
        <v>0.002</v>
      </c>
      <c r="K83" s="25" t="s">
        <v>423</v>
      </c>
      <c r="L83" s="29" t="s">
        <v>261</v>
      </c>
      <c r="M83" s="24">
        <v>426.8428</v>
      </c>
      <c r="N83" s="24">
        <v>426.8428</v>
      </c>
      <c r="O83" s="30"/>
    </row>
    <row r="84" ht="21.05" customHeight="1" spans="1:15">
      <c r="A84" s="10"/>
      <c r="B84" s="10"/>
      <c r="C84" s="10" t="s">
        <v>424</v>
      </c>
      <c r="D84" s="10" t="s">
        <v>425</v>
      </c>
      <c r="E84" s="10" t="s">
        <v>382</v>
      </c>
      <c r="F84" s="10" t="s">
        <v>297</v>
      </c>
      <c r="G84" s="24">
        <v>22</v>
      </c>
      <c r="H84" s="24">
        <v>860.5</v>
      </c>
      <c r="I84" s="24">
        <v>21.4143</v>
      </c>
      <c r="J84" s="25">
        <f t="shared" si="1"/>
        <v>0.585699999999999</v>
      </c>
      <c r="K84" s="25" t="s">
        <v>426</v>
      </c>
      <c r="L84" s="29" t="s">
        <v>272</v>
      </c>
      <c r="M84" s="24">
        <v>842.502</v>
      </c>
      <c r="N84" s="24">
        <v>842.502</v>
      </c>
      <c r="O84" s="30" t="s">
        <v>273</v>
      </c>
    </row>
    <row r="85" ht="21.05" customHeight="1" spans="1:15">
      <c r="A85" s="10"/>
      <c r="B85" s="10"/>
      <c r="C85" s="10"/>
      <c r="D85" s="10" t="s">
        <v>383</v>
      </c>
      <c r="E85" s="10" t="s">
        <v>382</v>
      </c>
      <c r="F85" s="10" t="s">
        <v>297</v>
      </c>
      <c r="G85" s="24">
        <v>35.5</v>
      </c>
      <c r="H85" s="24">
        <v>1403.5</v>
      </c>
      <c r="I85" s="24">
        <v>29.5448</v>
      </c>
      <c r="J85" s="25">
        <f t="shared" si="1"/>
        <v>5.9552</v>
      </c>
      <c r="K85" s="25" t="s">
        <v>427</v>
      </c>
      <c r="L85" s="29" t="s">
        <v>272</v>
      </c>
      <c r="M85" s="24">
        <v>1305.2541</v>
      </c>
      <c r="N85" s="24">
        <v>1305.2541</v>
      </c>
      <c r="O85" s="30" t="s">
        <v>273</v>
      </c>
    </row>
    <row r="86" ht="21.05" customHeight="1" spans="1:15">
      <c r="A86" s="10"/>
      <c r="B86" s="10"/>
      <c r="C86" s="10"/>
      <c r="D86" s="10" t="s">
        <v>428</v>
      </c>
      <c r="E86" s="10" t="s">
        <v>382</v>
      </c>
      <c r="F86" s="10" t="s">
        <v>297</v>
      </c>
      <c r="G86" s="24">
        <v>0</v>
      </c>
      <c r="H86" s="24">
        <v>57</v>
      </c>
      <c r="I86" s="24">
        <v>0</v>
      </c>
      <c r="J86" s="25">
        <f t="shared" si="1"/>
        <v>0</v>
      </c>
      <c r="K86" s="25" t="s">
        <v>260</v>
      </c>
      <c r="L86" s="29" t="s">
        <v>261</v>
      </c>
      <c r="M86" s="24">
        <v>54.8282</v>
      </c>
      <c r="N86" s="24">
        <v>54.8282</v>
      </c>
      <c r="O86" s="30"/>
    </row>
    <row r="87" ht="21.05" customHeight="1" spans="1:15">
      <c r="A87" s="10"/>
      <c r="B87" s="10"/>
      <c r="C87" s="10" t="s">
        <v>429</v>
      </c>
      <c r="D87" s="10" t="s">
        <v>383</v>
      </c>
      <c r="E87" s="10" t="s">
        <v>382</v>
      </c>
      <c r="F87" s="10" t="s">
        <v>297</v>
      </c>
      <c r="G87" s="24">
        <v>20.8</v>
      </c>
      <c r="H87" s="24">
        <v>671.1</v>
      </c>
      <c r="I87" s="24">
        <v>20.7792</v>
      </c>
      <c r="J87" s="25">
        <f t="shared" si="1"/>
        <v>0.0208000000000013</v>
      </c>
      <c r="K87" s="25" t="s">
        <v>364</v>
      </c>
      <c r="L87" s="29" t="s">
        <v>261</v>
      </c>
      <c r="M87" s="24">
        <v>669.8858</v>
      </c>
      <c r="N87" s="24">
        <v>669.8858</v>
      </c>
      <c r="O87" s="30"/>
    </row>
    <row r="88" ht="21.05" customHeight="1" spans="1:15">
      <c r="A88" s="10"/>
      <c r="B88" s="10" t="s">
        <v>430</v>
      </c>
      <c r="C88" s="10" t="s">
        <v>431</v>
      </c>
      <c r="D88" s="10" t="s">
        <v>383</v>
      </c>
      <c r="E88" s="10" t="s">
        <v>382</v>
      </c>
      <c r="F88" s="10" t="s">
        <v>297</v>
      </c>
      <c r="G88" s="24">
        <v>73.6</v>
      </c>
      <c r="H88" s="24">
        <v>2207.36</v>
      </c>
      <c r="I88" s="24">
        <v>70.3588</v>
      </c>
      <c r="J88" s="25">
        <f t="shared" si="1"/>
        <v>3.24119999999999</v>
      </c>
      <c r="K88" s="25" t="s">
        <v>432</v>
      </c>
      <c r="L88" s="29" t="s">
        <v>272</v>
      </c>
      <c r="M88" s="24">
        <v>2139.5906</v>
      </c>
      <c r="N88" s="24">
        <v>2139.5906</v>
      </c>
      <c r="O88" s="30" t="s">
        <v>372</v>
      </c>
    </row>
    <row r="89" ht="21.05" customHeight="1" spans="1:15">
      <c r="A89" s="10"/>
      <c r="B89" s="10"/>
      <c r="C89" s="10"/>
      <c r="D89" s="10" t="s">
        <v>433</v>
      </c>
      <c r="E89" s="10" t="s">
        <v>382</v>
      </c>
      <c r="F89" s="10" t="s">
        <v>297</v>
      </c>
      <c r="G89" s="24">
        <v>2.2</v>
      </c>
      <c r="H89" s="24">
        <v>27.6</v>
      </c>
      <c r="I89" s="24">
        <v>1.7883</v>
      </c>
      <c r="J89" s="25">
        <f t="shared" si="1"/>
        <v>0.4117</v>
      </c>
      <c r="K89" s="25" t="s">
        <v>434</v>
      </c>
      <c r="L89" s="29" t="s">
        <v>272</v>
      </c>
      <c r="M89" s="24">
        <v>25.7276</v>
      </c>
      <c r="N89" s="24">
        <v>25.7276</v>
      </c>
      <c r="O89" s="30" t="s">
        <v>372</v>
      </c>
    </row>
    <row r="90" ht="21.05" customHeight="1" spans="1:15">
      <c r="A90" s="10"/>
      <c r="B90" s="10" t="s">
        <v>435</v>
      </c>
      <c r="C90" s="10" t="s">
        <v>436</v>
      </c>
      <c r="D90" s="10" t="s">
        <v>383</v>
      </c>
      <c r="E90" s="10" t="s">
        <v>382</v>
      </c>
      <c r="F90" s="10" t="s">
        <v>297</v>
      </c>
      <c r="G90" s="24">
        <v>11.57</v>
      </c>
      <c r="H90" s="24">
        <v>349.8</v>
      </c>
      <c r="I90" s="24">
        <v>10.5769</v>
      </c>
      <c r="J90" s="25">
        <f t="shared" si="1"/>
        <v>0.9931</v>
      </c>
      <c r="K90" s="25" t="s">
        <v>437</v>
      </c>
      <c r="L90" s="29" t="s">
        <v>272</v>
      </c>
      <c r="M90" s="24">
        <v>337.1108</v>
      </c>
      <c r="N90" s="24">
        <v>337.1108</v>
      </c>
      <c r="O90" s="30" t="s">
        <v>273</v>
      </c>
    </row>
    <row r="91" ht="21.05" customHeight="1" spans="1:15">
      <c r="A91" s="10"/>
      <c r="B91" s="10" t="s">
        <v>438</v>
      </c>
      <c r="C91" s="10" t="s">
        <v>439</v>
      </c>
      <c r="D91" s="10" t="s">
        <v>440</v>
      </c>
      <c r="E91" s="10" t="s">
        <v>356</v>
      </c>
      <c r="F91" s="10" t="s">
        <v>297</v>
      </c>
      <c r="G91" s="24">
        <v>0.6</v>
      </c>
      <c r="H91" s="24">
        <v>20.05</v>
      </c>
      <c r="I91" s="24">
        <v>0.6002</v>
      </c>
      <c r="J91" s="25">
        <f t="shared" si="1"/>
        <v>-0.000199999999999978</v>
      </c>
      <c r="K91" s="25" t="s">
        <v>441</v>
      </c>
      <c r="L91" s="29" t="s">
        <v>261</v>
      </c>
      <c r="M91" s="24">
        <v>19.8929</v>
      </c>
      <c r="N91" s="24">
        <v>19.8929</v>
      </c>
      <c r="O91" s="30"/>
    </row>
    <row r="92" ht="21.05" customHeight="1" spans="1:15">
      <c r="A92" s="10"/>
      <c r="B92" s="10" t="s">
        <v>442</v>
      </c>
      <c r="C92" s="10" t="s">
        <v>443</v>
      </c>
      <c r="D92" s="10" t="s">
        <v>383</v>
      </c>
      <c r="E92" s="10" t="s">
        <v>382</v>
      </c>
      <c r="F92" s="10" t="s">
        <v>297</v>
      </c>
      <c r="G92" s="24">
        <v>3.8</v>
      </c>
      <c r="H92" s="24">
        <v>238.1</v>
      </c>
      <c r="I92" s="24">
        <v>3.7904</v>
      </c>
      <c r="J92" s="25">
        <f t="shared" si="1"/>
        <v>0.00959999999999983</v>
      </c>
      <c r="K92" s="25" t="s">
        <v>396</v>
      </c>
      <c r="L92" s="29" t="s">
        <v>261</v>
      </c>
      <c r="M92" s="24">
        <v>236.0906</v>
      </c>
      <c r="N92" s="24">
        <v>236.0906</v>
      </c>
      <c r="O92" s="30"/>
    </row>
    <row r="93" ht="21.05" customHeight="1" spans="1:15">
      <c r="A93" s="10"/>
      <c r="B93" s="10"/>
      <c r="C93" s="10"/>
      <c r="D93" s="10" t="s">
        <v>444</v>
      </c>
      <c r="E93" s="10" t="s">
        <v>382</v>
      </c>
      <c r="F93" s="10" t="s">
        <v>297</v>
      </c>
      <c r="G93" s="24">
        <v>18.9</v>
      </c>
      <c r="H93" s="24">
        <v>491.5</v>
      </c>
      <c r="I93" s="24">
        <v>15.51</v>
      </c>
      <c r="J93" s="25">
        <f t="shared" si="1"/>
        <v>3.39</v>
      </c>
      <c r="K93" s="25" t="s">
        <v>445</v>
      </c>
      <c r="L93" s="29" t="s">
        <v>272</v>
      </c>
      <c r="M93" s="24">
        <v>447.707</v>
      </c>
      <c r="N93" s="24">
        <v>447.707</v>
      </c>
      <c r="O93" s="30" t="s">
        <v>273</v>
      </c>
    </row>
    <row r="94" ht="21.05" customHeight="1" spans="1:15">
      <c r="A94" s="10"/>
      <c r="B94" s="10"/>
      <c r="C94" s="10" t="s">
        <v>90</v>
      </c>
      <c r="D94" s="10" t="s">
        <v>383</v>
      </c>
      <c r="E94" s="10" t="s">
        <v>382</v>
      </c>
      <c r="F94" s="10" t="s">
        <v>297</v>
      </c>
      <c r="G94" s="24">
        <v>2</v>
      </c>
      <c r="H94" s="24">
        <v>118</v>
      </c>
      <c r="I94" s="24">
        <v>1.7844</v>
      </c>
      <c r="J94" s="25">
        <f t="shared" si="1"/>
        <v>0.2156</v>
      </c>
      <c r="K94" s="25" t="s">
        <v>446</v>
      </c>
      <c r="L94" s="29" t="s">
        <v>272</v>
      </c>
      <c r="M94" s="24">
        <v>101.8779</v>
      </c>
      <c r="N94" s="24">
        <v>101.8779</v>
      </c>
      <c r="O94" s="30" t="s">
        <v>372</v>
      </c>
    </row>
    <row r="95" ht="21.05" customHeight="1" spans="1:15">
      <c r="A95" s="10"/>
      <c r="B95" s="10"/>
      <c r="C95" s="10" t="s">
        <v>447</v>
      </c>
      <c r="D95" s="10" t="s">
        <v>448</v>
      </c>
      <c r="E95" s="10" t="s">
        <v>382</v>
      </c>
      <c r="F95" s="10" t="s">
        <v>297</v>
      </c>
      <c r="G95" s="24">
        <v>4.2</v>
      </c>
      <c r="H95" s="24">
        <v>82.2</v>
      </c>
      <c r="I95" s="24">
        <v>4.1953</v>
      </c>
      <c r="J95" s="25">
        <f t="shared" si="1"/>
        <v>0.00470000000000059</v>
      </c>
      <c r="K95" s="25" t="s">
        <v>449</v>
      </c>
      <c r="L95" s="29" t="s">
        <v>261</v>
      </c>
      <c r="M95" s="24">
        <v>79.0416</v>
      </c>
      <c r="N95" s="24">
        <v>79.0416</v>
      </c>
      <c r="O95" s="30"/>
    </row>
    <row r="96" ht="21.05" customHeight="1" spans="1:15">
      <c r="A96" s="10"/>
      <c r="B96" s="10"/>
      <c r="C96" s="10"/>
      <c r="D96" s="10" t="s">
        <v>450</v>
      </c>
      <c r="E96" s="10" t="s">
        <v>382</v>
      </c>
      <c r="F96" s="10" t="s">
        <v>297</v>
      </c>
      <c r="G96" s="24">
        <v>150</v>
      </c>
      <c r="H96" s="24">
        <v>1960</v>
      </c>
      <c r="I96" s="24">
        <v>133.4077</v>
      </c>
      <c r="J96" s="25">
        <f t="shared" si="1"/>
        <v>16.5923</v>
      </c>
      <c r="K96" s="25" t="s">
        <v>451</v>
      </c>
      <c r="L96" s="29" t="s">
        <v>272</v>
      </c>
      <c r="M96" s="24">
        <v>1968.9354</v>
      </c>
      <c r="N96" s="24">
        <v>1968.9354</v>
      </c>
      <c r="O96" s="30" t="s">
        <v>273</v>
      </c>
    </row>
    <row r="97" ht="21.05" customHeight="1" spans="1:15">
      <c r="A97" s="10"/>
      <c r="B97" s="10"/>
      <c r="C97" s="10"/>
      <c r="D97" s="10" t="s">
        <v>452</v>
      </c>
      <c r="E97" s="10" t="s">
        <v>382</v>
      </c>
      <c r="F97" s="10" t="s">
        <v>297</v>
      </c>
      <c r="G97" s="24">
        <v>23.92</v>
      </c>
      <c r="H97" s="24">
        <v>679.37</v>
      </c>
      <c r="I97" s="24">
        <v>20.7531</v>
      </c>
      <c r="J97" s="25">
        <f t="shared" si="1"/>
        <v>3.1669</v>
      </c>
      <c r="K97" s="25" t="s">
        <v>453</v>
      </c>
      <c r="L97" s="29" t="s">
        <v>272</v>
      </c>
      <c r="M97" s="24">
        <v>649.0274</v>
      </c>
      <c r="N97" s="24">
        <v>649.0274</v>
      </c>
      <c r="O97" s="30" t="s">
        <v>273</v>
      </c>
    </row>
    <row r="98" ht="21.05" customHeight="1" spans="1:15">
      <c r="A98" s="10"/>
      <c r="B98" s="10" t="s">
        <v>454</v>
      </c>
      <c r="C98" s="10" t="s">
        <v>455</v>
      </c>
      <c r="D98" s="10" t="s">
        <v>366</v>
      </c>
      <c r="E98" s="10" t="s">
        <v>359</v>
      </c>
      <c r="F98" s="10" t="s">
        <v>297</v>
      </c>
      <c r="G98" s="24">
        <v>0</v>
      </c>
      <c r="H98" s="24">
        <v>107.5</v>
      </c>
      <c r="I98" s="24">
        <v>0</v>
      </c>
      <c r="J98" s="25">
        <f t="shared" si="1"/>
        <v>0</v>
      </c>
      <c r="K98" s="25" t="s">
        <v>260</v>
      </c>
      <c r="L98" s="29" t="s">
        <v>261</v>
      </c>
      <c r="M98" s="24">
        <v>106.8454</v>
      </c>
      <c r="N98" s="24">
        <v>106.8454</v>
      </c>
      <c r="O98" s="30"/>
    </row>
    <row r="99" ht="21.05" customHeight="1" spans="1:15">
      <c r="A99" s="10"/>
      <c r="B99" s="10"/>
      <c r="C99" s="10"/>
      <c r="D99" s="10" t="s">
        <v>456</v>
      </c>
      <c r="E99" s="10" t="s">
        <v>359</v>
      </c>
      <c r="F99" s="10" t="s">
        <v>297</v>
      </c>
      <c r="G99" s="24">
        <v>124.5</v>
      </c>
      <c r="H99" s="24">
        <v>3809.2</v>
      </c>
      <c r="I99" s="24">
        <v>122.7537</v>
      </c>
      <c r="J99" s="25">
        <f t="shared" si="1"/>
        <v>1.74630000000001</v>
      </c>
      <c r="K99" s="25" t="s">
        <v>457</v>
      </c>
      <c r="L99" s="29" t="s">
        <v>272</v>
      </c>
      <c r="M99" s="24">
        <v>3793.8336</v>
      </c>
      <c r="N99" s="24">
        <v>3793.8336</v>
      </c>
      <c r="O99" s="30" t="s">
        <v>273</v>
      </c>
    </row>
    <row r="100" ht="21.05" customHeight="1" spans="1:15">
      <c r="A100" s="10"/>
      <c r="B100" s="10"/>
      <c r="C100" s="10" t="s">
        <v>458</v>
      </c>
      <c r="D100" s="10" t="s">
        <v>366</v>
      </c>
      <c r="E100" s="10" t="s">
        <v>359</v>
      </c>
      <c r="F100" s="10" t="s">
        <v>297</v>
      </c>
      <c r="G100" s="24">
        <v>2</v>
      </c>
      <c r="H100" s="24">
        <v>474.3</v>
      </c>
      <c r="I100" s="24">
        <v>1.9932</v>
      </c>
      <c r="J100" s="25">
        <f t="shared" si="1"/>
        <v>0.00679999999999992</v>
      </c>
      <c r="K100" s="25" t="s">
        <v>459</v>
      </c>
      <c r="L100" s="29" t="s">
        <v>261</v>
      </c>
      <c r="M100" s="24">
        <v>461.1343</v>
      </c>
      <c r="N100" s="24">
        <v>461.1343</v>
      </c>
      <c r="O100" s="30"/>
    </row>
    <row r="101" ht="21.05" customHeight="1" spans="1:15">
      <c r="A101" s="10"/>
      <c r="B101" s="10"/>
      <c r="C101" s="10"/>
      <c r="D101" s="10" t="s">
        <v>358</v>
      </c>
      <c r="E101" s="10" t="s">
        <v>359</v>
      </c>
      <c r="F101" s="10" t="s">
        <v>297</v>
      </c>
      <c r="G101" s="24">
        <v>10.4</v>
      </c>
      <c r="H101" s="24">
        <v>600.4</v>
      </c>
      <c r="I101" s="24">
        <v>10.3813</v>
      </c>
      <c r="J101" s="25">
        <f t="shared" si="1"/>
        <v>0.0187000000000008</v>
      </c>
      <c r="K101" s="25" t="s">
        <v>402</v>
      </c>
      <c r="L101" s="29" t="s">
        <v>261</v>
      </c>
      <c r="M101" s="24">
        <v>599.3287</v>
      </c>
      <c r="N101" s="24">
        <v>599.3287</v>
      </c>
      <c r="O101" s="30"/>
    </row>
    <row r="102" ht="21.05" customHeight="1" spans="1:15">
      <c r="A102" s="10"/>
      <c r="B102" s="10"/>
      <c r="C102" s="10"/>
      <c r="D102" s="10" t="s">
        <v>460</v>
      </c>
      <c r="E102" s="10" t="s">
        <v>359</v>
      </c>
      <c r="F102" s="10" t="s">
        <v>297</v>
      </c>
      <c r="G102" s="24">
        <v>2.6</v>
      </c>
      <c r="H102" s="24">
        <v>355.9</v>
      </c>
      <c r="I102" s="24">
        <v>2.595</v>
      </c>
      <c r="J102" s="25">
        <f t="shared" si="1"/>
        <v>0.00499999999999989</v>
      </c>
      <c r="K102" s="25" t="s">
        <v>388</v>
      </c>
      <c r="L102" s="29" t="s">
        <v>261</v>
      </c>
      <c r="M102" s="24">
        <v>348.369</v>
      </c>
      <c r="N102" s="24">
        <v>348.369</v>
      </c>
      <c r="O102" s="30"/>
    </row>
    <row r="103" ht="21.05" customHeight="1" spans="1:15">
      <c r="A103" s="10"/>
      <c r="B103" s="10"/>
      <c r="C103" s="10" t="s">
        <v>461</v>
      </c>
      <c r="D103" s="10" t="s">
        <v>462</v>
      </c>
      <c r="E103" s="10" t="s">
        <v>359</v>
      </c>
      <c r="F103" s="10" t="s">
        <v>297</v>
      </c>
      <c r="G103" s="24">
        <v>40.9</v>
      </c>
      <c r="H103" s="24">
        <v>1672.1</v>
      </c>
      <c r="I103" s="24">
        <v>40.8076</v>
      </c>
      <c r="J103" s="25">
        <f t="shared" si="1"/>
        <v>0.0923999999999978</v>
      </c>
      <c r="K103" s="25" t="s">
        <v>463</v>
      </c>
      <c r="L103" s="29" t="s">
        <v>261</v>
      </c>
      <c r="M103" s="24">
        <v>1623.3031</v>
      </c>
      <c r="N103" s="24">
        <v>1623.3031</v>
      </c>
      <c r="O103" s="30"/>
    </row>
    <row r="104" ht="21.05" customHeight="1" spans="1:15">
      <c r="A104" s="10"/>
      <c r="B104" s="10"/>
      <c r="C104" s="10"/>
      <c r="D104" s="10" t="s">
        <v>404</v>
      </c>
      <c r="E104" s="10" t="s">
        <v>359</v>
      </c>
      <c r="F104" s="10" t="s">
        <v>297</v>
      </c>
      <c r="G104" s="24">
        <v>0</v>
      </c>
      <c r="H104" s="24">
        <v>0</v>
      </c>
      <c r="I104" s="24">
        <v>0</v>
      </c>
      <c r="J104" s="25">
        <f t="shared" si="1"/>
        <v>0</v>
      </c>
      <c r="K104" s="25" t="s">
        <v>260</v>
      </c>
      <c r="L104" s="29" t="s">
        <v>261</v>
      </c>
      <c r="M104" s="24">
        <v>0</v>
      </c>
      <c r="N104" s="24">
        <v>0</v>
      </c>
      <c r="O104" s="30"/>
    </row>
    <row r="105" ht="21.05" customHeight="1" spans="1:15">
      <c r="A105" s="10"/>
      <c r="B105" s="10"/>
      <c r="C105" s="10" t="s">
        <v>464</v>
      </c>
      <c r="D105" s="10" t="s">
        <v>465</v>
      </c>
      <c r="E105" s="10" t="s">
        <v>359</v>
      </c>
      <c r="F105" s="10" t="s">
        <v>297</v>
      </c>
      <c r="G105" s="24">
        <v>0</v>
      </c>
      <c r="H105" s="24">
        <v>0</v>
      </c>
      <c r="I105" s="24">
        <v>0</v>
      </c>
      <c r="J105" s="25">
        <f t="shared" si="1"/>
        <v>0</v>
      </c>
      <c r="K105" s="25" t="s">
        <v>260</v>
      </c>
      <c r="L105" s="29" t="s">
        <v>261</v>
      </c>
      <c r="M105" s="24">
        <v>0</v>
      </c>
      <c r="N105" s="24">
        <v>0</v>
      </c>
      <c r="O105" s="30"/>
    </row>
    <row r="106" ht="21.05" customHeight="1" spans="1:15">
      <c r="A106" s="10"/>
      <c r="B106" s="10"/>
      <c r="C106" s="10"/>
      <c r="D106" s="10" t="s">
        <v>366</v>
      </c>
      <c r="E106" s="10" t="s">
        <v>359</v>
      </c>
      <c r="F106" s="10" t="s">
        <v>297</v>
      </c>
      <c r="G106" s="24">
        <v>0</v>
      </c>
      <c r="H106" s="24">
        <v>0</v>
      </c>
      <c r="I106" s="24">
        <v>0</v>
      </c>
      <c r="J106" s="25">
        <f t="shared" si="1"/>
        <v>0</v>
      </c>
      <c r="K106" s="25" t="s">
        <v>260</v>
      </c>
      <c r="L106" s="29" t="s">
        <v>261</v>
      </c>
      <c r="M106" s="24">
        <v>0</v>
      </c>
      <c r="N106" s="24">
        <v>0</v>
      </c>
      <c r="O106" s="30"/>
    </row>
    <row r="107" ht="21.05" customHeight="1" spans="1:15">
      <c r="A107" s="10"/>
      <c r="B107" s="10"/>
      <c r="C107" s="10"/>
      <c r="D107" s="10" t="s">
        <v>466</v>
      </c>
      <c r="E107" s="10" t="s">
        <v>359</v>
      </c>
      <c r="F107" s="10" t="s">
        <v>297</v>
      </c>
      <c r="G107" s="24">
        <v>125</v>
      </c>
      <c r="H107" s="24">
        <v>3905</v>
      </c>
      <c r="I107" s="24">
        <v>124.166</v>
      </c>
      <c r="J107" s="25">
        <f t="shared" si="1"/>
        <v>0.834000000000003</v>
      </c>
      <c r="K107" s="25" t="s">
        <v>467</v>
      </c>
      <c r="L107" s="29" t="s">
        <v>261</v>
      </c>
      <c r="M107" s="24">
        <v>3862.016</v>
      </c>
      <c r="N107" s="24">
        <v>3862.016</v>
      </c>
      <c r="O107" s="30"/>
    </row>
    <row r="108" ht="21.05" customHeight="1" spans="1:15">
      <c r="A108" s="10"/>
      <c r="B108" s="10"/>
      <c r="C108" s="10"/>
      <c r="D108" s="10" t="s">
        <v>358</v>
      </c>
      <c r="E108" s="10" t="s">
        <v>359</v>
      </c>
      <c r="F108" s="10" t="s">
        <v>297</v>
      </c>
      <c r="G108" s="24">
        <v>100</v>
      </c>
      <c r="H108" s="24">
        <v>3388.2932</v>
      </c>
      <c r="I108" s="24">
        <v>94.671</v>
      </c>
      <c r="J108" s="25">
        <f t="shared" si="1"/>
        <v>5.32899999999999</v>
      </c>
      <c r="K108" s="25" t="s">
        <v>468</v>
      </c>
      <c r="L108" s="29" t="s">
        <v>272</v>
      </c>
      <c r="M108" s="24">
        <v>3313.41</v>
      </c>
      <c r="N108" s="24">
        <v>3313.41</v>
      </c>
      <c r="O108" s="30" t="s">
        <v>273</v>
      </c>
    </row>
    <row r="109" ht="21.05" customHeight="1" spans="1:15">
      <c r="A109" s="10"/>
      <c r="B109" s="10"/>
      <c r="C109" s="10"/>
      <c r="D109" s="10" t="s">
        <v>469</v>
      </c>
      <c r="E109" s="10" t="s">
        <v>359</v>
      </c>
      <c r="F109" s="10" t="s">
        <v>297</v>
      </c>
      <c r="G109" s="24">
        <v>8.477</v>
      </c>
      <c r="H109" s="24">
        <v>247.627</v>
      </c>
      <c r="I109" s="24">
        <v>7.6653</v>
      </c>
      <c r="J109" s="25">
        <f t="shared" si="1"/>
        <v>0.8117</v>
      </c>
      <c r="K109" s="25" t="s">
        <v>470</v>
      </c>
      <c r="L109" s="29" t="s">
        <v>272</v>
      </c>
      <c r="M109" s="24">
        <v>239.5009</v>
      </c>
      <c r="N109" s="24">
        <v>239.5009</v>
      </c>
      <c r="O109" s="30" t="s">
        <v>273</v>
      </c>
    </row>
    <row r="110" ht="21.05" customHeight="1" spans="1:15">
      <c r="A110" s="10"/>
      <c r="B110" s="10" t="s">
        <v>471</v>
      </c>
      <c r="C110" s="10" t="s">
        <v>472</v>
      </c>
      <c r="D110" s="10" t="s">
        <v>473</v>
      </c>
      <c r="E110" s="10" t="s">
        <v>359</v>
      </c>
      <c r="F110" s="10" t="s">
        <v>297</v>
      </c>
      <c r="G110" s="24">
        <v>4.2</v>
      </c>
      <c r="H110" s="24">
        <v>285.4</v>
      </c>
      <c r="I110" s="24">
        <v>4.194</v>
      </c>
      <c r="J110" s="25">
        <f t="shared" si="1"/>
        <v>0.00600000000000023</v>
      </c>
      <c r="K110" s="25" t="s">
        <v>474</v>
      </c>
      <c r="L110" s="29" t="s">
        <v>261</v>
      </c>
      <c r="M110" s="24">
        <v>283.561</v>
      </c>
      <c r="N110" s="24">
        <v>283.561</v>
      </c>
      <c r="O110" s="30"/>
    </row>
    <row r="111" ht="21.05" customHeight="1" spans="1:15">
      <c r="A111" s="10"/>
      <c r="B111" s="10"/>
      <c r="C111" s="10"/>
      <c r="D111" s="10" t="s">
        <v>475</v>
      </c>
      <c r="E111" s="10" t="s">
        <v>359</v>
      </c>
      <c r="F111" s="10" t="s">
        <v>297</v>
      </c>
      <c r="G111" s="24">
        <v>0</v>
      </c>
      <c r="H111" s="24">
        <v>25.74</v>
      </c>
      <c r="I111" s="24">
        <v>0</v>
      </c>
      <c r="J111" s="25">
        <f t="shared" si="1"/>
        <v>0</v>
      </c>
      <c r="K111" s="25" t="s">
        <v>260</v>
      </c>
      <c r="L111" s="29" t="s">
        <v>261</v>
      </c>
      <c r="M111" s="24">
        <v>25.6754</v>
      </c>
      <c r="N111" s="24">
        <v>25.6754</v>
      </c>
      <c r="O111" s="30"/>
    </row>
    <row r="112" ht="21.05" customHeight="1" spans="1:15">
      <c r="A112" s="10"/>
      <c r="B112" s="10"/>
      <c r="C112" s="10" t="s">
        <v>476</v>
      </c>
      <c r="D112" s="10" t="s">
        <v>477</v>
      </c>
      <c r="E112" s="10" t="s">
        <v>359</v>
      </c>
      <c r="F112" s="10" t="s">
        <v>297</v>
      </c>
      <c r="G112" s="24">
        <v>0.53</v>
      </c>
      <c r="H112" s="24">
        <v>24.38</v>
      </c>
      <c r="I112" s="24">
        <v>0.529</v>
      </c>
      <c r="J112" s="25">
        <f t="shared" si="1"/>
        <v>0.001</v>
      </c>
      <c r="K112" s="25" t="s">
        <v>388</v>
      </c>
      <c r="L112" s="29" t="s">
        <v>261</v>
      </c>
      <c r="M112" s="24">
        <v>24.3316</v>
      </c>
      <c r="N112" s="24">
        <v>24.3316</v>
      </c>
      <c r="O112" s="30"/>
    </row>
    <row r="113" ht="21.05" customHeight="1" spans="1:15">
      <c r="A113" s="10"/>
      <c r="B113" s="10"/>
      <c r="C113" s="10" t="s">
        <v>478</v>
      </c>
      <c r="D113" s="10" t="s">
        <v>479</v>
      </c>
      <c r="E113" s="10" t="s">
        <v>359</v>
      </c>
      <c r="F113" s="10" t="s">
        <v>297</v>
      </c>
      <c r="G113" s="24">
        <v>5.5</v>
      </c>
      <c r="H113" s="24">
        <v>320.3</v>
      </c>
      <c r="I113" s="24">
        <v>5.4894</v>
      </c>
      <c r="J113" s="25">
        <f t="shared" si="1"/>
        <v>0.0106000000000002</v>
      </c>
      <c r="K113" s="25" t="s">
        <v>388</v>
      </c>
      <c r="L113" s="29" t="s">
        <v>261</v>
      </c>
      <c r="M113" s="24">
        <v>314.3118</v>
      </c>
      <c r="N113" s="24">
        <v>314.3118</v>
      </c>
      <c r="O113" s="30"/>
    </row>
    <row r="114" ht="21.05" customHeight="1" spans="1:15">
      <c r="A114" s="10"/>
      <c r="B114" s="10"/>
      <c r="C114" s="10" t="s">
        <v>480</v>
      </c>
      <c r="D114" s="10" t="s">
        <v>481</v>
      </c>
      <c r="E114" s="10" t="s">
        <v>359</v>
      </c>
      <c r="F114" s="10" t="s">
        <v>297</v>
      </c>
      <c r="G114" s="24">
        <v>1.475</v>
      </c>
      <c r="H114" s="24">
        <v>55.375</v>
      </c>
      <c r="I114" s="24">
        <v>1.4746</v>
      </c>
      <c r="J114" s="25">
        <f t="shared" si="1"/>
        <v>0.000400000000000178</v>
      </c>
      <c r="K114" s="25" t="s">
        <v>482</v>
      </c>
      <c r="L114" s="29" t="s">
        <v>261</v>
      </c>
      <c r="M114" s="24">
        <v>55.3454</v>
      </c>
      <c r="N114" s="24">
        <v>55.3454</v>
      </c>
      <c r="O114" s="30"/>
    </row>
    <row r="115" ht="21.05" customHeight="1" spans="1:15">
      <c r="A115" s="10"/>
      <c r="B115" s="10"/>
      <c r="C115" s="10" t="s">
        <v>483</v>
      </c>
      <c r="D115" s="10" t="s">
        <v>477</v>
      </c>
      <c r="E115" s="10" t="s">
        <v>359</v>
      </c>
      <c r="F115" s="10" t="s">
        <v>297</v>
      </c>
      <c r="G115" s="24">
        <v>1.3</v>
      </c>
      <c r="H115" s="24">
        <v>48.9</v>
      </c>
      <c r="I115" s="24">
        <v>1.2967</v>
      </c>
      <c r="J115" s="25">
        <f t="shared" si="1"/>
        <v>0.00330000000000008</v>
      </c>
      <c r="K115" s="25" t="s">
        <v>396</v>
      </c>
      <c r="L115" s="29" t="s">
        <v>261</v>
      </c>
      <c r="M115" s="24">
        <v>48.838</v>
      </c>
      <c r="N115" s="24">
        <v>48.838</v>
      </c>
      <c r="O115" s="30"/>
    </row>
    <row r="116" ht="21.05" customHeight="1" spans="1:15">
      <c r="A116" s="10"/>
      <c r="B116" s="10" t="s">
        <v>484</v>
      </c>
      <c r="C116" s="10" t="s">
        <v>485</v>
      </c>
      <c r="D116" s="10" t="s">
        <v>486</v>
      </c>
      <c r="E116" s="10" t="s">
        <v>356</v>
      </c>
      <c r="F116" s="10" t="s">
        <v>297</v>
      </c>
      <c r="G116" s="24">
        <v>1</v>
      </c>
      <c r="H116" s="24">
        <v>31</v>
      </c>
      <c r="I116" s="24">
        <v>0.9983</v>
      </c>
      <c r="J116" s="25">
        <f t="shared" si="1"/>
        <v>0.00170000000000003</v>
      </c>
      <c r="K116" s="25" t="s">
        <v>487</v>
      </c>
      <c r="L116" s="29" t="s">
        <v>261</v>
      </c>
      <c r="M116" s="24">
        <v>30.9566</v>
      </c>
      <c r="N116" s="24">
        <v>30.9566</v>
      </c>
      <c r="O116" s="30"/>
    </row>
    <row r="117" ht="21.05" customHeight="1" spans="1:15">
      <c r="A117" s="10"/>
      <c r="B117" s="10"/>
      <c r="C117" s="10"/>
      <c r="D117" s="10" t="s">
        <v>488</v>
      </c>
      <c r="E117" s="10" t="s">
        <v>356</v>
      </c>
      <c r="F117" s="10" t="s">
        <v>297</v>
      </c>
      <c r="G117" s="24">
        <v>0.1</v>
      </c>
      <c r="H117" s="24">
        <v>40.4</v>
      </c>
      <c r="I117" s="24">
        <v>0.1003</v>
      </c>
      <c r="J117" s="25">
        <f t="shared" si="1"/>
        <v>-0.000299999999999995</v>
      </c>
      <c r="K117" s="25" t="s">
        <v>489</v>
      </c>
      <c r="L117" s="29" t="s">
        <v>261</v>
      </c>
      <c r="M117" s="24">
        <v>36.238</v>
      </c>
      <c r="N117" s="24">
        <v>36.238</v>
      </c>
      <c r="O117" s="30"/>
    </row>
    <row r="118" ht="21.05" customHeight="1" spans="1:15">
      <c r="A118" s="10"/>
      <c r="B118" s="10"/>
      <c r="C118" s="10" t="s">
        <v>490</v>
      </c>
      <c r="D118" s="10" t="s">
        <v>491</v>
      </c>
      <c r="E118" s="10" t="s">
        <v>356</v>
      </c>
      <c r="F118" s="10" t="s">
        <v>297</v>
      </c>
      <c r="G118" s="24">
        <v>0</v>
      </c>
      <c r="H118" s="24">
        <v>0</v>
      </c>
      <c r="I118" s="24">
        <v>0</v>
      </c>
      <c r="J118" s="25">
        <f t="shared" si="1"/>
        <v>0</v>
      </c>
      <c r="K118" s="25" t="s">
        <v>260</v>
      </c>
      <c r="L118" s="29" t="s">
        <v>261</v>
      </c>
      <c r="M118" s="24">
        <v>0</v>
      </c>
      <c r="N118" s="24">
        <v>0</v>
      </c>
      <c r="O118" s="30"/>
    </row>
    <row r="119" ht="21.05" customHeight="1" spans="1:15">
      <c r="A119" s="10"/>
      <c r="B119" s="10"/>
      <c r="C119" s="10" t="s">
        <v>492</v>
      </c>
      <c r="D119" s="10" t="s">
        <v>493</v>
      </c>
      <c r="E119" s="10" t="s">
        <v>356</v>
      </c>
      <c r="F119" s="10" t="s">
        <v>297</v>
      </c>
      <c r="G119" s="24">
        <v>0</v>
      </c>
      <c r="H119" s="24">
        <v>0</v>
      </c>
      <c r="I119" s="24">
        <v>0</v>
      </c>
      <c r="J119" s="25">
        <f t="shared" si="1"/>
        <v>0</v>
      </c>
      <c r="K119" s="25" t="s">
        <v>260</v>
      </c>
      <c r="L119" s="29" t="s">
        <v>261</v>
      </c>
      <c r="M119" s="24">
        <v>0</v>
      </c>
      <c r="N119" s="24">
        <v>0</v>
      </c>
      <c r="O119" s="30"/>
    </row>
    <row r="120" ht="21.05" customHeight="1" spans="1:15">
      <c r="A120" s="10"/>
      <c r="B120" s="10"/>
      <c r="C120" s="10"/>
      <c r="D120" s="10" t="s">
        <v>494</v>
      </c>
      <c r="E120" s="10" t="s">
        <v>356</v>
      </c>
      <c r="F120" s="10" t="s">
        <v>297</v>
      </c>
      <c r="G120" s="24">
        <v>32.71</v>
      </c>
      <c r="H120" s="24">
        <v>825.84</v>
      </c>
      <c r="I120" s="24">
        <v>32.6488</v>
      </c>
      <c r="J120" s="25">
        <f t="shared" si="1"/>
        <v>0.0611999999999995</v>
      </c>
      <c r="K120" s="25" t="s">
        <v>388</v>
      </c>
      <c r="L120" s="29" t="s">
        <v>261</v>
      </c>
      <c r="M120" s="24">
        <v>821.602</v>
      </c>
      <c r="N120" s="24">
        <v>821.602</v>
      </c>
      <c r="O120" s="30"/>
    </row>
    <row r="121" ht="21.05" customHeight="1" spans="1:15">
      <c r="A121" s="10"/>
      <c r="B121" s="10" t="s">
        <v>495</v>
      </c>
      <c r="C121" s="10" t="s">
        <v>496</v>
      </c>
      <c r="D121" s="10" t="s">
        <v>497</v>
      </c>
      <c r="E121" s="10" t="s">
        <v>356</v>
      </c>
      <c r="F121" s="10" t="s">
        <v>297</v>
      </c>
      <c r="G121" s="24">
        <v>109</v>
      </c>
      <c r="H121" s="24">
        <v>3439.43</v>
      </c>
      <c r="I121" s="24">
        <v>103.6608</v>
      </c>
      <c r="J121" s="25">
        <f t="shared" si="1"/>
        <v>5.33920000000001</v>
      </c>
      <c r="K121" s="25" t="s">
        <v>498</v>
      </c>
      <c r="L121" s="29" t="s">
        <v>272</v>
      </c>
      <c r="M121" s="24">
        <v>3427.9612</v>
      </c>
      <c r="N121" s="24">
        <v>3427.9612</v>
      </c>
      <c r="O121" s="30" t="s">
        <v>372</v>
      </c>
    </row>
    <row r="122" ht="21.05" customHeight="1" spans="1:15">
      <c r="A122" s="10"/>
      <c r="B122" s="10"/>
      <c r="C122" s="10"/>
      <c r="D122" s="10" t="s">
        <v>355</v>
      </c>
      <c r="E122" s="10" t="s">
        <v>356</v>
      </c>
      <c r="F122" s="10" t="s">
        <v>297</v>
      </c>
      <c r="G122" s="24">
        <v>29.86</v>
      </c>
      <c r="H122" s="24">
        <v>911.58</v>
      </c>
      <c r="I122" s="24">
        <v>25.9826</v>
      </c>
      <c r="J122" s="25">
        <f t="shared" si="1"/>
        <v>3.8774</v>
      </c>
      <c r="K122" s="25" t="s">
        <v>499</v>
      </c>
      <c r="L122" s="29" t="s">
        <v>272</v>
      </c>
      <c r="M122" s="24">
        <v>871.8332</v>
      </c>
      <c r="N122" s="24">
        <v>871.8332</v>
      </c>
      <c r="O122" s="30" t="s">
        <v>372</v>
      </c>
    </row>
    <row r="123" ht="21.05" customHeight="1" spans="1:15">
      <c r="A123" s="10"/>
      <c r="B123" s="10" t="s">
        <v>500</v>
      </c>
      <c r="C123" s="10" t="s">
        <v>501</v>
      </c>
      <c r="D123" s="10" t="s">
        <v>502</v>
      </c>
      <c r="E123" s="10" t="s">
        <v>356</v>
      </c>
      <c r="F123" s="10" t="s">
        <v>297</v>
      </c>
      <c r="G123" s="24">
        <v>0.3</v>
      </c>
      <c r="H123" s="24">
        <v>9.04</v>
      </c>
      <c r="I123" s="24">
        <v>0.1965</v>
      </c>
      <c r="J123" s="25">
        <f t="shared" si="1"/>
        <v>0.1035</v>
      </c>
      <c r="K123" s="25" t="s">
        <v>503</v>
      </c>
      <c r="L123" s="29" t="s">
        <v>272</v>
      </c>
      <c r="M123" s="24">
        <v>8.0726</v>
      </c>
      <c r="N123" s="24">
        <v>8.0726</v>
      </c>
      <c r="O123" s="30" t="s">
        <v>273</v>
      </c>
    </row>
    <row r="124" ht="21.05" customHeight="1" spans="1:15">
      <c r="A124" s="10" t="s">
        <v>114</v>
      </c>
      <c r="B124" s="10" t="s">
        <v>504</v>
      </c>
      <c r="C124" s="10" t="s">
        <v>505</v>
      </c>
      <c r="D124" s="10" t="s">
        <v>506</v>
      </c>
      <c r="E124" s="10" t="s">
        <v>296</v>
      </c>
      <c r="F124" s="10" t="s">
        <v>297</v>
      </c>
      <c r="G124" s="24">
        <v>0.37</v>
      </c>
      <c r="H124" s="24">
        <v>12.87</v>
      </c>
      <c r="I124" s="24">
        <v>0.4098</v>
      </c>
      <c r="J124" s="25">
        <f t="shared" si="1"/>
        <v>-0.0398</v>
      </c>
      <c r="K124" s="25" t="s">
        <v>507</v>
      </c>
      <c r="L124" s="29" t="s">
        <v>272</v>
      </c>
      <c r="M124" s="24">
        <v>12.826</v>
      </c>
      <c r="N124" s="24">
        <v>12.826</v>
      </c>
      <c r="O124" s="30" t="s">
        <v>281</v>
      </c>
    </row>
    <row r="125" ht="21.05" customHeight="1" spans="1:15">
      <c r="A125" s="10"/>
      <c r="B125" s="10"/>
      <c r="C125" s="10" t="s">
        <v>508</v>
      </c>
      <c r="D125" s="10" t="s">
        <v>509</v>
      </c>
      <c r="E125" s="10" t="s">
        <v>296</v>
      </c>
      <c r="F125" s="10" t="s">
        <v>297</v>
      </c>
      <c r="G125" s="24">
        <v>1.2</v>
      </c>
      <c r="H125" s="24">
        <v>74.8</v>
      </c>
      <c r="I125" s="24">
        <v>1.2322</v>
      </c>
      <c r="J125" s="25">
        <f t="shared" si="1"/>
        <v>-0.0322</v>
      </c>
      <c r="K125" s="25" t="s">
        <v>510</v>
      </c>
      <c r="L125" s="29" t="s">
        <v>272</v>
      </c>
      <c r="M125" s="24">
        <v>78.028</v>
      </c>
      <c r="N125" s="24">
        <v>78.028</v>
      </c>
      <c r="O125" s="30" t="s">
        <v>299</v>
      </c>
    </row>
    <row r="126" ht="21.05" customHeight="1" spans="1:15">
      <c r="A126" s="10"/>
      <c r="B126" s="10"/>
      <c r="C126" s="10"/>
      <c r="D126" s="10" t="s">
        <v>511</v>
      </c>
      <c r="E126" s="10" t="s">
        <v>296</v>
      </c>
      <c r="F126" s="10" t="s">
        <v>297</v>
      </c>
      <c r="G126" s="24">
        <v>0</v>
      </c>
      <c r="H126" s="24">
        <v>0</v>
      </c>
      <c r="I126" s="24">
        <v>0</v>
      </c>
      <c r="J126" s="25">
        <f t="shared" si="1"/>
        <v>0</v>
      </c>
      <c r="K126" s="25" t="s">
        <v>260</v>
      </c>
      <c r="L126" s="29" t="s">
        <v>261</v>
      </c>
      <c r="M126" s="24">
        <v>0</v>
      </c>
      <c r="N126" s="24">
        <v>0</v>
      </c>
      <c r="O126" s="30"/>
    </row>
    <row r="127" ht="21.05" customHeight="1" spans="1:15">
      <c r="A127" s="10"/>
      <c r="B127" s="10"/>
      <c r="C127" s="10" t="s">
        <v>512</v>
      </c>
      <c r="D127" s="10" t="s">
        <v>513</v>
      </c>
      <c r="E127" s="10" t="s">
        <v>296</v>
      </c>
      <c r="F127" s="10" t="s">
        <v>297</v>
      </c>
      <c r="G127" s="24">
        <v>0</v>
      </c>
      <c r="H127" s="24">
        <v>20.5</v>
      </c>
      <c r="I127" s="24">
        <v>0</v>
      </c>
      <c r="J127" s="25">
        <f t="shared" si="1"/>
        <v>0</v>
      </c>
      <c r="K127" s="25" t="s">
        <v>260</v>
      </c>
      <c r="L127" s="29" t="s">
        <v>261</v>
      </c>
      <c r="M127" s="24">
        <v>10.5245</v>
      </c>
      <c r="N127" s="24">
        <v>10.5245</v>
      </c>
      <c r="O127" s="30"/>
    </row>
    <row r="128" ht="25.6" customHeight="1" spans="1:15">
      <c r="A128" s="10"/>
      <c r="B128" s="10"/>
      <c r="C128" s="10"/>
      <c r="D128" s="10" t="s">
        <v>514</v>
      </c>
      <c r="E128" s="10" t="s">
        <v>296</v>
      </c>
      <c r="F128" s="10" t="s">
        <v>297</v>
      </c>
      <c r="G128" s="24">
        <v>1.4</v>
      </c>
      <c r="H128" s="24">
        <v>41.2</v>
      </c>
      <c r="I128" s="24">
        <v>1.197</v>
      </c>
      <c r="J128" s="25">
        <f t="shared" si="1"/>
        <v>0.203</v>
      </c>
      <c r="K128" s="25" t="s">
        <v>515</v>
      </c>
      <c r="L128" s="29" t="s">
        <v>272</v>
      </c>
      <c r="M128" s="24">
        <v>40.671</v>
      </c>
      <c r="N128" s="24">
        <v>40.671</v>
      </c>
      <c r="O128" s="30" t="s">
        <v>340</v>
      </c>
    </row>
    <row r="129" ht="21.05" customHeight="1" spans="1:15">
      <c r="A129" s="10"/>
      <c r="B129" s="10" t="s">
        <v>516</v>
      </c>
      <c r="C129" s="10" t="s">
        <v>517</v>
      </c>
      <c r="D129" s="10" t="s">
        <v>518</v>
      </c>
      <c r="E129" s="10" t="s">
        <v>296</v>
      </c>
      <c r="F129" s="10" t="s">
        <v>297</v>
      </c>
      <c r="G129" s="24">
        <v>0</v>
      </c>
      <c r="H129" s="24">
        <v>0</v>
      </c>
      <c r="I129" s="24">
        <v>0</v>
      </c>
      <c r="J129" s="25">
        <f t="shared" si="1"/>
        <v>0</v>
      </c>
      <c r="K129" s="25" t="s">
        <v>260</v>
      </c>
      <c r="L129" s="29" t="s">
        <v>261</v>
      </c>
      <c r="M129" s="24">
        <v>0</v>
      </c>
      <c r="N129" s="24">
        <v>0</v>
      </c>
      <c r="O129" s="30"/>
    </row>
    <row r="130" ht="21.05" customHeight="1" spans="1:15">
      <c r="A130" s="10"/>
      <c r="B130" s="10"/>
      <c r="C130" s="10"/>
      <c r="D130" s="10" t="s">
        <v>519</v>
      </c>
      <c r="E130" s="10" t="s">
        <v>296</v>
      </c>
      <c r="F130" s="10" t="s">
        <v>297</v>
      </c>
      <c r="G130" s="24">
        <v>0</v>
      </c>
      <c r="H130" s="24">
        <v>0</v>
      </c>
      <c r="I130" s="24">
        <v>0</v>
      </c>
      <c r="J130" s="25">
        <f t="shared" si="1"/>
        <v>0</v>
      </c>
      <c r="K130" s="25" t="s">
        <v>260</v>
      </c>
      <c r="L130" s="29" t="s">
        <v>261</v>
      </c>
      <c r="M130" s="24">
        <v>0</v>
      </c>
      <c r="N130" s="24">
        <v>0</v>
      </c>
      <c r="O130" s="30"/>
    </row>
    <row r="131" ht="21.05" customHeight="1" spans="1:15">
      <c r="A131" s="10"/>
      <c r="B131" s="10"/>
      <c r="C131" s="10" t="s">
        <v>520</v>
      </c>
      <c r="D131" s="10" t="s">
        <v>521</v>
      </c>
      <c r="E131" s="10" t="s">
        <v>296</v>
      </c>
      <c r="F131" s="10" t="s">
        <v>297</v>
      </c>
      <c r="G131" s="24">
        <v>1.3</v>
      </c>
      <c r="H131" s="24">
        <v>8.45</v>
      </c>
      <c r="I131" s="24">
        <v>1.4409</v>
      </c>
      <c r="J131" s="25">
        <f t="shared" si="1"/>
        <v>-0.1409</v>
      </c>
      <c r="K131" s="25" t="s">
        <v>522</v>
      </c>
      <c r="L131" s="29" t="s">
        <v>272</v>
      </c>
      <c r="M131" s="24">
        <v>10.8242</v>
      </c>
      <c r="N131" s="24">
        <v>10.8242</v>
      </c>
      <c r="O131" s="30" t="s">
        <v>281</v>
      </c>
    </row>
    <row r="132" ht="21.05" customHeight="1" spans="1:15">
      <c r="A132" s="10"/>
      <c r="B132" s="10"/>
      <c r="C132" s="10" t="s">
        <v>523</v>
      </c>
      <c r="D132" s="10" t="s">
        <v>524</v>
      </c>
      <c r="E132" s="10" t="s">
        <v>296</v>
      </c>
      <c r="F132" s="10" t="s">
        <v>297</v>
      </c>
      <c r="G132" s="24">
        <v>15.5</v>
      </c>
      <c r="H132" s="24">
        <v>699.5</v>
      </c>
      <c r="I132" s="24">
        <v>15.8911</v>
      </c>
      <c r="J132" s="25">
        <f t="shared" si="1"/>
        <v>-0.3911</v>
      </c>
      <c r="K132" s="25" t="s">
        <v>525</v>
      </c>
      <c r="L132" s="29" t="s">
        <v>272</v>
      </c>
      <c r="M132" s="24">
        <v>708.6978</v>
      </c>
      <c r="N132" s="24">
        <v>708.6978</v>
      </c>
      <c r="O132" s="30" t="s">
        <v>281</v>
      </c>
    </row>
    <row r="133" ht="21.05" customHeight="1" spans="1:15">
      <c r="A133" s="10"/>
      <c r="B133" s="10"/>
      <c r="C133" s="10" t="s">
        <v>526</v>
      </c>
      <c r="D133" s="10" t="s">
        <v>527</v>
      </c>
      <c r="E133" s="10" t="s">
        <v>296</v>
      </c>
      <c r="F133" s="10" t="s">
        <v>297</v>
      </c>
      <c r="G133" s="24">
        <v>2</v>
      </c>
      <c r="H133" s="24">
        <v>123.5</v>
      </c>
      <c r="I133" s="24">
        <v>1.9517</v>
      </c>
      <c r="J133" s="25">
        <f t="shared" ref="J133:J196" si="2">G133-I133</f>
        <v>0.0483</v>
      </c>
      <c r="K133" s="25" t="s">
        <v>528</v>
      </c>
      <c r="L133" s="29" t="s">
        <v>272</v>
      </c>
      <c r="M133" s="24">
        <v>128.4846</v>
      </c>
      <c r="N133" s="24">
        <v>128.4846</v>
      </c>
      <c r="O133" s="30" t="s">
        <v>273</v>
      </c>
    </row>
    <row r="134" ht="21.05" customHeight="1" spans="1:15">
      <c r="A134" s="10"/>
      <c r="B134" s="10"/>
      <c r="C134" s="10" t="s">
        <v>529</v>
      </c>
      <c r="D134" s="10" t="s">
        <v>530</v>
      </c>
      <c r="E134" s="10" t="s">
        <v>296</v>
      </c>
      <c r="F134" s="10" t="s">
        <v>297</v>
      </c>
      <c r="G134" s="24">
        <v>20</v>
      </c>
      <c r="H134" s="24">
        <v>1182</v>
      </c>
      <c r="I134" s="24">
        <v>26.1061</v>
      </c>
      <c r="J134" s="25">
        <f t="shared" si="2"/>
        <v>-6.1061</v>
      </c>
      <c r="K134" s="25" t="s">
        <v>531</v>
      </c>
      <c r="L134" s="29" t="s">
        <v>272</v>
      </c>
      <c r="M134" s="24">
        <v>1364.7391</v>
      </c>
      <c r="N134" s="24">
        <v>1364.7391</v>
      </c>
      <c r="O134" s="30" t="s">
        <v>281</v>
      </c>
    </row>
    <row r="135" ht="21.05" customHeight="1" spans="1:15">
      <c r="A135" s="10"/>
      <c r="B135" s="10"/>
      <c r="C135" s="10" t="s">
        <v>532</v>
      </c>
      <c r="D135" s="10" t="s">
        <v>533</v>
      </c>
      <c r="E135" s="10" t="s">
        <v>296</v>
      </c>
      <c r="F135" s="10" t="s">
        <v>297</v>
      </c>
      <c r="G135" s="24">
        <v>2.3</v>
      </c>
      <c r="H135" s="24">
        <v>151.5</v>
      </c>
      <c r="I135" s="24">
        <v>1.6546</v>
      </c>
      <c r="J135" s="25">
        <f t="shared" si="2"/>
        <v>0.6454</v>
      </c>
      <c r="K135" s="25" t="s">
        <v>534</v>
      </c>
      <c r="L135" s="29" t="s">
        <v>272</v>
      </c>
      <c r="M135" s="24">
        <v>147.5556</v>
      </c>
      <c r="N135" s="24">
        <v>147.5556</v>
      </c>
      <c r="O135" s="30" t="s">
        <v>273</v>
      </c>
    </row>
    <row r="136" ht="21.05" customHeight="1" spans="1:15">
      <c r="A136" s="10"/>
      <c r="B136" s="10"/>
      <c r="C136" s="10" t="s">
        <v>535</v>
      </c>
      <c r="D136" s="10" t="s">
        <v>536</v>
      </c>
      <c r="E136" s="10" t="s">
        <v>296</v>
      </c>
      <c r="F136" s="10" t="s">
        <v>297</v>
      </c>
      <c r="G136" s="24">
        <v>45</v>
      </c>
      <c r="H136" s="24">
        <v>1603.95</v>
      </c>
      <c r="I136" s="24">
        <v>47.9474</v>
      </c>
      <c r="J136" s="25">
        <f t="shared" si="2"/>
        <v>-2.9474</v>
      </c>
      <c r="K136" s="25" t="s">
        <v>537</v>
      </c>
      <c r="L136" s="29" t="s">
        <v>272</v>
      </c>
      <c r="M136" s="24">
        <v>1651.3094</v>
      </c>
      <c r="N136" s="24">
        <v>1651.3094</v>
      </c>
      <c r="O136" s="30" t="s">
        <v>281</v>
      </c>
    </row>
    <row r="137" ht="21.05" customHeight="1" spans="1:15">
      <c r="A137" s="10"/>
      <c r="B137" s="10"/>
      <c r="C137" s="10" t="s">
        <v>538</v>
      </c>
      <c r="D137" s="10" t="s">
        <v>539</v>
      </c>
      <c r="E137" s="10" t="s">
        <v>296</v>
      </c>
      <c r="F137" s="10" t="s">
        <v>297</v>
      </c>
      <c r="G137" s="24">
        <v>22</v>
      </c>
      <c r="H137" s="24">
        <v>682</v>
      </c>
      <c r="I137" s="24">
        <v>25.3954</v>
      </c>
      <c r="J137" s="25">
        <f t="shared" si="2"/>
        <v>-3.3954</v>
      </c>
      <c r="K137" s="25" t="s">
        <v>540</v>
      </c>
      <c r="L137" s="29" t="s">
        <v>272</v>
      </c>
      <c r="M137" s="24">
        <v>773.3332</v>
      </c>
      <c r="N137" s="24">
        <v>773.3332</v>
      </c>
      <c r="O137" s="30" t="s">
        <v>281</v>
      </c>
    </row>
    <row r="138" ht="21.05" customHeight="1" spans="1:15">
      <c r="A138" s="10"/>
      <c r="B138" s="10"/>
      <c r="C138" s="10" t="s">
        <v>541</v>
      </c>
      <c r="D138" s="10" t="s">
        <v>542</v>
      </c>
      <c r="E138" s="10" t="s">
        <v>296</v>
      </c>
      <c r="F138" s="10" t="s">
        <v>297</v>
      </c>
      <c r="G138" s="24">
        <v>0.01</v>
      </c>
      <c r="H138" s="24">
        <v>1.31</v>
      </c>
      <c r="I138" s="24">
        <v>0.0083</v>
      </c>
      <c r="J138" s="25">
        <f t="shared" si="2"/>
        <v>0.0017</v>
      </c>
      <c r="K138" s="25" t="s">
        <v>543</v>
      </c>
      <c r="L138" s="29" t="s">
        <v>272</v>
      </c>
      <c r="M138" s="24">
        <v>1.8343</v>
      </c>
      <c r="N138" s="24">
        <v>1.8343</v>
      </c>
      <c r="O138" s="30" t="s">
        <v>273</v>
      </c>
    </row>
    <row r="139" ht="21.05" customHeight="1" spans="1:15">
      <c r="A139" s="10"/>
      <c r="B139" s="10" t="s">
        <v>544</v>
      </c>
      <c r="C139" s="10" t="s">
        <v>545</v>
      </c>
      <c r="D139" s="10" t="s">
        <v>307</v>
      </c>
      <c r="E139" s="10" t="s">
        <v>296</v>
      </c>
      <c r="F139" s="10" t="s">
        <v>297</v>
      </c>
      <c r="G139" s="24">
        <v>2.5</v>
      </c>
      <c r="H139" s="24">
        <v>263.3</v>
      </c>
      <c r="I139" s="24">
        <v>2.8138</v>
      </c>
      <c r="J139" s="25">
        <f t="shared" si="2"/>
        <v>-0.3138</v>
      </c>
      <c r="K139" s="25" t="s">
        <v>546</v>
      </c>
      <c r="L139" s="29" t="s">
        <v>272</v>
      </c>
      <c r="M139" s="24">
        <v>256.5523</v>
      </c>
      <c r="N139" s="24">
        <v>256.5523</v>
      </c>
      <c r="O139" s="30" t="s">
        <v>281</v>
      </c>
    </row>
    <row r="140" ht="21.05" customHeight="1" spans="1:15">
      <c r="A140" s="10"/>
      <c r="B140" s="10"/>
      <c r="C140" s="10" t="s">
        <v>547</v>
      </c>
      <c r="D140" s="10" t="s">
        <v>307</v>
      </c>
      <c r="E140" s="10" t="s">
        <v>296</v>
      </c>
      <c r="F140" s="10" t="s">
        <v>297</v>
      </c>
      <c r="G140" s="24">
        <v>1</v>
      </c>
      <c r="H140" s="24">
        <v>112.8</v>
      </c>
      <c r="I140" s="24">
        <v>1.1992</v>
      </c>
      <c r="J140" s="25">
        <f t="shared" si="2"/>
        <v>-0.1992</v>
      </c>
      <c r="K140" s="25" t="s">
        <v>548</v>
      </c>
      <c r="L140" s="29" t="s">
        <v>272</v>
      </c>
      <c r="M140" s="24">
        <v>115.9762</v>
      </c>
      <c r="N140" s="24">
        <v>115.9762</v>
      </c>
      <c r="O140" s="30" t="s">
        <v>281</v>
      </c>
    </row>
    <row r="141" ht="21.05" customHeight="1" spans="1:15">
      <c r="A141" s="10"/>
      <c r="B141" s="10"/>
      <c r="C141" s="10" t="s">
        <v>549</v>
      </c>
      <c r="D141" s="10" t="s">
        <v>307</v>
      </c>
      <c r="E141" s="10" t="s">
        <v>296</v>
      </c>
      <c r="F141" s="10" t="s">
        <v>297</v>
      </c>
      <c r="G141" s="24">
        <v>3.8</v>
      </c>
      <c r="H141" s="24">
        <v>1012.2</v>
      </c>
      <c r="I141" s="24">
        <v>3.5616</v>
      </c>
      <c r="J141" s="25">
        <f t="shared" si="2"/>
        <v>0.2384</v>
      </c>
      <c r="K141" s="25" t="s">
        <v>550</v>
      </c>
      <c r="L141" s="29" t="s">
        <v>272</v>
      </c>
      <c r="M141" s="24">
        <v>1000.3327</v>
      </c>
      <c r="N141" s="24">
        <v>1000.3327</v>
      </c>
      <c r="O141" s="30" t="s">
        <v>273</v>
      </c>
    </row>
    <row r="142" ht="21.05" customHeight="1" spans="1:15">
      <c r="A142" s="10" t="s">
        <v>551</v>
      </c>
      <c r="B142" s="10" t="s">
        <v>552</v>
      </c>
      <c r="C142" s="10" t="s">
        <v>553</v>
      </c>
      <c r="D142" s="10" t="s">
        <v>554</v>
      </c>
      <c r="E142" s="10" t="s">
        <v>555</v>
      </c>
      <c r="F142" s="10" t="s">
        <v>297</v>
      </c>
      <c r="G142" s="24">
        <v>4.4</v>
      </c>
      <c r="H142" s="24">
        <v>147.9</v>
      </c>
      <c r="I142" s="24">
        <v>4.153</v>
      </c>
      <c r="J142" s="25">
        <f t="shared" si="2"/>
        <v>0.247000000000001</v>
      </c>
      <c r="K142" s="25" t="s">
        <v>556</v>
      </c>
      <c r="L142" s="29" t="s">
        <v>272</v>
      </c>
      <c r="M142" s="24">
        <v>145.216</v>
      </c>
      <c r="N142" s="24">
        <v>145.216</v>
      </c>
      <c r="O142" s="30" t="s">
        <v>273</v>
      </c>
    </row>
    <row r="143" ht="21.05" customHeight="1" spans="1:15">
      <c r="A143" s="10"/>
      <c r="B143" s="10"/>
      <c r="C143" s="10" t="s">
        <v>557</v>
      </c>
      <c r="D143" s="10" t="s">
        <v>558</v>
      </c>
      <c r="E143" s="10" t="s">
        <v>555</v>
      </c>
      <c r="F143" s="10" t="s">
        <v>297</v>
      </c>
      <c r="G143" s="24">
        <v>0</v>
      </c>
      <c r="H143" s="24">
        <v>0</v>
      </c>
      <c r="I143" s="24">
        <v>0</v>
      </c>
      <c r="J143" s="25">
        <f t="shared" si="2"/>
        <v>0</v>
      </c>
      <c r="K143" s="25" t="s">
        <v>260</v>
      </c>
      <c r="L143" s="29" t="s">
        <v>261</v>
      </c>
      <c r="M143" s="24">
        <v>0</v>
      </c>
      <c r="N143" s="24">
        <v>0</v>
      </c>
      <c r="O143" s="30"/>
    </row>
    <row r="144" ht="21.05" customHeight="1" spans="1:15">
      <c r="A144" s="10"/>
      <c r="B144" s="10"/>
      <c r="C144" s="10"/>
      <c r="D144" s="10" t="s">
        <v>559</v>
      </c>
      <c r="E144" s="10" t="s">
        <v>555</v>
      </c>
      <c r="F144" s="10" t="s">
        <v>297</v>
      </c>
      <c r="G144" s="24">
        <v>19</v>
      </c>
      <c r="H144" s="24">
        <v>675.8</v>
      </c>
      <c r="I144" s="24">
        <v>17.7824</v>
      </c>
      <c r="J144" s="25">
        <f t="shared" si="2"/>
        <v>1.2176</v>
      </c>
      <c r="K144" s="25" t="s">
        <v>560</v>
      </c>
      <c r="L144" s="29" t="s">
        <v>272</v>
      </c>
      <c r="M144" s="24">
        <v>639.3504</v>
      </c>
      <c r="N144" s="24">
        <v>639.3504</v>
      </c>
      <c r="O144" s="30" t="s">
        <v>273</v>
      </c>
    </row>
    <row r="145" ht="21.05" customHeight="1" spans="1:15">
      <c r="A145" s="10"/>
      <c r="B145" s="10"/>
      <c r="C145" s="10" t="s">
        <v>483</v>
      </c>
      <c r="D145" s="10" t="s">
        <v>561</v>
      </c>
      <c r="E145" s="10" t="s">
        <v>555</v>
      </c>
      <c r="F145" s="10" t="s">
        <v>297</v>
      </c>
      <c r="G145" s="24">
        <v>11</v>
      </c>
      <c r="H145" s="24">
        <v>347.6</v>
      </c>
      <c r="I145" s="24">
        <v>9.6608</v>
      </c>
      <c r="J145" s="25">
        <f t="shared" si="2"/>
        <v>1.3392</v>
      </c>
      <c r="K145" s="25" t="s">
        <v>562</v>
      </c>
      <c r="L145" s="29" t="s">
        <v>272</v>
      </c>
      <c r="M145" s="24">
        <v>317.6588</v>
      </c>
      <c r="N145" s="24">
        <v>317.6588</v>
      </c>
      <c r="O145" s="30" t="s">
        <v>273</v>
      </c>
    </row>
    <row r="146" ht="25.6" customHeight="1" spans="1:15">
      <c r="A146" s="10"/>
      <c r="B146" s="10" t="s">
        <v>131</v>
      </c>
      <c r="C146" s="10" t="s">
        <v>563</v>
      </c>
      <c r="D146" s="10" t="s">
        <v>564</v>
      </c>
      <c r="E146" s="10" t="s">
        <v>565</v>
      </c>
      <c r="F146" s="10" t="s">
        <v>297</v>
      </c>
      <c r="G146" s="24">
        <v>0</v>
      </c>
      <c r="H146" s="24">
        <v>0</v>
      </c>
      <c r="I146" s="24">
        <v>0</v>
      </c>
      <c r="J146" s="25">
        <f t="shared" si="2"/>
        <v>0</v>
      </c>
      <c r="K146" s="25" t="s">
        <v>260</v>
      </c>
      <c r="L146" s="29" t="s">
        <v>261</v>
      </c>
      <c r="M146" s="24">
        <v>0</v>
      </c>
      <c r="N146" s="24">
        <v>0</v>
      </c>
      <c r="O146" s="30"/>
    </row>
    <row r="147" ht="21.05" customHeight="1" spans="1:15">
      <c r="A147" s="10"/>
      <c r="B147" s="10" t="s">
        <v>130</v>
      </c>
      <c r="C147" s="10" t="s">
        <v>566</v>
      </c>
      <c r="D147" s="10" t="s">
        <v>355</v>
      </c>
      <c r="E147" s="10" t="s">
        <v>356</v>
      </c>
      <c r="F147" s="10" t="s">
        <v>297</v>
      </c>
      <c r="G147" s="24">
        <v>81.2</v>
      </c>
      <c r="H147" s="24">
        <v>3865.86</v>
      </c>
      <c r="I147" s="24">
        <v>81.2328</v>
      </c>
      <c r="J147" s="25">
        <f t="shared" si="2"/>
        <v>-0.0327999999999946</v>
      </c>
      <c r="K147" s="25" t="s">
        <v>333</v>
      </c>
      <c r="L147" s="29" t="s">
        <v>261</v>
      </c>
      <c r="M147" s="24">
        <v>3832.2338</v>
      </c>
      <c r="N147" s="24">
        <v>3832.2338</v>
      </c>
      <c r="O147" s="30"/>
    </row>
    <row r="148" ht="21.05" customHeight="1" spans="1:15">
      <c r="A148" s="10"/>
      <c r="B148" s="10"/>
      <c r="C148" s="10" t="s">
        <v>567</v>
      </c>
      <c r="D148" s="10" t="s">
        <v>568</v>
      </c>
      <c r="E148" s="10" t="s">
        <v>555</v>
      </c>
      <c r="F148" s="10" t="s">
        <v>297</v>
      </c>
      <c r="G148" s="24">
        <v>0.65</v>
      </c>
      <c r="H148" s="24">
        <v>20.15</v>
      </c>
      <c r="I148" s="24">
        <v>0.6477</v>
      </c>
      <c r="J148" s="25">
        <f t="shared" si="2"/>
        <v>0.00229999999999997</v>
      </c>
      <c r="K148" s="25" t="s">
        <v>569</v>
      </c>
      <c r="L148" s="29" t="s">
        <v>261</v>
      </c>
      <c r="M148" s="24">
        <v>20.0862</v>
      </c>
      <c r="N148" s="24">
        <v>20.0862</v>
      </c>
      <c r="O148" s="30"/>
    </row>
    <row r="149" ht="21.05" customHeight="1" spans="1:15">
      <c r="A149" s="10"/>
      <c r="B149" s="10"/>
      <c r="C149" s="10" t="s">
        <v>570</v>
      </c>
      <c r="D149" s="10" t="s">
        <v>571</v>
      </c>
      <c r="E149" s="10" t="s">
        <v>555</v>
      </c>
      <c r="F149" s="10" t="s">
        <v>297</v>
      </c>
      <c r="G149" s="24">
        <v>7.8</v>
      </c>
      <c r="H149" s="24">
        <v>327.3</v>
      </c>
      <c r="I149" s="24">
        <v>7.798</v>
      </c>
      <c r="J149" s="25">
        <f t="shared" si="2"/>
        <v>0.00199999999999978</v>
      </c>
      <c r="K149" s="25" t="s">
        <v>482</v>
      </c>
      <c r="L149" s="29" t="s">
        <v>261</v>
      </c>
      <c r="M149" s="24">
        <v>327.3124</v>
      </c>
      <c r="N149" s="24">
        <v>327.3124</v>
      </c>
      <c r="O149" s="30"/>
    </row>
    <row r="150" ht="21.05" customHeight="1" spans="1:15">
      <c r="A150" s="10"/>
      <c r="B150" s="10"/>
      <c r="C150" s="10" t="s">
        <v>572</v>
      </c>
      <c r="D150" s="10" t="s">
        <v>355</v>
      </c>
      <c r="E150" s="10" t="s">
        <v>356</v>
      </c>
      <c r="F150" s="10" t="s">
        <v>297</v>
      </c>
      <c r="G150" s="24">
        <v>57</v>
      </c>
      <c r="H150" s="24">
        <v>2506.8</v>
      </c>
      <c r="I150" s="24">
        <v>55.3157</v>
      </c>
      <c r="J150" s="25">
        <f t="shared" si="2"/>
        <v>1.6843</v>
      </c>
      <c r="K150" s="25" t="s">
        <v>573</v>
      </c>
      <c r="L150" s="29" t="s">
        <v>272</v>
      </c>
      <c r="M150" s="24">
        <v>2437.0103</v>
      </c>
      <c r="N150" s="24">
        <v>2437.0103</v>
      </c>
      <c r="O150" s="30" t="s">
        <v>273</v>
      </c>
    </row>
    <row r="151" ht="21.05" customHeight="1" spans="1:15">
      <c r="A151" s="10"/>
      <c r="B151" s="10"/>
      <c r="C151" s="10" t="s">
        <v>574</v>
      </c>
      <c r="D151" s="10" t="s">
        <v>575</v>
      </c>
      <c r="E151" s="10" t="s">
        <v>555</v>
      </c>
      <c r="F151" s="10" t="s">
        <v>297</v>
      </c>
      <c r="G151" s="24">
        <v>7</v>
      </c>
      <c r="H151" s="24">
        <v>248.5</v>
      </c>
      <c r="I151" s="24">
        <v>6.3016</v>
      </c>
      <c r="J151" s="25">
        <f t="shared" si="2"/>
        <v>0.6984</v>
      </c>
      <c r="K151" s="25" t="s">
        <v>576</v>
      </c>
      <c r="L151" s="29" t="s">
        <v>272</v>
      </c>
      <c r="M151" s="24">
        <v>240.9368</v>
      </c>
      <c r="N151" s="24">
        <v>240.9368</v>
      </c>
      <c r="O151" s="30" t="s">
        <v>273</v>
      </c>
    </row>
    <row r="152" ht="21.05" customHeight="1" spans="1:15">
      <c r="A152" s="10"/>
      <c r="B152" s="10"/>
      <c r="C152" s="10" t="s">
        <v>577</v>
      </c>
      <c r="D152" s="10" t="s">
        <v>578</v>
      </c>
      <c r="E152" s="10" t="s">
        <v>579</v>
      </c>
      <c r="F152" s="10" t="s">
        <v>297</v>
      </c>
      <c r="G152" s="24">
        <v>6.2</v>
      </c>
      <c r="H152" s="24">
        <v>192.2</v>
      </c>
      <c r="I152" s="24">
        <v>6.2018</v>
      </c>
      <c r="J152" s="25">
        <f t="shared" si="2"/>
        <v>-0.00180000000000025</v>
      </c>
      <c r="K152" s="25" t="s">
        <v>441</v>
      </c>
      <c r="L152" s="29" t="s">
        <v>261</v>
      </c>
      <c r="M152" s="24">
        <v>192.2034</v>
      </c>
      <c r="N152" s="24">
        <v>192.2034</v>
      </c>
      <c r="O152" s="30"/>
    </row>
    <row r="153" ht="25.6" customHeight="1" spans="1:15">
      <c r="A153" s="10"/>
      <c r="B153" s="10"/>
      <c r="C153" s="10" t="s">
        <v>580</v>
      </c>
      <c r="D153" s="10" t="s">
        <v>355</v>
      </c>
      <c r="E153" s="10" t="s">
        <v>356</v>
      </c>
      <c r="F153" s="10" t="s">
        <v>297</v>
      </c>
      <c r="G153" s="24">
        <v>30</v>
      </c>
      <c r="H153" s="24">
        <v>1053</v>
      </c>
      <c r="I153" s="24">
        <v>20.0752</v>
      </c>
      <c r="J153" s="25">
        <f t="shared" si="2"/>
        <v>9.9248</v>
      </c>
      <c r="K153" s="25" t="s">
        <v>581</v>
      </c>
      <c r="L153" s="29" t="s">
        <v>272</v>
      </c>
      <c r="M153" s="24">
        <v>977.3778</v>
      </c>
      <c r="N153" s="24">
        <v>977.3778</v>
      </c>
      <c r="O153" s="30" t="s">
        <v>340</v>
      </c>
    </row>
    <row r="154" ht="21.05" customHeight="1" spans="1:15">
      <c r="A154" s="10"/>
      <c r="B154" s="10"/>
      <c r="C154" s="10" t="s">
        <v>582</v>
      </c>
      <c r="D154" s="10" t="s">
        <v>583</v>
      </c>
      <c r="E154" s="10" t="s">
        <v>579</v>
      </c>
      <c r="F154" s="10" t="s">
        <v>297</v>
      </c>
      <c r="G154" s="24">
        <v>4.8</v>
      </c>
      <c r="H154" s="24">
        <v>150.8</v>
      </c>
      <c r="I154" s="24">
        <v>4.8024</v>
      </c>
      <c r="J154" s="25">
        <f t="shared" si="2"/>
        <v>-0.00239999999999974</v>
      </c>
      <c r="K154" s="25" t="s">
        <v>584</v>
      </c>
      <c r="L154" s="29" t="s">
        <v>261</v>
      </c>
      <c r="M154" s="24">
        <v>150.8693</v>
      </c>
      <c r="N154" s="24">
        <v>150.8693</v>
      </c>
      <c r="O154" s="30"/>
    </row>
    <row r="155" ht="21.05" customHeight="1" spans="1:15">
      <c r="A155" s="10"/>
      <c r="B155" s="10"/>
      <c r="C155" s="10" t="s">
        <v>585</v>
      </c>
      <c r="D155" s="10" t="s">
        <v>126</v>
      </c>
      <c r="E155" s="10" t="s">
        <v>586</v>
      </c>
      <c r="F155" s="10" t="s">
        <v>297</v>
      </c>
      <c r="G155" s="24">
        <v>0</v>
      </c>
      <c r="H155" s="24">
        <v>0</v>
      </c>
      <c r="I155" s="24">
        <v>0</v>
      </c>
      <c r="J155" s="25">
        <f t="shared" si="2"/>
        <v>0</v>
      </c>
      <c r="K155" s="25" t="s">
        <v>260</v>
      </c>
      <c r="L155" s="29" t="s">
        <v>261</v>
      </c>
      <c r="M155" s="24">
        <v>0</v>
      </c>
      <c r="N155" s="24">
        <v>0</v>
      </c>
      <c r="O155" s="30"/>
    </row>
    <row r="156" ht="21.05" customHeight="1" spans="1:15">
      <c r="A156" s="10"/>
      <c r="B156" s="10"/>
      <c r="C156" s="10" t="s">
        <v>587</v>
      </c>
      <c r="D156" s="10" t="s">
        <v>355</v>
      </c>
      <c r="E156" s="10" t="s">
        <v>356</v>
      </c>
      <c r="F156" s="10" t="s">
        <v>297</v>
      </c>
      <c r="G156" s="24">
        <v>0</v>
      </c>
      <c r="H156" s="24">
        <v>251</v>
      </c>
      <c r="I156" s="24">
        <v>0</v>
      </c>
      <c r="J156" s="25">
        <f t="shared" si="2"/>
        <v>0</v>
      </c>
      <c r="K156" s="25" t="s">
        <v>260</v>
      </c>
      <c r="L156" s="29" t="s">
        <v>261</v>
      </c>
      <c r="M156" s="24">
        <v>250.9022</v>
      </c>
      <c r="N156" s="24">
        <v>250.9022</v>
      </c>
      <c r="O156" s="30"/>
    </row>
    <row r="157" ht="21.05" customHeight="1" spans="1:15">
      <c r="A157" s="10"/>
      <c r="B157" s="10"/>
      <c r="C157" s="10" t="s">
        <v>588</v>
      </c>
      <c r="D157" s="10" t="s">
        <v>126</v>
      </c>
      <c r="E157" s="10" t="s">
        <v>565</v>
      </c>
      <c r="F157" s="10" t="s">
        <v>297</v>
      </c>
      <c r="G157" s="24">
        <v>0</v>
      </c>
      <c r="H157" s="24">
        <v>0</v>
      </c>
      <c r="I157" s="24">
        <v>0</v>
      </c>
      <c r="J157" s="25">
        <f t="shared" si="2"/>
        <v>0</v>
      </c>
      <c r="K157" s="25" t="s">
        <v>260</v>
      </c>
      <c r="L157" s="29" t="s">
        <v>261</v>
      </c>
      <c r="M157" s="24">
        <v>0</v>
      </c>
      <c r="N157" s="24">
        <v>0</v>
      </c>
      <c r="O157" s="30"/>
    </row>
    <row r="158" ht="21.05" customHeight="1" spans="1:15">
      <c r="A158" s="10"/>
      <c r="B158" s="10"/>
      <c r="C158" s="10" t="s">
        <v>589</v>
      </c>
      <c r="D158" s="10" t="s">
        <v>590</v>
      </c>
      <c r="E158" s="10" t="s">
        <v>565</v>
      </c>
      <c r="F158" s="10" t="s">
        <v>297</v>
      </c>
      <c r="G158" s="24">
        <v>0</v>
      </c>
      <c r="H158" s="24">
        <v>0</v>
      </c>
      <c r="I158" s="24">
        <v>139.3956</v>
      </c>
      <c r="J158" s="25">
        <f t="shared" si="2"/>
        <v>-139.3956</v>
      </c>
      <c r="K158" s="25" t="s">
        <v>591</v>
      </c>
      <c r="L158" s="29" t="s">
        <v>272</v>
      </c>
      <c r="M158" s="24">
        <v>1438.9843</v>
      </c>
      <c r="N158" s="24">
        <v>1438.9843</v>
      </c>
      <c r="O158" s="30" t="s">
        <v>273</v>
      </c>
    </row>
    <row r="159" ht="21.05" customHeight="1" spans="1:15">
      <c r="A159" s="10"/>
      <c r="B159" s="10"/>
      <c r="C159" s="10"/>
      <c r="D159" s="10" t="s">
        <v>126</v>
      </c>
      <c r="E159" s="10" t="s">
        <v>565</v>
      </c>
      <c r="F159" s="10" t="s">
        <v>297</v>
      </c>
      <c r="G159" s="24">
        <v>0</v>
      </c>
      <c r="H159" s="24">
        <v>0</v>
      </c>
      <c r="I159" s="24">
        <v>0</v>
      </c>
      <c r="J159" s="25">
        <f t="shared" si="2"/>
        <v>0</v>
      </c>
      <c r="K159" s="25" t="s">
        <v>260</v>
      </c>
      <c r="L159" s="29" t="s">
        <v>261</v>
      </c>
      <c r="M159" s="24">
        <v>0</v>
      </c>
      <c r="N159" s="24">
        <v>0</v>
      </c>
      <c r="O159" s="30"/>
    </row>
    <row r="160" ht="21.05" customHeight="1" spans="1:15">
      <c r="A160" s="10"/>
      <c r="B160" s="10"/>
      <c r="C160" s="10" t="s">
        <v>592</v>
      </c>
      <c r="D160" s="10" t="s">
        <v>355</v>
      </c>
      <c r="E160" s="10" t="s">
        <v>356</v>
      </c>
      <c r="F160" s="10" t="s">
        <v>297</v>
      </c>
      <c r="G160" s="24">
        <v>96.65</v>
      </c>
      <c r="H160" s="24">
        <v>5911.8</v>
      </c>
      <c r="I160" s="24">
        <v>93.4719</v>
      </c>
      <c r="J160" s="25">
        <f t="shared" si="2"/>
        <v>3.1781</v>
      </c>
      <c r="K160" s="25" t="s">
        <v>593</v>
      </c>
      <c r="L160" s="29" t="s">
        <v>272</v>
      </c>
      <c r="M160" s="24">
        <v>5844.7985</v>
      </c>
      <c r="N160" s="24">
        <v>5844.7985</v>
      </c>
      <c r="O160" s="30" t="s">
        <v>372</v>
      </c>
    </row>
    <row r="161" ht="21.05" customHeight="1" spans="1:15">
      <c r="A161" s="10"/>
      <c r="B161" s="10"/>
      <c r="C161" s="10" t="s">
        <v>594</v>
      </c>
      <c r="D161" s="10" t="s">
        <v>595</v>
      </c>
      <c r="E161" s="10" t="s">
        <v>555</v>
      </c>
      <c r="F161" s="10" t="s">
        <v>297</v>
      </c>
      <c r="G161" s="24">
        <v>13.5</v>
      </c>
      <c r="H161" s="24">
        <v>387.8</v>
      </c>
      <c r="I161" s="24">
        <v>11.2688</v>
      </c>
      <c r="J161" s="25">
        <f t="shared" si="2"/>
        <v>2.2312</v>
      </c>
      <c r="K161" s="25" t="s">
        <v>596</v>
      </c>
      <c r="L161" s="29" t="s">
        <v>272</v>
      </c>
      <c r="M161" s="24">
        <v>357.4296</v>
      </c>
      <c r="N161" s="24">
        <v>357.4296</v>
      </c>
      <c r="O161" s="30" t="s">
        <v>273</v>
      </c>
    </row>
    <row r="162" ht="21.05" customHeight="1" spans="1:15">
      <c r="A162" s="10"/>
      <c r="B162" s="10"/>
      <c r="C162" s="10" t="s">
        <v>66</v>
      </c>
      <c r="D162" s="10" t="s">
        <v>597</v>
      </c>
      <c r="E162" s="10" t="s">
        <v>356</v>
      </c>
      <c r="F162" s="10" t="s">
        <v>297</v>
      </c>
      <c r="G162" s="24">
        <v>47.16</v>
      </c>
      <c r="H162" s="24">
        <v>2635.12</v>
      </c>
      <c r="I162" s="24">
        <v>47.1776</v>
      </c>
      <c r="J162" s="25">
        <f t="shared" si="2"/>
        <v>-0.0176000000000016</v>
      </c>
      <c r="K162" s="25" t="s">
        <v>333</v>
      </c>
      <c r="L162" s="29" t="s">
        <v>261</v>
      </c>
      <c r="M162" s="24">
        <v>2613.5616</v>
      </c>
      <c r="N162" s="24">
        <v>2613.5616</v>
      </c>
      <c r="O162" s="30"/>
    </row>
    <row r="163" ht="21.05" customHeight="1" spans="1:15">
      <c r="A163" s="10"/>
      <c r="B163" s="10"/>
      <c r="C163" s="10"/>
      <c r="D163" s="10" t="s">
        <v>355</v>
      </c>
      <c r="E163" s="10" t="s">
        <v>356</v>
      </c>
      <c r="F163" s="10" t="s">
        <v>297</v>
      </c>
      <c r="G163" s="24">
        <v>50</v>
      </c>
      <c r="H163" s="24">
        <v>4857.4</v>
      </c>
      <c r="I163" s="24">
        <v>50.0188</v>
      </c>
      <c r="J163" s="25">
        <f t="shared" si="2"/>
        <v>-0.0187999999999988</v>
      </c>
      <c r="K163" s="25" t="s">
        <v>333</v>
      </c>
      <c r="L163" s="29" t="s">
        <v>261</v>
      </c>
      <c r="M163" s="24">
        <v>4793.8</v>
      </c>
      <c r="N163" s="24">
        <v>4793.8</v>
      </c>
      <c r="O163" s="30"/>
    </row>
    <row r="164" ht="21.05" customHeight="1" spans="1:15">
      <c r="A164" s="10"/>
      <c r="B164" s="10"/>
      <c r="C164" s="10" t="s">
        <v>461</v>
      </c>
      <c r="D164" s="10" t="s">
        <v>598</v>
      </c>
      <c r="E164" s="10" t="s">
        <v>579</v>
      </c>
      <c r="F164" s="10" t="s">
        <v>297</v>
      </c>
      <c r="G164" s="24">
        <v>1.35</v>
      </c>
      <c r="H164" s="24">
        <v>35.05</v>
      </c>
      <c r="I164" s="24">
        <v>1.3491</v>
      </c>
      <c r="J164" s="25">
        <f t="shared" si="2"/>
        <v>0.000900000000000123</v>
      </c>
      <c r="K164" s="25" t="s">
        <v>599</v>
      </c>
      <c r="L164" s="29" t="s">
        <v>261</v>
      </c>
      <c r="M164" s="24">
        <v>34.9963</v>
      </c>
      <c r="N164" s="24">
        <v>34.9963</v>
      </c>
      <c r="O164" s="30"/>
    </row>
    <row r="165" ht="21.05" customHeight="1" spans="1:15">
      <c r="A165" s="10"/>
      <c r="B165" s="10"/>
      <c r="C165" s="10" t="s">
        <v>563</v>
      </c>
      <c r="D165" s="10" t="s">
        <v>126</v>
      </c>
      <c r="E165" s="10" t="s">
        <v>565</v>
      </c>
      <c r="F165" s="10" t="s">
        <v>297</v>
      </c>
      <c r="G165" s="24">
        <v>0</v>
      </c>
      <c r="H165" s="24">
        <v>0</v>
      </c>
      <c r="I165" s="24">
        <v>0</v>
      </c>
      <c r="J165" s="25">
        <f t="shared" si="2"/>
        <v>0</v>
      </c>
      <c r="K165" s="25" t="s">
        <v>260</v>
      </c>
      <c r="L165" s="29" t="s">
        <v>261</v>
      </c>
      <c r="M165" s="24">
        <v>0</v>
      </c>
      <c r="N165" s="24">
        <v>0</v>
      </c>
      <c r="O165" s="30"/>
    </row>
    <row r="166" ht="21.05" customHeight="1" spans="1:15">
      <c r="A166" s="10"/>
      <c r="B166" s="10"/>
      <c r="C166" s="10" t="s">
        <v>600</v>
      </c>
      <c r="D166" s="10" t="s">
        <v>601</v>
      </c>
      <c r="E166" s="10" t="s">
        <v>586</v>
      </c>
      <c r="F166" s="10" t="s">
        <v>297</v>
      </c>
      <c r="G166" s="24">
        <v>60</v>
      </c>
      <c r="H166" s="24">
        <v>2666</v>
      </c>
      <c r="I166" s="24">
        <v>59.6999</v>
      </c>
      <c r="J166" s="25">
        <f t="shared" si="2"/>
        <v>0.3001</v>
      </c>
      <c r="K166" s="25" t="s">
        <v>423</v>
      </c>
      <c r="L166" s="29" t="s">
        <v>261</v>
      </c>
      <c r="M166" s="24">
        <v>2661.0823</v>
      </c>
      <c r="N166" s="24">
        <v>2661.0823</v>
      </c>
      <c r="O166" s="30"/>
    </row>
    <row r="167" ht="21.05" customHeight="1" spans="1:15">
      <c r="A167" s="10"/>
      <c r="B167" s="10"/>
      <c r="C167" s="10"/>
      <c r="D167" s="10" t="s">
        <v>602</v>
      </c>
      <c r="E167" s="10" t="s">
        <v>586</v>
      </c>
      <c r="F167" s="10" t="s">
        <v>297</v>
      </c>
      <c r="G167" s="24">
        <v>0</v>
      </c>
      <c r="H167" s="24">
        <v>3359</v>
      </c>
      <c r="I167" s="24">
        <v>0</v>
      </c>
      <c r="J167" s="25">
        <f t="shared" si="2"/>
        <v>0</v>
      </c>
      <c r="K167" s="25" t="s">
        <v>260</v>
      </c>
      <c r="L167" s="29" t="s">
        <v>261</v>
      </c>
      <c r="M167" s="24">
        <v>3165.9524</v>
      </c>
      <c r="N167" s="24">
        <v>3165.9524</v>
      </c>
      <c r="O167" s="30"/>
    </row>
    <row r="168" ht="21.05" customHeight="1" spans="1:15">
      <c r="A168" s="10"/>
      <c r="B168" s="10"/>
      <c r="C168" s="10"/>
      <c r="D168" s="10" t="s">
        <v>603</v>
      </c>
      <c r="E168" s="10" t="s">
        <v>586</v>
      </c>
      <c r="F168" s="10" t="s">
        <v>297</v>
      </c>
      <c r="G168" s="24">
        <v>35</v>
      </c>
      <c r="H168" s="24">
        <v>830</v>
      </c>
      <c r="I168" s="24">
        <v>35.016</v>
      </c>
      <c r="J168" s="25">
        <f t="shared" si="2"/>
        <v>-0.0159999999999982</v>
      </c>
      <c r="K168" s="25" t="s">
        <v>584</v>
      </c>
      <c r="L168" s="29" t="s">
        <v>261</v>
      </c>
      <c r="M168" s="24">
        <v>832.6698</v>
      </c>
      <c r="N168" s="24">
        <v>832.6698</v>
      </c>
      <c r="O168" s="30"/>
    </row>
    <row r="169" ht="21.05" customHeight="1" spans="1:15">
      <c r="A169" s="10"/>
      <c r="B169" s="10"/>
      <c r="C169" s="10"/>
      <c r="D169" s="10" t="s">
        <v>126</v>
      </c>
      <c r="E169" s="10" t="s">
        <v>586</v>
      </c>
      <c r="F169" s="10" t="s">
        <v>297</v>
      </c>
      <c r="G169" s="24">
        <v>0</v>
      </c>
      <c r="H169" s="24">
        <v>0</v>
      </c>
      <c r="I169" s="24">
        <v>0</v>
      </c>
      <c r="J169" s="25">
        <f t="shared" si="2"/>
        <v>0</v>
      </c>
      <c r="K169" s="25" t="s">
        <v>260</v>
      </c>
      <c r="L169" s="29" t="s">
        <v>261</v>
      </c>
      <c r="M169" s="24">
        <v>0</v>
      </c>
      <c r="N169" s="24">
        <v>0</v>
      </c>
      <c r="O169" s="30"/>
    </row>
    <row r="170" ht="21.05" customHeight="1" spans="1:15">
      <c r="A170" s="10"/>
      <c r="B170" s="10"/>
      <c r="C170" s="10" t="s">
        <v>604</v>
      </c>
      <c r="D170" s="10" t="s">
        <v>605</v>
      </c>
      <c r="E170" s="10" t="s">
        <v>555</v>
      </c>
      <c r="F170" s="10" t="s">
        <v>297</v>
      </c>
      <c r="G170" s="24">
        <v>0</v>
      </c>
      <c r="H170" s="24">
        <v>0</v>
      </c>
      <c r="I170" s="24">
        <v>0</v>
      </c>
      <c r="J170" s="25">
        <f t="shared" si="2"/>
        <v>0</v>
      </c>
      <c r="K170" s="25" t="s">
        <v>260</v>
      </c>
      <c r="L170" s="29" t="s">
        <v>261</v>
      </c>
      <c r="M170" s="24">
        <v>0</v>
      </c>
      <c r="N170" s="24">
        <v>0</v>
      </c>
      <c r="O170" s="30"/>
    </row>
    <row r="171" ht="21.05" customHeight="1" spans="1:15">
      <c r="A171" s="10"/>
      <c r="B171" s="10"/>
      <c r="C171" s="10"/>
      <c r="D171" s="10" t="s">
        <v>606</v>
      </c>
      <c r="E171" s="10" t="s">
        <v>555</v>
      </c>
      <c r="F171" s="10" t="s">
        <v>297</v>
      </c>
      <c r="G171" s="24">
        <v>105.1</v>
      </c>
      <c r="H171" s="24">
        <v>3816.8</v>
      </c>
      <c r="I171" s="24">
        <v>104.9344</v>
      </c>
      <c r="J171" s="25">
        <f t="shared" si="2"/>
        <v>0.165599999999998</v>
      </c>
      <c r="K171" s="25" t="s">
        <v>412</v>
      </c>
      <c r="L171" s="29" t="s">
        <v>261</v>
      </c>
      <c r="M171" s="24">
        <v>3811.1402</v>
      </c>
      <c r="N171" s="24">
        <v>3811.1402</v>
      </c>
      <c r="O171" s="30"/>
    </row>
    <row r="172" ht="21.05" customHeight="1" spans="1:15">
      <c r="A172" s="10"/>
      <c r="B172" s="10"/>
      <c r="C172" s="10" t="s">
        <v>607</v>
      </c>
      <c r="D172" s="10" t="s">
        <v>608</v>
      </c>
      <c r="E172" s="10" t="s">
        <v>555</v>
      </c>
      <c r="F172" s="10" t="s">
        <v>297</v>
      </c>
      <c r="G172" s="24">
        <v>9</v>
      </c>
      <c r="H172" s="24">
        <v>329.5</v>
      </c>
      <c r="I172" s="24">
        <v>8.23</v>
      </c>
      <c r="J172" s="25">
        <f t="shared" si="2"/>
        <v>0.77</v>
      </c>
      <c r="K172" s="25" t="s">
        <v>609</v>
      </c>
      <c r="L172" s="29" t="s">
        <v>272</v>
      </c>
      <c r="M172" s="24">
        <v>310.2554</v>
      </c>
      <c r="N172" s="24">
        <v>310.2554</v>
      </c>
      <c r="O172" s="30" t="s">
        <v>273</v>
      </c>
    </row>
    <row r="173" ht="21.05" customHeight="1" spans="1:15">
      <c r="A173" s="10"/>
      <c r="B173" s="10"/>
      <c r="C173" s="10" t="s">
        <v>610</v>
      </c>
      <c r="D173" s="10" t="s">
        <v>355</v>
      </c>
      <c r="E173" s="10" t="s">
        <v>356</v>
      </c>
      <c r="F173" s="10" t="s">
        <v>297</v>
      </c>
      <c r="G173" s="24">
        <v>6</v>
      </c>
      <c r="H173" s="24">
        <v>168.5</v>
      </c>
      <c r="I173" s="24">
        <v>6.0072</v>
      </c>
      <c r="J173" s="25">
        <f t="shared" si="2"/>
        <v>-0.0072000000000001</v>
      </c>
      <c r="K173" s="25" t="s">
        <v>611</v>
      </c>
      <c r="L173" s="29" t="s">
        <v>261</v>
      </c>
      <c r="M173" s="24">
        <v>168.0672</v>
      </c>
      <c r="N173" s="24">
        <v>168.0672</v>
      </c>
      <c r="O173" s="30"/>
    </row>
    <row r="174" ht="21.05" customHeight="1" spans="1:15">
      <c r="A174" s="10"/>
      <c r="B174" s="10"/>
      <c r="C174" s="10" t="s">
        <v>612</v>
      </c>
      <c r="D174" s="10" t="s">
        <v>613</v>
      </c>
      <c r="E174" s="10" t="s">
        <v>555</v>
      </c>
      <c r="F174" s="10" t="s">
        <v>297</v>
      </c>
      <c r="G174" s="24">
        <v>1.9</v>
      </c>
      <c r="H174" s="24">
        <v>81.6</v>
      </c>
      <c r="I174" s="24">
        <v>1.9003</v>
      </c>
      <c r="J174" s="25">
        <f t="shared" si="2"/>
        <v>-0.000300000000000189</v>
      </c>
      <c r="K174" s="25" t="s">
        <v>283</v>
      </c>
      <c r="L174" s="29" t="s">
        <v>261</v>
      </c>
      <c r="M174" s="24">
        <v>81.6527</v>
      </c>
      <c r="N174" s="24">
        <v>81.6527</v>
      </c>
      <c r="O174" s="30"/>
    </row>
    <row r="175" ht="21.05" customHeight="1" spans="1:15">
      <c r="A175" s="10"/>
      <c r="B175" s="10"/>
      <c r="C175" s="10" t="s">
        <v>614</v>
      </c>
      <c r="D175" s="10" t="s">
        <v>615</v>
      </c>
      <c r="E175" s="10" t="s">
        <v>616</v>
      </c>
      <c r="F175" s="10" t="s">
        <v>297</v>
      </c>
      <c r="G175" s="24">
        <v>104</v>
      </c>
      <c r="H175" s="24">
        <v>2355.0353</v>
      </c>
      <c r="I175" s="24">
        <v>103.9904</v>
      </c>
      <c r="J175" s="25">
        <f t="shared" si="2"/>
        <v>0.00960000000000605</v>
      </c>
      <c r="K175" s="25" t="s">
        <v>308</v>
      </c>
      <c r="L175" s="29" t="s">
        <v>261</v>
      </c>
      <c r="M175" s="24">
        <v>2354.842</v>
      </c>
      <c r="N175" s="24">
        <v>2354.842</v>
      </c>
      <c r="O175" s="30"/>
    </row>
    <row r="176" ht="21.05" customHeight="1" spans="1:15">
      <c r="A176" s="10"/>
      <c r="B176" s="10"/>
      <c r="C176" s="10" t="s">
        <v>617</v>
      </c>
      <c r="D176" s="10" t="s">
        <v>355</v>
      </c>
      <c r="E176" s="10" t="s">
        <v>356</v>
      </c>
      <c r="F176" s="10" t="s">
        <v>297</v>
      </c>
      <c r="G176" s="24">
        <v>0</v>
      </c>
      <c r="H176" s="24">
        <v>29.55</v>
      </c>
      <c r="I176" s="24">
        <v>0</v>
      </c>
      <c r="J176" s="25">
        <f t="shared" si="2"/>
        <v>0</v>
      </c>
      <c r="K176" s="25" t="s">
        <v>260</v>
      </c>
      <c r="L176" s="29" t="s">
        <v>261</v>
      </c>
      <c r="M176" s="24">
        <v>9.9281</v>
      </c>
      <c r="N176" s="24">
        <v>9.9281</v>
      </c>
      <c r="O176" s="30"/>
    </row>
    <row r="177" ht="21.05" customHeight="1" spans="1:15">
      <c r="A177" s="10"/>
      <c r="B177" s="10"/>
      <c r="C177" s="10" t="s">
        <v>618</v>
      </c>
      <c r="D177" s="10" t="s">
        <v>126</v>
      </c>
      <c r="E177" s="10" t="s">
        <v>586</v>
      </c>
      <c r="F177" s="10" t="s">
        <v>297</v>
      </c>
      <c r="G177" s="24">
        <v>0</v>
      </c>
      <c r="H177" s="24">
        <v>0</v>
      </c>
      <c r="I177" s="24">
        <v>0</v>
      </c>
      <c r="J177" s="25">
        <f t="shared" si="2"/>
        <v>0</v>
      </c>
      <c r="K177" s="25" t="s">
        <v>260</v>
      </c>
      <c r="L177" s="29" t="s">
        <v>261</v>
      </c>
      <c r="M177" s="24">
        <v>0</v>
      </c>
      <c r="N177" s="24">
        <v>0</v>
      </c>
      <c r="O177" s="30"/>
    </row>
    <row r="178" ht="21.05" customHeight="1" spans="1:15">
      <c r="A178" s="10"/>
      <c r="B178" s="10"/>
      <c r="C178" s="10" t="s">
        <v>619</v>
      </c>
      <c r="D178" s="10" t="s">
        <v>355</v>
      </c>
      <c r="E178" s="10" t="s">
        <v>356</v>
      </c>
      <c r="F178" s="10" t="s">
        <v>297</v>
      </c>
      <c r="G178" s="24">
        <v>147.7</v>
      </c>
      <c r="H178" s="24">
        <v>3247.5</v>
      </c>
      <c r="I178" s="24">
        <v>147.4336</v>
      </c>
      <c r="J178" s="25">
        <f t="shared" si="2"/>
        <v>0.266399999999976</v>
      </c>
      <c r="K178" s="25" t="s">
        <v>402</v>
      </c>
      <c r="L178" s="29" t="s">
        <v>261</v>
      </c>
      <c r="M178" s="24">
        <v>3081.9936</v>
      </c>
      <c r="N178" s="24">
        <v>3081.9936</v>
      </c>
      <c r="O178" s="30"/>
    </row>
    <row r="179" ht="21.05" customHeight="1" spans="1:15">
      <c r="A179" s="10"/>
      <c r="B179" s="10" t="s">
        <v>620</v>
      </c>
      <c r="C179" s="10" t="s">
        <v>621</v>
      </c>
      <c r="D179" s="10" t="s">
        <v>622</v>
      </c>
      <c r="E179" s="10" t="s">
        <v>565</v>
      </c>
      <c r="F179" s="10" t="s">
        <v>297</v>
      </c>
      <c r="G179" s="24">
        <v>0</v>
      </c>
      <c r="H179" s="24">
        <v>0</v>
      </c>
      <c r="I179" s="24">
        <v>0</v>
      </c>
      <c r="J179" s="25">
        <f t="shared" si="2"/>
        <v>0</v>
      </c>
      <c r="K179" s="25" t="s">
        <v>260</v>
      </c>
      <c r="L179" s="29" t="s">
        <v>261</v>
      </c>
      <c r="M179" s="24">
        <v>0</v>
      </c>
      <c r="N179" s="24">
        <v>0</v>
      </c>
      <c r="O179" s="30"/>
    </row>
    <row r="180" ht="21.05" customHeight="1" spans="1:15">
      <c r="A180" s="10"/>
      <c r="B180" s="10" t="s">
        <v>623</v>
      </c>
      <c r="C180" s="10" t="s">
        <v>624</v>
      </c>
      <c r="D180" s="10" t="s">
        <v>625</v>
      </c>
      <c r="E180" s="10" t="s">
        <v>555</v>
      </c>
      <c r="F180" s="10" t="s">
        <v>297</v>
      </c>
      <c r="G180" s="24">
        <v>66</v>
      </c>
      <c r="H180" s="24">
        <v>2215.1</v>
      </c>
      <c r="I180" s="24">
        <v>57.731</v>
      </c>
      <c r="J180" s="25">
        <f t="shared" si="2"/>
        <v>8.269</v>
      </c>
      <c r="K180" s="25" t="s">
        <v>626</v>
      </c>
      <c r="L180" s="29" t="s">
        <v>272</v>
      </c>
      <c r="M180" s="24">
        <v>2091.4752</v>
      </c>
      <c r="N180" s="24">
        <v>2091.4752</v>
      </c>
      <c r="O180" s="30" t="s">
        <v>273</v>
      </c>
    </row>
    <row r="181" ht="21.05" customHeight="1" spans="1:15">
      <c r="A181" s="10"/>
      <c r="B181" s="10" t="s">
        <v>627</v>
      </c>
      <c r="C181" s="10" t="s">
        <v>628</v>
      </c>
      <c r="D181" s="10" t="s">
        <v>629</v>
      </c>
      <c r="E181" s="10" t="s">
        <v>555</v>
      </c>
      <c r="F181" s="10" t="s">
        <v>297</v>
      </c>
      <c r="G181" s="24">
        <v>6.2</v>
      </c>
      <c r="H181" s="24">
        <v>232.04</v>
      </c>
      <c r="I181" s="24">
        <v>5.6307</v>
      </c>
      <c r="J181" s="25">
        <f t="shared" si="2"/>
        <v>0.5693</v>
      </c>
      <c r="K181" s="25" t="s">
        <v>630</v>
      </c>
      <c r="L181" s="29" t="s">
        <v>272</v>
      </c>
      <c r="M181" s="24">
        <v>227.185</v>
      </c>
      <c r="N181" s="24">
        <v>227.185</v>
      </c>
      <c r="O181" s="30" t="s">
        <v>273</v>
      </c>
    </row>
    <row r="182" ht="21.05" customHeight="1" spans="1:15">
      <c r="A182" s="10"/>
      <c r="B182" s="10" t="s">
        <v>631</v>
      </c>
      <c r="C182" s="10" t="s">
        <v>632</v>
      </c>
      <c r="D182" s="10" t="s">
        <v>633</v>
      </c>
      <c r="E182" s="10" t="s">
        <v>356</v>
      </c>
      <c r="F182" s="10" t="s">
        <v>297</v>
      </c>
      <c r="G182" s="24">
        <v>0</v>
      </c>
      <c r="H182" s="24">
        <v>0</v>
      </c>
      <c r="I182" s="24">
        <v>0</v>
      </c>
      <c r="J182" s="25">
        <f t="shared" si="2"/>
        <v>0</v>
      </c>
      <c r="K182" s="25" t="s">
        <v>260</v>
      </c>
      <c r="L182" s="29" t="s">
        <v>261</v>
      </c>
      <c r="M182" s="24">
        <v>0</v>
      </c>
      <c r="N182" s="24">
        <v>0</v>
      </c>
      <c r="O182" s="30"/>
    </row>
    <row r="183" ht="21.05" customHeight="1" spans="1:15">
      <c r="A183" s="10"/>
      <c r="B183" s="10"/>
      <c r="C183" s="10" t="s">
        <v>634</v>
      </c>
      <c r="D183" s="10" t="s">
        <v>633</v>
      </c>
      <c r="E183" s="10" t="s">
        <v>356</v>
      </c>
      <c r="F183" s="10" t="s">
        <v>297</v>
      </c>
      <c r="G183" s="24">
        <v>0</v>
      </c>
      <c r="H183" s="24">
        <v>0</v>
      </c>
      <c r="I183" s="24">
        <v>0</v>
      </c>
      <c r="J183" s="25">
        <f t="shared" si="2"/>
        <v>0</v>
      </c>
      <c r="K183" s="25" t="s">
        <v>260</v>
      </c>
      <c r="L183" s="29" t="s">
        <v>261</v>
      </c>
      <c r="M183" s="24">
        <v>0</v>
      </c>
      <c r="N183" s="24">
        <v>0</v>
      </c>
      <c r="O183" s="30"/>
    </row>
    <row r="184" ht="21.05" customHeight="1" spans="1:15">
      <c r="A184" s="10" t="s">
        <v>13</v>
      </c>
      <c r="B184" s="10" t="s">
        <v>635</v>
      </c>
      <c r="C184" s="10" t="s">
        <v>636</v>
      </c>
      <c r="D184" s="10" t="s">
        <v>637</v>
      </c>
      <c r="E184" s="10" t="s">
        <v>382</v>
      </c>
      <c r="F184" s="10" t="s">
        <v>297</v>
      </c>
      <c r="G184" s="24">
        <v>0</v>
      </c>
      <c r="H184" s="24">
        <v>11.8</v>
      </c>
      <c r="I184" s="24">
        <v>0</v>
      </c>
      <c r="J184" s="25">
        <f t="shared" si="2"/>
        <v>0</v>
      </c>
      <c r="K184" s="25" t="s">
        <v>260</v>
      </c>
      <c r="L184" s="29" t="s">
        <v>261</v>
      </c>
      <c r="M184" s="24">
        <v>11.4979</v>
      </c>
      <c r="N184" s="24">
        <v>11.4979</v>
      </c>
      <c r="O184" s="30"/>
    </row>
    <row r="185" ht="21.05" customHeight="1" spans="1:15">
      <c r="A185" s="10"/>
      <c r="B185" s="10"/>
      <c r="C185" s="10"/>
      <c r="D185" s="10" t="s">
        <v>383</v>
      </c>
      <c r="E185" s="10" t="s">
        <v>382</v>
      </c>
      <c r="F185" s="10" t="s">
        <v>297</v>
      </c>
      <c r="G185" s="24">
        <v>38.79</v>
      </c>
      <c r="H185" s="24">
        <v>1171.89</v>
      </c>
      <c r="I185" s="24">
        <v>38.7817</v>
      </c>
      <c r="J185" s="25">
        <f t="shared" si="2"/>
        <v>0.00829999999999842</v>
      </c>
      <c r="K185" s="25" t="s">
        <v>638</v>
      </c>
      <c r="L185" s="29" t="s">
        <v>261</v>
      </c>
      <c r="M185" s="24">
        <v>1169.161</v>
      </c>
      <c r="N185" s="24">
        <v>1169.161</v>
      </c>
      <c r="O185" s="30"/>
    </row>
    <row r="186" ht="21.05" customHeight="1" spans="1:15">
      <c r="A186" s="10"/>
      <c r="B186" s="10"/>
      <c r="C186" s="10" t="s">
        <v>639</v>
      </c>
      <c r="D186" s="10" t="s">
        <v>640</v>
      </c>
      <c r="E186" s="10" t="s">
        <v>258</v>
      </c>
      <c r="F186" s="10" t="s">
        <v>297</v>
      </c>
      <c r="G186" s="24">
        <v>2</v>
      </c>
      <c r="H186" s="24">
        <v>135.6</v>
      </c>
      <c r="I186" s="24">
        <v>1.9335</v>
      </c>
      <c r="J186" s="25">
        <f t="shared" si="2"/>
        <v>0.0665</v>
      </c>
      <c r="K186" s="25" t="s">
        <v>641</v>
      </c>
      <c r="L186" s="29" t="s">
        <v>272</v>
      </c>
      <c r="M186" s="24">
        <v>115.3657</v>
      </c>
      <c r="N186" s="24">
        <v>115.3657</v>
      </c>
      <c r="O186" s="30" t="s">
        <v>273</v>
      </c>
    </row>
    <row r="187" ht="21.05" customHeight="1" spans="1:15">
      <c r="A187" s="10"/>
      <c r="B187" s="10"/>
      <c r="C187" s="10"/>
      <c r="D187" s="10" t="s">
        <v>642</v>
      </c>
      <c r="E187" s="10" t="s">
        <v>258</v>
      </c>
      <c r="F187" s="10" t="s">
        <v>297</v>
      </c>
      <c r="G187" s="24">
        <v>29.9</v>
      </c>
      <c r="H187" s="24">
        <v>1537</v>
      </c>
      <c r="I187" s="24">
        <v>29.8242</v>
      </c>
      <c r="J187" s="25">
        <f t="shared" si="2"/>
        <v>0.0757999999999974</v>
      </c>
      <c r="K187" s="25" t="s">
        <v>396</v>
      </c>
      <c r="L187" s="29" t="s">
        <v>261</v>
      </c>
      <c r="M187" s="24">
        <v>1533.8062</v>
      </c>
      <c r="N187" s="24">
        <v>1533.8062</v>
      </c>
      <c r="O187" s="30"/>
    </row>
    <row r="188" ht="21.05" customHeight="1" spans="1:15">
      <c r="A188" s="10"/>
      <c r="B188" s="10"/>
      <c r="C188" s="10" t="s">
        <v>643</v>
      </c>
      <c r="D188" s="10" t="s">
        <v>642</v>
      </c>
      <c r="E188" s="10" t="s">
        <v>258</v>
      </c>
      <c r="F188" s="10" t="s">
        <v>297</v>
      </c>
      <c r="G188" s="24">
        <v>48</v>
      </c>
      <c r="H188" s="24">
        <v>1321</v>
      </c>
      <c r="I188" s="24">
        <v>39.8111</v>
      </c>
      <c r="J188" s="25">
        <f t="shared" si="2"/>
        <v>8.1889</v>
      </c>
      <c r="K188" s="25" t="s">
        <v>644</v>
      </c>
      <c r="L188" s="29" t="s">
        <v>272</v>
      </c>
      <c r="M188" s="24">
        <v>1113.089</v>
      </c>
      <c r="N188" s="24">
        <v>1113.089</v>
      </c>
      <c r="O188" s="30" t="s">
        <v>273</v>
      </c>
    </row>
    <row r="189" ht="21.05" customHeight="1" spans="1:15">
      <c r="A189" s="10"/>
      <c r="B189" s="10" t="s">
        <v>645</v>
      </c>
      <c r="C189" s="10" t="s">
        <v>646</v>
      </c>
      <c r="D189" s="10" t="s">
        <v>647</v>
      </c>
      <c r="E189" s="10" t="s">
        <v>382</v>
      </c>
      <c r="F189" s="10" t="s">
        <v>297</v>
      </c>
      <c r="G189" s="24">
        <v>7.5</v>
      </c>
      <c r="H189" s="24">
        <v>439</v>
      </c>
      <c r="I189" s="24">
        <v>7.1842</v>
      </c>
      <c r="J189" s="25">
        <f t="shared" si="2"/>
        <v>0.3158</v>
      </c>
      <c r="K189" s="25" t="s">
        <v>648</v>
      </c>
      <c r="L189" s="29" t="s">
        <v>272</v>
      </c>
      <c r="M189" s="24">
        <v>408.2373</v>
      </c>
      <c r="N189" s="24">
        <v>408.2373</v>
      </c>
      <c r="O189" s="30" t="s">
        <v>273</v>
      </c>
    </row>
    <row r="190" ht="21.05" customHeight="1" spans="1:15">
      <c r="A190" s="10"/>
      <c r="B190" s="10" t="s">
        <v>649</v>
      </c>
      <c r="C190" s="10" t="s">
        <v>650</v>
      </c>
      <c r="D190" s="10" t="s">
        <v>651</v>
      </c>
      <c r="E190" s="10" t="s">
        <v>382</v>
      </c>
      <c r="F190" s="10" t="s">
        <v>297</v>
      </c>
      <c r="G190" s="24">
        <v>0</v>
      </c>
      <c r="H190" s="24">
        <v>0</v>
      </c>
      <c r="I190" s="24">
        <v>0</v>
      </c>
      <c r="J190" s="25">
        <f t="shared" si="2"/>
        <v>0</v>
      </c>
      <c r="K190" s="25" t="s">
        <v>260</v>
      </c>
      <c r="L190" s="29" t="s">
        <v>261</v>
      </c>
      <c r="M190" s="24">
        <v>0</v>
      </c>
      <c r="N190" s="24">
        <v>0</v>
      </c>
      <c r="O190" s="30"/>
    </row>
    <row r="191" ht="21.05" customHeight="1" spans="1:15">
      <c r="A191" s="10"/>
      <c r="B191" s="10"/>
      <c r="C191" s="10"/>
      <c r="D191" s="10" t="s">
        <v>652</v>
      </c>
      <c r="E191" s="10" t="s">
        <v>382</v>
      </c>
      <c r="F191" s="10" t="s">
        <v>297</v>
      </c>
      <c r="G191" s="24">
        <v>126</v>
      </c>
      <c r="H191" s="24">
        <v>3942.5</v>
      </c>
      <c r="I191" s="24">
        <v>122.8612</v>
      </c>
      <c r="J191" s="25">
        <f t="shared" si="2"/>
        <v>3.1388</v>
      </c>
      <c r="K191" s="25" t="s">
        <v>653</v>
      </c>
      <c r="L191" s="29" t="s">
        <v>272</v>
      </c>
      <c r="M191" s="24">
        <v>3810.4928</v>
      </c>
      <c r="N191" s="24">
        <v>3810.4928</v>
      </c>
      <c r="O191" s="30" t="s">
        <v>372</v>
      </c>
    </row>
    <row r="192" ht="21.05" customHeight="1" spans="1:15">
      <c r="A192" s="10"/>
      <c r="B192" s="10"/>
      <c r="C192" s="10" t="s">
        <v>70</v>
      </c>
      <c r="D192" s="10" t="s">
        <v>654</v>
      </c>
      <c r="E192" s="10" t="s">
        <v>382</v>
      </c>
      <c r="F192" s="10" t="s">
        <v>297</v>
      </c>
      <c r="G192" s="24">
        <v>0</v>
      </c>
      <c r="H192" s="24">
        <v>0</v>
      </c>
      <c r="I192" s="24">
        <v>0</v>
      </c>
      <c r="J192" s="25">
        <f t="shared" si="2"/>
        <v>0</v>
      </c>
      <c r="K192" s="25" t="s">
        <v>260</v>
      </c>
      <c r="L192" s="29" t="s">
        <v>261</v>
      </c>
      <c r="M192" s="24">
        <v>0</v>
      </c>
      <c r="N192" s="24">
        <v>0</v>
      </c>
      <c r="O192" s="30"/>
    </row>
    <row r="193" ht="21.05" customHeight="1" spans="1:15">
      <c r="A193" s="10"/>
      <c r="B193" s="10"/>
      <c r="C193" s="10" t="s">
        <v>655</v>
      </c>
      <c r="D193" s="10" t="s">
        <v>656</v>
      </c>
      <c r="E193" s="10" t="s">
        <v>382</v>
      </c>
      <c r="F193" s="10" t="s">
        <v>297</v>
      </c>
      <c r="G193" s="24">
        <v>5.93</v>
      </c>
      <c r="H193" s="24">
        <v>252.29</v>
      </c>
      <c r="I193" s="24">
        <v>5.93</v>
      </c>
      <c r="J193" s="25">
        <f t="shared" si="2"/>
        <v>0</v>
      </c>
      <c r="K193" s="25" t="s">
        <v>260</v>
      </c>
      <c r="L193" s="29" t="s">
        <v>261</v>
      </c>
      <c r="M193" s="24">
        <v>245.9709</v>
      </c>
      <c r="N193" s="24">
        <v>245.9709</v>
      </c>
      <c r="O193" s="30"/>
    </row>
    <row r="194" ht="21.05" customHeight="1" spans="1:15">
      <c r="A194" s="10"/>
      <c r="B194" s="10"/>
      <c r="C194" s="10" t="s">
        <v>657</v>
      </c>
      <c r="D194" s="10" t="s">
        <v>658</v>
      </c>
      <c r="E194" s="10" t="s">
        <v>382</v>
      </c>
      <c r="F194" s="10" t="s">
        <v>297</v>
      </c>
      <c r="G194" s="24">
        <v>0.7</v>
      </c>
      <c r="H194" s="24">
        <v>39.5</v>
      </c>
      <c r="I194" s="24">
        <v>0.6992</v>
      </c>
      <c r="J194" s="25">
        <f t="shared" si="2"/>
        <v>0.000799999999999912</v>
      </c>
      <c r="K194" s="25" t="s">
        <v>449</v>
      </c>
      <c r="L194" s="29" t="s">
        <v>261</v>
      </c>
      <c r="M194" s="24">
        <v>38.822</v>
      </c>
      <c r="N194" s="24">
        <v>38.822</v>
      </c>
      <c r="O194" s="30"/>
    </row>
    <row r="195" ht="21.05" customHeight="1" spans="1:15">
      <c r="A195" s="10"/>
      <c r="B195" s="10"/>
      <c r="C195" s="10" t="s">
        <v>659</v>
      </c>
      <c r="D195" s="10" t="s">
        <v>660</v>
      </c>
      <c r="E195" s="10" t="s">
        <v>382</v>
      </c>
      <c r="F195" s="10" t="s">
        <v>297</v>
      </c>
      <c r="G195" s="24">
        <v>15</v>
      </c>
      <c r="H195" s="24">
        <v>768.5</v>
      </c>
      <c r="I195" s="24">
        <v>9.4287</v>
      </c>
      <c r="J195" s="25">
        <f t="shared" si="2"/>
        <v>5.5713</v>
      </c>
      <c r="K195" s="25" t="s">
        <v>661</v>
      </c>
      <c r="L195" s="29" t="s">
        <v>272</v>
      </c>
      <c r="M195" s="24">
        <v>702.7379</v>
      </c>
      <c r="N195" s="24">
        <v>702.7379</v>
      </c>
      <c r="O195" s="30" t="s">
        <v>273</v>
      </c>
    </row>
    <row r="196" ht="21.05" customHeight="1" spans="1:15">
      <c r="A196" s="10"/>
      <c r="B196" s="10"/>
      <c r="C196" s="10" t="s">
        <v>662</v>
      </c>
      <c r="D196" s="10" t="s">
        <v>663</v>
      </c>
      <c r="E196" s="10" t="s">
        <v>382</v>
      </c>
      <c r="F196" s="10" t="s">
        <v>297</v>
      </c>
      <c r="G196" s="24">
        <v>1.28</v>
      </c>
      <c r="H196" s="24">
        <v>88.83</v>
      </c>
      <c r="I196" s="24">
        <v>1.2374</v>
      </c>
      <c r="J196" s="25">
        <f t="shared" si="2"/>
        <v>0.0426</v>
      </c>
      <c r="K196" s="25" t="s">
        <v>641</v>
      </c>
      <c r="L196" s="29" t="s">
        <v>272</v>
      </c>
      <c r="M196" s="24">
        <v>85.3464</v>
      </c>
      <c r="N196" s="24">
        <v>85.3464</v>
      </c>
      <c r="O196" s="30" t="s">
        <v>273</v>
      </c>
    </row>
    <row r="197" ht="25.6" customHeight="1" spans="1:15">
      <c r="A197" s="10"/>
      <c r="B197" s="10" t="s">
        <v>664</v>
      </c>
      <c r="C197" s="10" t="s">
        <v>665</v>
      </c>
      <c r="D197" s="10" t="s">
        <v>666</v>
      </c>
      <c r="E197" s="10" t="s">
        <v>258</v>
      </c>
      <c r="F197" s="10" t="s">
        <v>297</v>
      </c>
      <c r="G197" s="24">
        <v>2.8</v>
      </c>
      <c r="H197" s="24">
        <v>112.4</v>
      </c>
      <c r="I197" s="24">
        <v>2.0818</v>
      </c>
      <c r="J197" s="25">
        <f t="shared" ref="J197:J260" si="3">G197-I197</f>
        <v>0.7182</v>
      </c>
      <c r="K197" s="25" t="s">
        <v>667</v>
      </c>
      <c r="L197" s="29" t="s">
        <v>272</v>
      </c>
      <c r="M197" s="24">
        <v>94.4401</v>
      </c>
      <c r="N197" s="24">
        <v>94.4401</v>
      </c>
      <c r="O197" s="30" t="s">
        <v>273</v>
      </c>
    </row>
    <row r="198" ht="21.05" customHeight="1" spans="1:15">
      <c r="A198" s="10" t="s">
        <v>668</v>
      </c>
      <c r="B198" s="10" t="s">
        <v>669</v>
      </c>
      <c r="C198" s="10" t="s">
        <v>670</v>
      </c>
      <c r="D198" s="10" t="s">
        <v>671</v>
      </c>
      <c r="E198" s="10" t="s">
        <v>672</v>
      </c>
      <c r="F198" s="10" t="s">
        <v>297</v>
      </c>
      <c r="G198" s="24">
        <v>0.8</v>
      </c>
      <c r="H198" s="24">
        <v>23.1</v>
      </c>
      <c r="I198" s="24">
        <v>0.8</v>
      </c>
      <c r="J198" s="25">
        <f t="shared" si="3"/>
        <v>0</v>
      </c>
      <c r="K198" s="25" t="s">
        <v>260</v>
      </c>
      <c r="L198" s="29" t="s">
        <v>261</v>
      </c>
      <c r="M198" s="24">
        <v>23.9472</v>
      </c>
      <c r="N198" s="24">
        <v>23.9472</v>
      </c>
      <c r="O198" s="30"/>
    </row>
    <row r="199" ht="21.05" customHeight="1" spans="1:15">
      <c r="A199" s="10"/>
      <c r="B199" s="10"/>
      <c r="C199" s="10"/>
      <c r="D199" s="10" t="s">
        <v>673</v>
      </c>
      <c r="E199" s="10" t="s">
        <v>672</v>
      </c>
      <c r="F199" s="10" t="s">
        <v>297</v>
      </c>
      <c r="G199" s="24">
        <v>0</v>
      </c>
      <c r="H199" s="24">
        <v>0</v>
      </c>
      <c r="I199" s="24">
        <v>0</v>
      </c>
      <c r="J199" s="25">
        <f t="shared" si="3"/>
        <v>0</v>
      </c>
      <c r="K199" s="25" t="s">
        <v>260</v>
      </c>
      <c r="L199" s="29" t="s">
        <v>261</v>
      </c>
      <c r="M199" s="24">
        <v>0</v>
      </c>
      <c r="N199" s="24">
        <v>0</v>
      </c>
      <c r="O199" s="30"/>
    </row>
    <row r="200" ht="21.05" customHeight="1" spans="1:15">
      <c r="A200" s="10"/>
      <c r="B200" s="10" t="s">
        <v>674</v>
      </c>
      <c r="C200" s="10" t="s">
        <v>675</v>
      </c>
      <c r="D200" s="10" t="s">
        <v>676</v>
      </c>
      <c r="E200" s="10" t="s">
        <v>672</v>
      </c>
      <c r="F200" s="10" t="s">
        <v>297</v>
      </c>
      <c r="G200" s="24">
        <v>0</v>
      </c>
      <c r="H200" s="24">
        <v>3.01</v>
      </c>
      <c r="I200" s="24">
        <v>0</v>
      </c>
      <c r="J200" s="25">
        <f t="shared" si="3"/>
        <v>0</v>
      </c>
      <c r="K200" s="25" t="s">
        <v>260</v>
      </c>
      <c r="L200" s="29" t="s">
        <v>261</v>
      </c>
      <c r="M200" s="24">
        <v>2.7637</v>
      </c>
      <c r="N200" s="24">
        <v>2.7637</v>
      </c>
      <c r="O200" s="30"/>
    </row>
    <row r="201" ht="21.05" customHeight="1" spans="1:15">
      <c r="A201" s="10"/>
      <c r="B201" s="10"/>
      <c r="C201" s="10"/>
      <c r="D201" s="10" t="s">
        <v>677</v>
      </c>
      <c r="E201" s="10" t="s">
        <v>672</v>
      </c>
      <c r="F201" s="10" t="s">
        <v>297</v>
      </c>
      <c r="G201" s="24">
        <v>0</v>
      </c>
      <c r="H201" s="24">
        <v>0.37</v>
      </c>
      <c r="I201" s="24">
        <v>0</v>
      </c>
      <c r="J201" s="25">
        <f t="shared" si="3"/>
        <v>0</v>
      </c>
      <c r="K201" s="25" t="s">
        <v>260</v>
      </c>
      <c r="L201" s="29" t="s">
        <v>261</v>
      </c>
      <c r="M201" s="24">
        <v>0.0279</v>
      </c>
      <c r="N201" s="24">
        <v>0.0279</v>
      </c>
      <c r="O201" s="30"/>
    </row>
    <row r="202" ht="21.05" customHeight="1" spans="1:15">
      <c r="A202" s="10"/>
      <c r="B202" s="10" t="s">
        <v>190</v>
      </c>
      <c r="C202" s="10" t="s">
        <v>365</v>
      </c>
      <c r="D202" s="10" t="s">
        <v>678</v>
      </c>
      <c r="E202" s="10" t="s">
        <v>672</v>
      </c>
      <c r="F202" s="10" t="s">
        <v>297</v>
      </c>
      <c r="G202" s="24">
        <v>0.5</v>
      </c>
      <c r="H202" s="24">
        <v>20.22</v>
      </c>
      <c r="I202" s="24">
        <v>0.3026</v>
      </c>
      <c r="J202" s="25">
        <f t="shared" si="3"/>
        <v>0.1974</v>
      </c>
      <c r="K202" s="25" t="s">
        <v>679</v>
      </c>
      <c r="L202" s="29" t="s">
        <v>272</v>
      </c>
      <c r="M202" s="24">
        <v>16.3656</v>
      </c>
      <c r="N202" s="24">
        <v>16.3656</v>
      </c>
      <c r="O202" s="30" t="s">
        <v>680</v>
      </c>
    </row>
    <row r="203" ht="25.6" customHeight="1" spans="1:15">
      <c r="A203" s="10"/>
      <c r="B203" s="10"/>
      <c r="C203" s="10" t="s">
        <v>681</v>
      </c>
      <c r="D203" s="10" t="s">
        <v>682</v>
      </c>
      <c r="E203" s="10" t="s">
        <v>672</v>
      </c>
      <c r="F203" s="10" t="s">
        <v>297</v>
      </c>
      <c r="G203" s="24">
        <v>140</v>
      </c>
      <c r="H203" s="24">
        <v>4293</v>
      </c>
      <c r="I203" s="24">
        <v>152.7454</v>
      </c>
      <c r="J203" s="25">
        <f t="shared" si="3"/>
        <v>-12.7454</v>
      </c>
      <c r="K203" s="25" t="s">
        <v>683</v>
      </c>
      <c r="L203" s="29" t="s">
        <v>272</v>
      </c>
      <c r="M203" s="24">
        <v>3923.9344</v>
      </c>
      <c r="N203" s="24">
        <v>3923.9344</v>
      </c>
      <c r="O203" s="30" t="s">
        <v>684</v>
      </c>
    </row>
    <row r="204" ht="21.05" customHeight="1" spans="1:15">
      <c r="A204" s="10"/>
      <c r="B204" s="10"/>
      <c r="C204" s="10"/>
      <c r="D204" s="10" t="s">
        <v>685</v>
      </c>
      <c r="E204" s="10" t="s">
        <v>672</v>
      </c>
      <c r="F204" s="10" t="s">
        <v>297</v>
      </c>
      <c r="G204" s="24">
        <v>0.5</v>
      </c>
      <c r="H204" s="24">
        <v>37.4</v>
      </c>
      <c r="I204" s="24">
        <v>0.565</v>
      </c>
      <c r="J204" s="25">
        <f t="shared" si="3"/>
        <v>-0.0649999999999999</v>
      </c>
      <c r="K204" s="25" t="s">
        <v>686</v>
      </c>
      <c r="L204" s="29" t="s">
        <v>272</v>
      </c>
      <c r="M204" s="24">
        <v>35.4004</v>
      </c>
      <c r="N204" s="24">
        <v>35.4004</v>
      </c>
      <c r="O204" s="30" t="s">
        <v>281</v>
      </c>
    </row>
    <row r="205" ht="21.05" customHeight="1" spans="1:15">
      <c r="A205" s="10"/>
      <c r="B205" s="10"/>
      <c r="C205" s="10" t="s">
        <v>687</v>
      </c>
      <c r="D205" s="10" t="s">
        <v>688</v>
      </c>
      <c r="E205" s="10" t="s">
        <v>672</v>
      </c>
      <c r="F205" s="10" t="s">
        <v>297</v>
      </c>
      <c r="G205" s="24">
        <v>0</v>
      </c>
      <c r="H205" s="24">
        <v>0</v>
      </c>
      <c r="I205" s="24">
        <v>0</v>
      </c>
      <c r="J205" s="25">
        <f t="shared" si="3"/>
        <v>0</v>
      </c>
      <c r="K205" s="25" t="s">
        <v>260</v>
      </c>
      <c r="L205" s="29" t="s">
        <v>261</v>
      </c>
      <c r="M205" s="24">
        <v>0</v>
      </c>
      <c r="N205" s="24">
        <v>0</v>
      </c>
      <c r="O205" s="30"/>
    </row>
    <row r="206" ht="21.05" customHeight="1" spans="1:15">
      <c r="A206" s="10"/>
      <c r="B206" s="10"/>
      <c r="C206" s="10" t="s">
        <v>689</v>
      </c>
      <c r="D206" s="10" t="s">
        <v>690</v>
      </c>
      <c r="E206" s="10" t="s">
        <v>672</v>
      </c>
      <c r="F206" s="10" t="s">
        <v>297</v>
      </c>
      <c r="G206" s="24">
        <v>7</v>
      </c>
      <c r="H206" s="24">
        <v>133.3</v>
      </c>
      <c r="I206" s="24">
        <v>5.8581</v>
      </c>
      <c r="J206" s="25">
        <f t="shared" si="3"/>
        <v>1.1419</v>
      </c>
      <c r="K206" s="25" t="s">
        <v>691</v>
      </c>
      <c r="L206" s="29" t="s">
        <v>272</v>
      </c>
      <c r="M206" s="24">
        <v>133.6344</v>
      </c>
      <c r="N206" s="24">
        <v>133.6344</v>
      </c>
      <c r="O206" s="30" t="s">
        <v>680</v>
      </c>
    </row>
    <row r="207" ht="21.05" customHeight="1" spans="1:15">
      <c r="A207" s="10"/>
      <c r="B207" s="10" t="s">
        <v>692</v>
      </c>
      <c r="C207" s="10" t="s">
        <v>693</v>
      </c>
      <c r="D207" s="10" t="s">
        <v>694</v>
      </c>
      <c r="E207" s="10" t="s">
        <v>672</v>
      </c>
      <c r="F207" s="10" t="s">
        <v>297</v>
      </c>
      <c r="G207" s="24">
        <v>0</v>
      </c>
      <c r="H207" s="24">
        <v>0</v>
      </c>
      <c r="I207" s="24">
        <v>0</v>
      </c>
      <c r="J207" s="25">
        <f t="shared" si="3"/>
        <v>0</v>
      </c>
      <c r="K207" s="25" t="s">
        <v>260</v>
      </c>
      <c r="L207" s="29" t="s">
        <v>261</v>
      </c>
      <c r="M207" s="24">
        <v>0</v>
      </c>
      <c r="N207" s="24">
        <v>0</v>
      </c>
      <c r="O207" s="30"/>
    </row>
    <row r="208" ht="21.05" customHeight="1" spans="1:15">
      <c r="A208" s="10"/>
      <c r="B208" s="10"/>
      <c r="C208" s="10"/>
      <c r="D208" s="10" t="s">
        <v>695</v>
      </c>
      <c r="E208" s="10" t="s">
        <v>672</v>
      </c>
      <c r="F208" s="10" t="s">
        <v>297</v>
      </c>
      <c r="G208" s="24">
        <v>0</v>
      </c>
      <c r="H208" s="24">
        <v>73</v>
      </c>
      <c r="I208" s="24">
        <v>0</v>
      </c>
      <c r="J208" s="25">
        <f t="shared" si="3"/>
        <v>0</v>
      </c>
      <c r="K208" s="25" t="s">
        <v>260</v>
      </c>
      <c r="L208" s="29" t="s">
        <v>261</v>
      </c>
      <c r="M208" s="24">
        <v>53.9632</v>
      </c>
      <c r="N208" s="24">
        <v>53.9632</v>
      </c>
      <c r="O208" s="30"/>
    </row>
    <row r="209" ht="21.05" customHeight="1" spans="1:15">
      <c r="A209" s="10"/>
      <c r="B209" s="10"/>
      <c r="C209" s="10"/>
      <c r="D209" s="10" t="s">
        <v>696</v>
      </c>
      <c r="E209" s="10" t="s">
        <v>672</v>
      </c>
      <c r="F209" s="10" t="s">
        <v>297</v>
      </c>
      <c r="G209" s="24">
        <v>0</v>
      </c>
      <c r="H209" s="24">
        <v>0</v>
      </c>
      <c r="I209" s="24">
        <v>0</v>
      </c>
      <c r="J209" s="25">
        <f t="shared" si="3"/>
        <v>0</v>
      </c>
      <c r="K209" s="25" t="s">
        <v>260</v>
      </c>
      <c r="L209" s="29" t="s">
        <v>261</v>
      </c>
      <c r="M209" s="24">
        <v>0</v>
      </c>
      <c r="N209" s="24">
        <v>0</v>
      </c>
      <c r="O209" s="30"/>
    </row>
    <row r="210" ht="21.05" customHeight="1" spans="1:15">
      <c r="A210" s="10"/>
      <c r="B210" s="10"/>
      <c r="C210" s="10"/>
      <c r="D210" s="10" t="s">
        <v>697</v>
      </c>
      <c r="E210" s="10" t="s">
        <v>672</v>
      </c>
      <c r="F210" s="10" t="s">
        <v>297</v>
      </c>
      <c r="G210" s="24">
        <v>0</v>
      </c>
      <c r="H210" s="24">
        <v>23.65</v>
      </c>
      <c r="I210" s="24">
        <v>0</v>
      </c>
      <c r="J210" s="25">
        <f t="shared" si="3"/>
        <v>0</v>
      </c>
      <c r="K210" s="25" t="s">
        <v>260</v>
      </c>
      <c r="L210" s="29" t="s">
        <v>261</v>
      </c>
      <c r="M210" s="24">
        <v>26.176</v>
      </c>
      <c r="N210" s="24">
        <v>26.176</v>
      </c>
      <c r="O210" s="30"/>
    </row>
    <row r="211" ht="25.6" customHeight="1" spans="1:15">
      <c r="A211" s="10"/>
      <c r="B211" s="10" t="s">
        <v>698</v>
      </c>
      <c r="C211" s="10" t="s">
        <v>699</v>
      </c>
      <c r="D211" s="10" t="s">
        <v>700</v>
      </c>
      <c r="E211" s="10" t="s">
        <v>672</v>
      </c>
      <c r="F211" s="10" t="s">
        <v>297</v>
      </c>
      <c r="G211" s="24">
        <v>0</v>
      </c>
      <c r="H211" s="24">
        <v>0</v>
      </c>
      <c r="I211" s="24">
        <v>0</v>
      </c>
      <c r="J211" s="25">
        <f t="shared" si="3"/>
        <v>0</v>
      </c>
      <c r="K211" s="25" t="s">
        <v>260</v>
      </c>
      <c r="L211" s="29" t="s">
        <v>261</v>
      </c>
      <c r="M211" s="24">
        <v>0</v>
      </c>
      <c r="N211" s="24">
        <v>0</v>
      </c>
      <c r="O211" s="30"/>
    </row>
    <row r="212" ht="21.05" customHeight="1" spans="1:15">
      <c r="A212" s="10"/>
      <c r="B212" s="10"/>
      <c r="C212" s="10" t="s">
        <v>701</v>
      </c>
      <c r="D212" s="10" t="s">
        <v>702</v>
      </c>
      <c r="E212" s="10" t="s">
        <v>672</v>
      </c>
      <c r="F212" s="10" t="s">
        <v>297</v>
      </c>
      <c r="G212" s="24">
        <v>8</v>
      </c>
      <c r="H212" s="24">
        <v>291</v>
      </c>
      <c r="I212" s="24">
        <v>5.7019</v>
      </c>
      <c r="J212" s="25">
        <f t="shared" si="3"/>
        <v>2.2981</v>
      </c>
      <c r="K212" s="25" t="s">
        <v>703</v>
      </c>
      <c r="L212" s="29" t="s">
        <v>272</v>
      </c>
      <c r="M212" s="24">
        <v>300.1687</v>
      </c>
      <c r="N212" s="24">
        <v>300.1687</v>
      </c>
      <c r="O212" s="30" t="s">
        <v>680</v>
      </c>
    </row>
    <row r="213" ht="21.05" customHeight="1" spans="1:15">
      <c r="A213" s="10"/>
      <c r="B213" s="10"/>
      <c r="C213" s="10"/>
      <c r="D213" s="10" t="s">
        <v>704</v>
      </c>
      <c r="E213" s="10" t="s">
        <v>672</v>
      </c>
      <c r="F213" s="10" t="s">
        <v>297</v>
      </c>
      <c r="G213" s="24">
        <v>110</v>
      </c>
      <c r="H213" s="24">
        <v>3460</v>
      </c>
      <c r="I213" s="24">
        <v>111.2599</v>
      </c>
      <c r="J213" s="25">
        <f t="shared" si="3"/>
        <v>-1.2599</v>
      </c>
      <c r="K213" s="25" t="s">
        <v>705</v>
      </c>
      <c r="L213" s="29" t="s">
        <v>272</v>
      </c>
      <c r="M213" s="24">
        <v>3346.5767</v>
      </c>
      <c r="N213" s="24">
        <v>3346.5767</v>
      </c>
      <c r="O213" s="30" t="s">
        <v>706</v>
      </c>
    </row>
    <row r="214" ht="21.05" customHeight="1" spans="1:15">
      <c r="A214" s="10"/>
      <c r="B214" s="10"/>
      <c r="C214" s="10"/>
      <c r="D214" s="10" t="s">
        <v>707</v>
      </c>
      <c r="E214" s="10" t="s">
        <v>672</v>
      </c>
      <c r="F214" s="10" t="s">
        <v>297</v>
      </c>
      <c r="G214" s="24">
        <v>30</v>
      </c>
      <c r="H214" s="24">
        <v>1682</v>
      </c>
      <c r="I214" s="24">
        <v>22.0398</v>
      </c>
      <c r="J214" s="25">
        <f t="shared" si="3"/>
        <v>7.9602</v>
      </c>
      <c r="K214" s="25" t="s">
        <v>708</v>
      </c>
      <c r="L214" s="29" t="s">
        <v>272</v>
      </c>
      <c r="M214" s="24">
        <v>1599.313</v>
      </c>
      <c r="N214" s="24">
        <v>1599.313</v>
      </c>
      <c r="O214" s="30" t="s">
        <v>680</v>
      </c>
    </row>
    <row r="215" ht="21.05" customHeight="1" spans="1:15">
      <c r="A215" s="10"/>
      <c r="B215" s="10" t="s">
        <v>709</v>
      </c>
      <c r="C215" s="10" t="s">
        <v>710</v>
      </c>
      <c r="D215" s="10" t="s">
        <v>711</v>
      </c>
      <c r="E215" s="10" t="s">
        <v>672</v>
      </c>
      <c r="F215" s="10" t="s">
        <v>297</v>
      </c>
      <c r="G215" s="24">
        <v>0.3</v>
      </c>
      <c r="H215" s="24">
        <v>51.09</v>
      </c>
      <c r="I215" s="24">
        <v>0.202</v>
      </c>
      <c r="J215" s="25">
        <f t="shared" si="3"/>
        <v>0.098</v>
      </c>
      <c r="K215" s="25" t="s">
        <v>712</v>
      </c>
      <c r="L215" s="29" t="s">
        <v>272</v>
      </c>
      <c r="M215" s="24">
        <v>48.7751</v>
      </c>
      <c r="N215" s="24">
        <v>48.7751</v>
      </c>
      <c r="O215" s="30" t="s">
        <v>713</v>
      </c>
    </row>
    <row r="216" ht="21.05" customHeight="1" spans="1:15">
      <c r="A216" s="10"/>
      <c r="B216" s="10"/>
      <c r="C216" s="10"/>
      <c r="D216" s="10" t="s">
        <v>714</v>
      </c>
      <c r="E216" s="10" t="s">
        <v>672</v>
      </c>
      <c r="F216" s="10" t="s">
        <v>297</v>
      </c>
      <c r="G216" s="24">
        <v>27</v>
      </c>
      <c r="H216" s="24">
        <v>733</v>
      </c>
      <c r="I216" s="24">
        <v>24.3369</v>
      </c>
      <c r="J216" s="25">
        <f t="shared" si="3"/>
        <v>2.6631</v>
      </c>
      <c r="K216" s="25" t="s">
        <v>715</v>
      </c>
      <c r="L216" s="29" t="s">
        <v>272</v>
      </c>
      <c r="M216" s="24">
        <v>722.6296</v>
      </c>
      <c r="N216" s="24">
        <v>722.6296</v>
      </c>
      <c r="O216" s="30" t="s">
        <v>716</v>
      </c>
    </row>
    <row r="217" ht="21.05" customHeight="1" spans="1:15">
      <c r="A217" s="10"/>
      <c r="B217" s="10"/>
      <c r="C217" s="10"/>
      <c r="D217" s="10" t="s">
        <v>717</v>
      </c>
      <c r="E217" s="10" t="s">
        <v>672</v>
      </c>
      <c r="F217" s="10" t="s">
        <v>297</v>
      </c>
      <c r="G217" s="24">
        <v>1.1</v>
      </c>
      <c r="H217" s="24">
        <v>34.16</v>
      </c>
      <c r="I217" s="24">
        <v>1.0934</v>
      </c>
      <c r="J217" s="25">
        <f t="shared" si="3"/>
        <v>0.00660000000000016</v>
      </c>
      <c r="K217" s="25" t="s">
        <v>718</v>
      </c>
      <c r="L217" s="29" t="s">
        <v>261</v>
      </c>
      <c r="M217" s="24">
        <v>33.8931</v>
      </c>
      <c r="N217" s="24">
        <v>33.8931</v>
      </c>
      <c r="O217" s="30"/>
    </row>
    <row r="218" ht="21.05" customHeight="1" spans="1:15">
      <c r="A218" s="10"/>
      <c r="B218" s="10"/>
      <c r="C218" s="10" t="s">
        <v>719</v>
      </c>
      <c r="D218" s="10" t="s">
        <v>720</v>
      </c>
      <c r="E218" s="10" t="s">
        <v>672</v>
      </c>
      <c r="F218" s="10" t="s">
        <v>297</v>
      </c>
      <c r="G218" s="24">
        <v>0</v>
      </c>
      <c r="H218" s="24">
        <v>0</v>
      </c>
      <c r="I218" s="24">
        <v>0</v>
      </c>
      <c r="J218" s="25">
        <f t="shared" si="3"/>
        <v>0</v>
      </c>
      <c r="K218" s="25" t="s">
        <v>260</v>
      </c>
      <c r="L218" s="29" t="s">
        <v>261</v>
      </c>
      <c r="M218" s="24">
        <v>0</v>
      </c>
      <c r="N218" s="24">
        <v>0</v>
      </c>
      <c r="O218" s="30"/>
    </row>
    <row r="219" ht="21.05" customHeight="1" spans="1:15">
      <c r="A219" s="10"/>
      <c r="B219" s="10"/>
      <c r="C219" s="10"/>
      <c r="D219" s="10" t="s">
        <v>721</v>
      </c>
      <c r="E219" s="10" t="s">
        <v>672</v>
      </c>
      <c r="F219" s="10" t="s">
        <v>297</v>
      </c>
      <c r="G219" s="24">
        <v>3</v>
      </c>
      <c r="H219" s="24">
        <v>68.2</v>
      </c>
      <c r="I219" s="24">
        <v>2.0273</v>
      </c>
      <c r="J219" s="25">
        <f t="shared" si="3"/>
        <v>0.9727</v>
      </c>
      <c r="K219" s="25" t="s">
        <v>722</v>
      </c>
      <c r="L219" s="29" t="s">
        <v>272</v>
      </c>
      <c r="M219" s="24">
        <v>68.2462</v>
      </c>
      <c r="N219" s="24">
        <v>68.2462</v>
      </c>
      <c r="O219" s="30" t="s">
        <v>273</v>
      </c>
    </row>
    <row r="220" ht="21.05" customHeight="1" spans="1:15">
      <c r="A220" s="10"/>
      <c r="B220" s="10"/>
      <c r="C220" s="10"/>
      <c r="D220" s="10" t="s">
        <v>723</v>
      </c>
      <c r="E220" s="10" t="s">
        <v>672</v>
      </c>
      <c r="F220" s="10" t="s">
        <v>297</v>
      </c>
      <c r="G220" s="24">
        <v>0</v>
      </c>
      <c r="H220" s="24">
        <v>0</v>
      </c>
      <c r="I220" s="24">
        <v>0</v>
      </c>
      <c r="J220" s="25">
        <f t="shared" si="3"/>
        <v>0</v>
      </c>
      <c r="K220" s="25" t="s">
        <v>260</v>
      </c>
      <c r="L220" s="29" t="s">
        <v>261</v>
      </c>
      <c r="M220" s="24">
        <v>0</v>
      </c>
      <c r="N220" s="24">
        <v>0</v>
      </c>
      <c r="O220" s="30"/>
    </row>
    <row r="221" ht="21.05" customHeight="1" spans="1:15">
      <c r="A221" s="10"/>
      <c r="B221" s="10"/>
      <c r="C221" s="10" t="s">
        <v>724</v>
      </c>
      <c r="D221" s="10" t="s">
        <v>725</v>
      </c>
      <c r="E221" s="10" t="s">
        <v>672</v>
      </c>
      <c r="F221" s="10" t="s">
        <v>297</v>
      </c>
      <c r="G221" s="24">
        <v>0.8</v>
      </c>
      <c r="H221" s="24">
        <v>1.46</v>
      </c>
      <c r="I221" s="24">
        <v>0.7989</v>
      </c>
      <c r="J221" s="25">
        <f t="shared" si="3"/>
        <v>0.00109999999999999</v>
      </c>
      <c r="K221" s="25" t="s">
        <v>474</v>
      </c>
      <c r="L221" s="29" t="s">
        <v>261</v>
      </c>
      <c r="M221" s="24">
        <v>1.4462</v>
      </c>
      <c r="N221" s="24">
        <v>1.4462</v>
      </c>
      <c r="O221" s="30"/>
    </row>
    <row r="222" ht="21.05" customHeight="1" spans="1:15">
      <c r="A222" s="10"/>
      <c r="B222" s="10"/>
      <c r="C222" s="10" t="s">
        <v>726</v>
      </c>
      <c r="D222" s="10" t="s">
        <v>727</v>
      </c>
      <c r="E222" s="10" t="s">
        <v>672</v>
      </c>
      <c r="F222" s="10" t="s">
        <v>297</v>
      </c>
      <c r="G222" s="24">
        <v>0.07</v>
      </c>
      <c r="H222" s="24">
        <v>2.36</v>
      </c>
      <c r="I222" s="24">
        <v>0.0693</v>
      </c>
      <c r="J222" s="25">
        <f t="shared" si="3"/>
        <v>0.000700000000000006</v>
      </c>
      <c r="K222" s="25" t="s">
        <v>728</v>
      </c>
      <c r="L222" s="29" t="s">
        <v>261</v>
      </c>
      <c r="M222" s="24">
        <v>2.1418</v>
      </c>
      <c r="N222" s="24">
        <v>2.1418</v>
      </c>
      <c r="O222" s="30"/>
    </row>
    <row r="223" ht="21.05" customHeight="1" spans="1:15">
      <c r="A223" s="10"/>
      <c r="B223" s="10" t="s">
        <v>189</v>
      </c>
      <c r="C223" s="10" t="s">
        <v>729</v>
      </c>
      <c r="D223" s="10" t="s">
        <v>730</v>
      </c>
      <c r="E223" s="10" t="s">
        <v>672</v>
      </c>
      <c r="F223" s="10" t="s">
        <v>297</v>
      </c>
      <c r="G223" s="24">
        <v>0.1</v>
      </c>
      <c r="H223" s="24">
        <v>71.5</v>
      </c>
      <c r="I223" s="24">
        <v>0.0139</v>
      </c>
      <c r="J223" s="25">
        <f t="shared" si="3"/>
        <v>0.0861</v>
      </c>
      <c r="K223" s="25" t="s">
        <v>731</v>
      </c>
      <c r="L223" s="29" t="s">
        <v>272</v>
      </c>
      <c r="M223" s="24">
        <v>69.5432</v>
      </c>
      <c r="N223" s="24">
        <v>69.5432</v>
      </c>
      <c r="O223" s="30" t="s">
        <v>273</v>
      </c>
    </row>
    <row r="224" ht="25.6" customHeight="1" spans="1:15">
      <c r="A224" s="10"/>
      <c r="B224" s="10"/>
      <c r="C224" s="10"/>
      <c r="D224" s="10" t="s">
        <v>732</v>
      </c>
      <c r="E224" s="10" t="s">
        <v>672</v>
      </c>
      <c r="F224" s="10" t="s">
        <v>297</v>
      </c>
      <c r="G224" s="24">
        <v>133</v>
      </c>
      <c r="H224" s="24">
        <v>3232</v>
      </c>
      <c r="I224" s="24">
        <v>140.1696</v>
      </c>
      <c r="J224" s="25">
        <f t="shared" si="3"/>
        <v>-7.1696</v>
      </c>
      <c r="K224" s="25" t="s">
        <v>733</v>
      </c>
      <c r="L224" s="29" t="s">
        <v>272</v>
      </c>
      <c r="M224" s="24">
        <v>3212.2864</v>
      </c>
      <c r="N224" s="24">
        <v>3212.2864</v>
      </c>
      <c r="O224" s="30" t="s">
        <v>684</v>
      </c>
    </row>
    <row r="225" ht="21.05" customHeight="1" spans="1:15">
      <c r="A225" s="10"/>
      <c r="B225" s="10" t="s">
        <v>192</v>
      </c>
      <c r="C225" s="10" t="s">
        <v>734</v>
      </c>
      <c r="D225" s="10" t="s">
        <v>735</v>
      </c>
      <c r="E225" s="10" t="s">
        <v>672</v>
      </c>
      <c r="F225" s="10" t="s">
        <v>297</v>
      </c>
      <c r="G225" s="24">
        <v>0</v>
      </c>
      <c r="H225" s="24">
        <v>0</v>
      </c>
      <c r="I225" s="24">
        <v>0</v>
      </c>
      <c r="J225" s="25">
        <f t="shared" si="3"/>
        <v>0</v>
      </c>
      <c r="K225" s="25" t="s">
        <v>260</v>
      </c>
      <c r="L225" s="29" t="s">
        <v>261</v>
      </c>
      <c r="M225" s="24">
        <v>0</v>
      </c>
      <c r="N225" s="24">
        <v>0</v>
      </c>
      <c r="O225" s="30"/>
    </row>
    <row r="226" ht="21.05" customHeight="1" spans="1:15">
      <c r="A226" s="10"/>
      <c r="B226" s="10"/>
      <c r="C226" s="10"/>
      <c r="D226" s="10" t="s">
        <v>736</v>
      </c>
      <c r="E226" s="10" t="s">
        <v>672</v>
      </c>
      <c r="F226" s="10" t="s">
        <v>297</v>
      </c>
      <c r="G226" s="24">
        <v>14</v>
      </c>
      <c r="H226" s="24">
        <v>1274</v>
      </c>
      <c r="I226" s="24">
        <v>12.0152</v>
      </c>
      <c r="J226" s="25">
        <f t="shared" si="3"/>
        <v>1.9848</v>
      </c>
      <c r="K226" s="25" t="s">
        <v>737</v>
      </c>
      <c r="L226" s="29" t="s">
        <v>272</v>
      </c>
      <c r="M226" s="24">
        <v>1189.1152</v>
      </c>
      <c r="N226" s="24">
        <v>1189.1152</v>
      </c>
      <c r="O226" s="30" t="s">
        <v>273</v>
      </c>
    </row>
    <row r="227" ht="21.05" customHeight="1" spans="1:15">
      <c r="A227" s="10"/>
      <c r="B227" s="10"/>
      <c r="C227" s="10" t="s">
        <v>738</v>
      </c>
      <c r="D227" s="10" t="s">
        <v>739</v>
      </c>
      <c r="E227" s="10" t="s">
        <v>672</v>
      </c>
      <c r="F227" s="10" t="s">
        <v>297</v>
      </c>
      <c r="G227" s="24">
        <v>1</v>
      </c>
      <c r="H227" s="24">
        <v>49.7</v>
      </c>
      <c r="I227" s="24">
        <v>0.614</v>
      </c>
      <c r="J227" s="25">
        <f t="shared" si="3"/>
        <v>0.386</v>
      </c>
      <c r="K227" s="25" t="s">
        <v>740</v>
      </c>
      <c r="L227" s="29" t="s">
        <v>272</v>
      </c>
      <c r="M227" s="24">
        <v>43.0988</v>
      </c>
      <c r="N227" s="24">
        <v>43.0988</v>
      </c>
      <c r="O227" s="30" t="s">
        <v>741</v>
      </c>
    </row>
    <row r="228" ht="21.05" customHeight="1" spans="1:15">
      <c r="A228" s="10"/>
      <c r="B228" s="10"/>
      <c r="C228" s="10"/>
      <c r="D228" s="10" t="s">
        <v>694</v>
      </c>
      <c r="E228" s="10" t="s">
        <v>672</v>
      </c>
      <c r="F228" s="10" t="s">
        <v>297</v>
      </c>
      <c r="G228" s="24">
        <v>90</v>
      </c>
      <c r="H228" s="24">
        <v>2623</v>
      </c>
      <c r="I228" s="24">
        <v>91.8656</v>
      </c>
      <c r="J228" s="25">
        <f t="shared" si="3"/>
        <v>-1.8656</v>
      </c>
      <c r="K228" s="25" t="s">
        <v>742</v>
      </c>
      <c r="L228" s="29" t="s">
        <v>272</v>
      </c>
      <c r="M228" s="24">
        <v>2658.5248</v>
      </c>
      <c r="N228" s="24">
        <v>2658.5248</v>
      </c>
      <c r="O228" s="30" t="s">
        <v>281</v>
      </c>
    </row>
    <row r="229" ht="25.6" customHeight="1" spans="1:15">
      <c r="A229" s="10"/>
      <c r="B229" s="10"/>
      <c r="C229" s="10"/>
      <c r="D229" s="10" t="s">
        <v>743</v>
      </c>
      <c r="E229" s="10" t="s">
        <v>672</v>
      </c>
      <c r="F229" s="10" t="s">
        <v>297</v>
      </c>
      <c r="G229" s="24">
        <v>0</v>
      </c>
      <c r="H229" s="24">
        <v>0</v>
      </c>
      <c r="I229" s="24">
        <v>0</v>
      </c>
      <c r="J229" s="25">
        <f t="shared" si="3"/>
        <v>0</v>
      </c>
      <c r="K229" s="25" t="s">
        <v>260</v>
      </c>
      <c r="L229" s="29" t="s">
        <v>261</v>
      </c>
      <c r="M229" s="24">
        <v>0</v>
      </c>
      <c r="N229" s="24">
        <v>0</v>
      </c>
      <c r="O229" s="30"/>
    </row>
    <row r="230" ht="25.6" customHeight="1" spans="1:15">
      <c r="A230" s="10"/>
      <c r="B230" s="10"/>
      <c r="C230" s="10"/>
      <c r="D230" s="10" t="s">
        <v>695</v>
      </c>
      <c r="E230" s="10" t="s">
        <v>672</v>
      </c>
      <c r="F230" s="10" t="s">
        <v>297</v>
      </c>
      <c r="G230" s="24">
        <v>120</v>
      </c>
      <c r="H230" s="24">
        <v>2637</v>
      </c>
      <c r="I230" s="24">
        <v>109.2992</v>
      </c>
      <c r="J230" s="25">
        <f t="shared" si="3"/>
        <v>10.7008</v>
      </c>
      <c r="K230" s="25" t="s">
        <v>744</v>
      </c>
      <c r="L230" s="29" t="s">
        <v>272</v>
      </c>
      <c r="M230" s="24">
        <v>2630.8304</v>
      </c>
      <c r="N230" s="24">
        <v>2630.8304</v>
      </c>
      <c r="O230" s="30" t="s">
        <v>745</v>
      </c>
    </row>
    <row r="231" ht="21.05" customHeight="1" spans="1:15">
      <c r="A231" s="10"/>
      <c r="B231" s="10"/>
      <c r="C231" s="10"/>
      <c r="D231" s="10" t="s">
        <v>696</v>
      </c>
      <c r="E231" s="10" t="s">
        <v>672</v>
      </c>
      <c r="F231" s="10" t="s">
        <v>297</v>
      </c>
      <c r="G231" s="24">
        <v>17</v>
      </c>
      <c r="H231" s="24">
        <v>516</v>
      </c>
      <c r="I231" s="24">
        <v>11.7116</v>
      </c>
      <c r="J231" s="25">
        <f t="shared" si="3"/>
        <v>5.2884</v>
      </c>
      <c r="K231" s="25" t="s">
        <v>746</v>
      </c>
      <c r="L231" s="29" t="s">
        <v>272</v>
      </c>
      <c r="M231" s="24">
        <v>486.8276</v>
      </c>
      <c r="N231" s="24">
        <v>486.8276</v>
      </c>
      <c r="O231" s="30" t="s">
        <v>273</v>
      </c>
    </row>
    <row r="232" ht="21.05" customHeight="1" spans="1:15">
      <c r="A232" s="10"/>
      <c r="B232" s="10"/>
      <c r="C232" s="10"/>
      <c r="D232" s="10" t="s">
        <v>697</v>
      </c>
      <c r="E232" s="10" t="s">
        <v>672</v>
      </c>
      <c r="F232" s="10" t="s">
        <v>297</v>
      </c>
      <c r="G232" s="24">
        <v>0</v>
      </c>
      <c r="H232" s="24">
        <v>426.75</v>
      </c>
      <c r="I232" s="24">
        <v>0</v>
      </c>
      <c r="J232" s="25">
        <f t="shared" si="3"/>
        <v>0</v>
      </c>
      <c r="K232" s="25" t="s">
        <v>260</v>
      </c>
      <c r="L232" s="29" t="s">
        <v>261</v>
      </c>
      <c r="M232" s="24">
        <v>411.1232</v>
      </c>
      <c r="N232" s="24">
        <v>411.1232</v>
      </c>
      <c r="O232" s="30"/>
    </row>
    <row r="233" ht="21.05" customHeight="1" spans="1:15">
      <c r="A233" s="10"/>
      <c r="B233" s="10"/>
      <c r="C233" s="10" t="s">
        <v>747</v>
      </c>
      <c r="D233" s="10" t="s">
        <v>748</v>
      </c>
      <c r="E233" s="10" t="s">
        <v>672</v>
      </c>
      <c r="F233" s="10" t="s">
        <v>297</v>
      </c>
      <c r="G233" s="24">
        <v>2.8</v>
      </c>
      <c r="H233" s="24">
        <v>54.4</v>
      </c>
      <c r="I233" s="24">
        <v>2.1519</v>
      </c>
      <c r="J233" s="25">
        <f t="shared" si="3"/>
        <v>0.6481</v>
      </c>
      <c r="K233" s="25" t="s">
        <v>749</v>
      </c>
      <c r="L233" s="29" t="s">
        <v>272</v>
      </c>
      <c r="M233" s="24">
        <v>59.0384</v>
      </c>
      <c r="N233" s="24">
        <v>59.0384</v>
      </c>
      <c r="O233" s="30" t="s">
        <v>741</v>
      </c>
    </row>
    <row r="234" ht="21.05" customHeight="1" spans="1:15">
      <c r="A234" s="10" t="s">
        <v>154</v>
      </c>
      <c r="B234" s="10" t="s">
        <v>750</v>
      </c>
      <c r="C234" s="10" t="s">
        <v>751</v>
      </c>
      <c r="D234" s="10" t="s">
        <v>752</v>
      </c>
      <c r="E234" s="10" t="s">
        <v>258</v>
      </c>
      <c r="F234" s="10" t="s">
        <v>297</v>
      </c>
      <c r="G234" s="24">
        <v>0</v>
      </c>
      <c r="H234" s="24">
        <v>0</v>
      </c>
      <c r="I234" s="24">
        <v>0</v>
      </c>
      <c r="J234" s="25">
        <f t="shared" si="3"/>
        <v>0</v>
      </c>
      <c r="K234" s="25" t="s">
        <v>260</v>
      </c>
      <c r="L234" s="29" t="s">
        <v>261</v>
      </c>
      <c r="M234" s="24">
        <v>0</v>
      </c>
      <c r="N234" s="24">
        <v>0</v>
      </c>
      <c r="O234" s="30"/>
    </row>
    <row r="235" ht="21.05" customHeight="1" spans="1:15">
      <c r="A235" s="10" t="s">
        <v>753</v>
      </c>
      <c r="B235" s="10" t="s">
        <v>754</v>
      </c>
      <c r="C235" s="10" t="s">
        <v>152</v>
      </c>
      <c r="D235" s="10" t="s">
        <v>652</v>
      </c>
      <c r="E235" s="10" t="s">
        <v>382</v>
      </c>
      <c r="F235" s="10" t="s">
        <v>297</v>
      </c>
      <c r="G235" s="24">
        <v>0</v>
      </c>
      <c r="H235" s="24">
        <v>0</v>
      </c>
      <c r="I235" s="24">
        <v>0</v>
      </c>
      <c r="J235" s="25">
        <f t="shared" si="3"/>
        <v>0</v>
      </c>
      <c r="K235" s="25" t="s">
        <v>260</v>
      </c>
      <c r="L235" s="29" t="s">
        <v>261</v>
      </c>
      <c r="M235" s="24">
        <v>0</v>
      </c>
      <c r="N235" s="24">
        <v>0</v>
      </c>
      <c r="O235" s="30"/>
    </row>
    <row r="236" ht="25.6" customHeight="1" spans="1:15">
      <c r="A236" s="10" t="s">
        <v>755</v>
      </c>
      <c r="B236" s="10" t="s">
        <v>756</v>
      </c>
      <c r="C236" s="10" t="s">
        <v>757</v>
      </c>
      <c r="D236" s="10" t="s">
        <v>758</v>
      </c>
      <c r="E236" s="10" t="s">
        <v>382</v>
      </c>
      <c r="F236" s="10" t="s">
        <v>297</v>
      </c>
      <c r="G236" s="24">
        <v>0</v>
      </c>
      <c r="H236" s="24">
        <v>0</v>
      </c>
      <c r="I236" s="24">
        <v>0</v>
      </c>
      <c r="J236" s="25">
        <f t="shared" si="3"/>
        <v>0</v>
      </c>
      <c r="K236" s="25" t="s">
        <v>260</v>
      </c>
      <c r="L236" s="29" t="s">
        <v>261</v>
      </c>
      <c r="M236" s="24">
        <v>0</v>
      </c>
      <c r="N236" s="24">
        <v>0</v>
      </c>
      <c r="O236" s="30"/>
    </row>
    <row r="237" ht="21.05" customHeight="1" spans="1:15">
      <c r="A237" s="10"/>
      <c r="B237" s="10" t="s">
        <v>84</v>
      </c>
      <c r="C237" s="10" t="s">
        <v>759</v>
      </c>
      <c r="D237" s="10" t="s">
        <v>760</v>
      </c>
      <c r="E237" s="10" t="s">
        <v>382</v>
      </c>
      <c r="F237" s="10" t="s">
        <v>297</v>
      </c>
      <c r="G237" s="24">
        <v>0</v>
      </c>
      <c r="H237" s="24">
        <v>6.9</v>
      </c>
      <c r="I237" s="24">
        <v>0</v>
      </c>
      <c r="J237" s="25">
        <f t="shared" si="3"/>
        <v>0</v>
      </c>
      <c r="K237" s="25" t="s">
        <v>260</v>
      </c>
      <c r="L237" s="29" t="s">
        <v>261</v>
      </c>
      <c r="M237" s="24">
        <v>6.9239</v>
      </c>
      <c r="N237" s="24">
        <v>6.9239</v>
      </c>
      <c r="O237" s="30"/>
    </row>
    <row r="238" ht="21.05" customHeight="1" spans="1:15">
      <c r="A238" s="10"/>
      <c r="B238" s="10"/>
      <c r="C238" s="10" t="s">
        <v>761</v>
      </c>
      <c r="D238" s="10" t="s">
        <v>383</v>
      </c>
      <c r="E238" s="10" t="s">
        <v>382</v>
      </c>
      <c r="F238" s="10" t="s">
        <v>297</v>
      </c>
      <c r="G238" s="24">
        <v>14</v>
      </c>
      <c r="H238" s="24">
        <v>1280</v>
      </c>
      <c r="I238" s="24">
        <v>11.6788</v>
      </c>
      <c r="J238" s="25">
        <f t="shared" si="3"/>
        <v>2.3212</v>
      </c>
      <c r="K238" s="25" t="s">
        <v>762</v>
      </c>
      <c r="L238" s="29" t="s">
        <v>272</v>
      </c>
      <c r="M238" s="24">
        <v>1207.0619</v>
      </c>
      <c r="N238" s="24">
        <v>1207.0619</v>
      </c>
      <c r="O238" s="30" t="s">
        <v>273</v>
      </c>
    </row>
    <row r="239" ht="21.05" customHeight="1" spans="1:15">
      <c r="A239" s="10"/>
      <c r="B239" s="10"/>
      <c r="C239" s="10" t="s">
        <v>763</v>
      </c>
      <c r="D239" s="10" t="s">
        <v>383</v>
      </c>
      <c r="E239" s="10" t="s">
        <v>382</v>
      </c>
      <c r="F239" s="10" t="s">
        <v>297</v>
      </c>
      <c r="G239" s="24">
        <v>10.18</v>
      </c>
      <c r="H239" s="24">
        <v>399.76</v>
      </c>
      <c r="I239" s="24">
        <v>10.0501</v>
      </c>
      <c r="J239" s="25">
        <f t="shared" si="3"/>
        <v>0.129899999999999</v>
      </c>
      <c r="K239" s="25" t="s">
        <v>764</v>
      </c>
      <c r="L239" s="29" t="s">
        <v>272</v>
      </c>
      <c r="M239" s="24">
        <v>352.5017</v>
      </c>
      <c r="N239" s="24">
        <v>352.5017</v>
      </c>
      <c r="O239" s="30" t="s">
        <v>273</v>
      </c>
    </row>
    <row r="240" ht="21.05" customHeight="1" spans="1:15">
      <c r="A240" s="10"/>
      <c r="B240" s="10"/>
      <c r="C240" s="10" t="s">
        <v>765</v>
      </c>
      <c r="D240" s="10" t="s">
        <v>766</v>
      </c>
      <c r="E240" s="10" t="s">
        <v>382</v>
      </c>
      <c r="F240" s="10" t="s">
        <v>297</v>
      </c>
      <c r="G240" s="24">
        <v>0</v>
      </c>
      <c r="H240" s="24">
        <v>20.58</v>
      </c>
      <c r="I240" s="24">
        <v>0</v>
      </c>
      <c r="J240" s="25">
        <f t="shared" si="3"/>
        <v>0</v>
      </c>
      <c r="K240" s="25" t="s">
        <v>260</v>
      </c>
      <c r="L240" s="29" t="s">
        <v>261</v>
      </c>
      <c r="M240" s="24">
        <v>17.8502</v>
      </c>
      <c r="N240" s="24">
        <v>17.8502</v>
      </c>
      <c r="O240" s="30"/>
    </row>
    <row r="241" ht="21.05" customHeight="1" spans="1:15">
      <c r="A241" s="10"/>
      <c r="B241" s="10"/>
      <c r="C241" s="10" t="s">
        <v>767</v>
      </c>
      <c r="D241" s="10" t="s">
        <v>383</v>
      </c>
      <c r="E241" s="10" t="s">
        <v>382</v>
      </c>
      <c r="F241" s="10" t="s">
        <v>297</v>
      </c>
      <c r="G241" s="24">
        <v>5</v>
      </c>
      <c r="H241" s="24">
        <v>206.3</v>
      </c>
      <c r="I241" s="24">
        <v>4.5508</v>
      </c>
      <c r="J241" s="25">
        <f t="shared" si="3"/>
        <v>0.4492</v>
      </c>
      <c r="K241" s="25" t="s">
        <v>768</v>
      </c>
      <c r="L241" s="29" t="s">
        <v>272</v>
      </c>
      <c r="M241" s="24">
        <v>188.5931</v>
      </c>
      <c r="N241" s="24">
        <v>188.5931</v>
      </c>
      <c r="O241" s="30" t="s">
        <v>273</v>
      </c>
    </row>
    <row r="242" ht="21.05" customHeight="1" spans="1:15">
      <c r="A242" s="10"/>
      <c r="B242" s="10" t="s">
        <v>210</v>
      </c>
      <c r="C242" s="10" t="s">
        <v>229</v>
      </c>
      <c r="D242" s="10" t="s">
        <v>769</v>
      </c>
      <c r="E242" s="10" t="s">
        <v>258</v>
      </c>
      <c r="F242" s="10" t="s">
        <v>297</v>
      </c>
      <c r="G242" s="24">
        <v>0</v>
      </c>
      <c r="H242" s="24">
        <v>0</v>
      </c>
      <c r="I242" s="24">
        <v>0</v>
      </c>
      <c r="J242" s="25">
        <f t="shared" si="3"/>
        <v>0</v>
      </c>
      <c r="K242" s="25" t="s">
        <v>260</v>
      </c>
      <c r="L242" s="29" t="s">
        <v>261</v>
      </c>
      <c r="M242" s="24">
        <v>0</v>
      </c>
      <c r="N242" s="24">
        <v>0</v>
      </c>
      <c r="O242" s="30"/>
    </row>
    <row r="243" ht="21.05" customHeight="1" spans="1:15">
      <c r="A243" s="10"/>
      <c r="B243" s="10"/>
      <c r="C243" s="10"/>
      <c r="D243" s="10" t="s">
        <v>770</v>
      </c>
      <c r="E243" s="10" t="s">
        <v>258</v>
      </c>
      <c r="F243" s="10" t="s">
        <v>297</v>
      </c>
      <c r="G243" s="24">
        <v>0</v>
      </c>
      <c r="H243" s="24">
        <v>0</v>
      </c>
      <c r="I243" s="24">
        <v>0</v>
      </c>
      <c r="J243" s="25">
        <f t="shared" si="3"/>
        <v>0</v>
      </c>
      <c r="K243" s="25" t="s">
        <v>260</v>
      </c>
      <c r="L243" s="29" t="s">
        <v>261</v>
      </c>
      <c r="M243" s="24">
        <v>0</v>
      </c>
      <c r="N243" s="24">
        <v>0</v>
      </c>
      <c r="O243" s="30"/>
    </row>
    <row r="244" ht="21.05" customHeight="1" spans="1:15">
      <c r="A244" s="10"/>
      <c r="B244" s="10"/>
      <c r="C244" s="10"/>
      <c r="D244" s="10" t="s">
        <v>771</v>
      </c>
      <c r="E244" s="10" t="s">
        <v>258</v>
      </c>
      <c r="F244" s="10" t="s">
        <v>297</v>
      </c>
      <c r="G244" s="24">
        <v>25</v>
      </c>
      <c r="H244" s="24">
        <v>2463</v>
      </c>
      <c r="I244" s="24">
        <v>25.1036</v>
      </c>
      <c r="J244" s="25">
        <f t="shared" si="3"/>
        <v>-0.1036</v>
      </c>
      <c r="K244" s="25" t="s">
        <v>772</v>
      </c>
      <c r="L244" s="29" t="s">
        <v>261</v>
      </c>
      <c r="M244" s="24">
        <v>2396.7203</v>
      </c>
      <c r="N244" s="24">
        <v>2396.7203</v>
      </c>
      <c r="O244" s="30"/>
    </row>
    <row r="245" ht="21.05" customHeight="1" spans="1:15">
      <c r="A245" s="10"/>
      <c r="B245" s="10"/>
      <c r="C245" s="10"/>
      <c r="D245" s="10" t="s">
        <v>773</v>
      </c>
      <c r="E245" s="10" t="s">
        <v>258</v>
      </c>
      <c r="F245" s="10" t="s">
        <v>297</v>
      </c>
      <c r="G245" s="24">
        <v>0</v>
      </c>
      <c r="H245" s="24">
        <v>0</v>
      </c>
      <c r="I245" s="24">
        <v>0</v>
      </c>
      <c r="J245" s="25">
        <f t="shared" si="3"/>
        <v>0</v>
      </c>
      <c r="K245" s="25" t="s">
        <v>260</v>
      </c>
      <c r="L245" s="29" t="s">
        <v>261</v>
      </c>
      <c r="M245" s="24">
        <v>0</v>
      </c>
      <c r="N245" s="24">
        <v>0</v>
      </c>
      <c r="O245" s="30"/>
    </row>
    <row r="246" ht="21.05" customHeight="1" spans="1:15">
      <c r="A246" s="10"/>
      <c r="B246" s="10"/>
      <c r="C246" s="10"/>
      <c r="D246" s="10" t="s">
        <v>774</v>
      </c>
      <c r="E246" s="10" t="s">
        <v>258</v>
      </c>
      <c r="F246" s="10" t="s">
        <v>297</v>
      </c>
      <c r="G246" s="24">
        <v>0</v>
      </c>
      <c r="H246" s="24">
        <v>0</v>
      </c>
      <c r="I246" s="24">
        <v>0</v>
      </c>
      <c r="J246" s="25">
        <f t="shared" si="3"/>
        <v>0</v>
      </c>
      <c r="K246" s="25" t="s">
        <v>260</v>
      </c>
      <c r="L246" s="29" t="s">
        <v>261</v>
      </c>
      <c r="M246" s="24">
        <v>0</v>
      </c>
      <c r="N246" s="24">
        <v>0</v>
      </c>
      <c r="O246" s="30"/>
    </row>
    <row r="247" ht="21.05" customHeight="1" spans="1:15">
      <c r="A247" s="10"/>
      <c r="B247" s="10"/>
      <c r="C247" s="10"/>
      <c r="D247" s="10" t="s">
        <v>775</v>
      </c>
      <c r="E247" s="10" t="s">
        <v>258</v>
      </c>
      <c r="F247" s="10" t="s">
        <v>297</v>
      </c>
      <c r="G247" s="24">
        <v>0</v>
      </c>
      <c r="H247" s="24">
        <v>0</v>
      </c>
      <c r="I247" s="24">
        <v>0</v>
      </c>
      <c r="J247" s="25">
        <f t="shared" si="3"/>
        <v>0</v>
      </c>
      <c r="K247" s="25" t="s">
        <v>260</v>
      </c>
      <c r="L247" s="29" t="s">
        <v>261</v>
      </c>
      <c r="M247" s="24">
        <v>0</v>
      </c>
      <c r="N247" s="24">
        <v>0</v>
      </c>
      <c r="O247" s="30"/>
    </row>
    <row r="248" ht="21.05" customHeight="1" spans="1:15">
      <c r="A248" s="10"/>
      <c r="B248" s="10"/>
      <c r="C248" s="10"/>
      <c r="D248" s="10" t="s">
        <v>776</v>
      </c>
      <c r="E248" s="10" t="s">
        <v>258</v>
      </c>
      <c r="F248" s="10" t="s">
        <v>297</v>
      </c>
      <c r="G248" s="24">
        <v>0</v>
      </c>
      <c r="H248" s="24">
        <v>0</v>
      </c>
      <c r="I248" s="24">
        <v>0</v>
      </c>
      <c r="J248" s="25">
        <f t="shared" si="3"/>
        <v>0</v>
      </c>
      <c r="K248" s="25" t="s">
        <v>260</v>
      </c>
      <c r="L248" s="29" t="s">
        <v>261</v>
      </c>
      <c r="M248" s="24">
        <v>0</v>
      </c>
      <c r="N248" s="24">
        <v>0</v>
      </c>
      <c r="O248" s="30"/>
    </row>
    <row r="249" ht="21.05" customHeight="1" spans="1:15">
      <c r="A249" s="10"/>
      <c r="B249" s="10"/>
      <c r="C249" s="10"/>
      <c r="D249" s="10" t="s">
        <v>777</v>
      </c>
      <c r="E249" s="10" t="s">
        <v>258</v>
      </c>
      <c r="F249" s="10" t="s">
        <v>297</v>
      </c>
      <c r="G249" s="24">
        <v>0</v>
      </c>
      <c r="H249" s="24">
        <v>982</v>
      </c>
      <c r="I249" s="24">
        <v>0</v>
      </c>
      <c r="J249" s="25">
        <f t="shared" si="3"/>
        <v>0</v>
      </c>
      <c r="K249" s="25" t="s">
        <v>260</v>
      </c>
      <c r="L249" s="29" t="s">
        <v>261</v>
      </c>
      <c r="M249" s="24">
        <v>931.8001</v>
      </c>
      <c r="N249" s="24">
        <v>931.8001</v>
      </c>
      <c r="O249" s="30"/>
    </row>
    <row r="250" ht="21.05" customHeight="1" spans="1:15">
      <c r="A250" s="10"/>
      <c r="B250" s="10"/>
      <c r="C250" s="10" t="s">
        <v>778</v>
      </c>
      <c r="D250" s="10" t="s">
        <v>774</v>
      </c>
      <c r="E250" s="10" t="s">
        <v>258</v>
      </c>
      <c r="F250" s="10" t="s">
        <v>297</v>
      </c>
      <c r="G250" s="24">
        <v>0</v>
      </c>
      <c r="H250" s="24">
        <v>0</v>
      </c>
      <c r="I250" s="24">
        <v>0</v>
      </c>
      <c r="J250" s="25">
        <f t="shared" si="3"/>
        <v>0</v>
      </c>
      <c r="K250" s="25" t="s">
        <v>260</v>
      </c>
      <c r="L250" s="29" t="s">
        <v>261</v>
      </c>
      <c r="M250" s="24">
        <v>0</v>
      </c>
      <c r="N250" s="24">
        <v>0</v>
      </c>
      <c r="O250" s="30"/>
    </row>
    <row r="251" ht="21.05" customHeight="1" spans="1:15">
      <c r="A251" s="10"/>
      <c r="B251" s="10"/>
      <c r="C251" s="10" t="s">
        <v>779</v>
      </c>
      <c r="D251" s="10" t="s">
        <v>262</v>
      </c>
      <c r="E251" s="10" t="s">
        <v>258</v>
      </c>
      <c r="F251" s="10" t="s">
        <v>297</v>
      </c>
      <c r="G251" s="24">
        <v>42</v>
      </c>
      <c r="H251" s="24">
        <v>6303</v>
      </c>
      <c r="I251" s="24">
        <v>41.1253</v>
      </c>
      <c r="J251" s="25">
        <f t="shared" si="3"/>
        <v>0.874699999999997</v>
      </c>
      <c r="K251" s="25" t="s">
        <v>780</v>
      </c>
      <c r="L251" s="29" t="s">
        <v>272</v>
      </c>
      <c r="M251" s="24">
        <v>6221.1757</v>
      </c>
      <c r="N251" s="24">
        <v>6221.1757</v>
      </c>
      <c r="O251" s="30" t="s">
        <v>273</v>
      </c>
    </row>
    <row r="252" ht="21.05" customHeight="1" spans="1:15">
      <c r="A252" s="10"/>
      <c r="B252" s="10"/>
      <c r="C252" s="10"/>
      <c r="D252" s="10" t="s">
        <v>781</v>
      </c>
      <c r="E252" s="10" t="s">
        <v>258</v>
      </c>
      <c r="F252" s="10" t="s">
        <v>297</v>
      </c>
      <c r="G252" s="24">
        <v>9</v>
      </c>
      <c r="H252" s="24">
        <v>864</v>
      </c>
      <c r="I252" s="24">
        <v>9</v>
      </c>
      <c r="J252" s="25">
        <f t="shared" si="3"/>
        <v>0</v>
      </c>
      <c r="K252" s="25" t="s">
        <v>260</v>
      </c>
      <c r="L252" s="29" t="s">
        <v>261</v>
      </c>
      <c r="M252" s="24">
        <v>864</v>
      </c>
      <c r="N252" s="24">
        <v>864</v>
      </c>
      <c r="O252" s="30"/>
    </row>
    <row r="253" ht="21.05" customHeight="1" spans="1:15">
      <c r="A253" s="10"/>
      <c r="B253" s="10"/>
      <c r="C253" s="10"/>
      <c r="D253" s="10" t="s">
        <v>782</v>
      </c>
      <c r="E253" s="10" t="s">
        <v>258</v>
      </c>
      <c r="F253" s="10" t="s">
        <v>297</v>
      </c>
      <c r="G253" s="24">
        <v>0</v>
      </c>
      <c r="H253" s="24">
        <v>0</v>
      </c>
      <c r="I253" s="24">
        <v>0</v>
      </c>
      <c r="J253" s="25">
        <f t="shared" si="3"/>
        <v>0</v>
      </c>
      <c r="K253" s="25" t="s">
        <v>260</v>
      </c>
      <c r="L253" s="29" t="s">
        <v>261</v>
      </c>
      <c r="M253" s="24">
        <v>0</v>
      </c>
      <c r="N253" s="24">
        <v>0</v>
      </c>
      <c r="O253" s="30"/>
    </row>
    <row r="254" ht="21.05" customHeight="1" spans="1:15">
      <c r="A254" s="10"/>
      <c r="B254" s="10"/>
      <c r="C254" s="10"/>
      <c r="D254" s="10" t="s">
        <v>264</v>
      </c>
      <c r="E254" s="10" t="s">
        <v>258</v>
      </c>
      <c r="F254" s="10" t="s">
        <v>297</v>
      </c>
      <c r="G254" s="24">
        <v>0</v>
      </c>
      <c r="H254" s="24">
        <v>190</v>
      </c>
      <c r="I254" s="24">
        <v>0</v>
      </c>
      <c r="J254" s="25">
        <f t="shared" si="3"/>
        <v>0</v>
      </c>
      <c r="K254" s="25" t="s">
        <v>260</v>
      </c>
      <c r="L254" s="29" t="s">
        <v>261</v>
      </c>
      <c r="M254" s="24">
        <v>190</v>
      </c>
      <c r="N254" s="24">
        <v>190</v>
      </c>
      <c r="O254" s="30"/>
    </row>
    <row r="255" ht="21.05" customHeight="1" spans="1:15">
      <c r="A255" s="10"/>
      <c r="B255" s="10"/>
      <c r="C255" s="10"/>
      <c r="D255" s="10" t="s">
        <v>783</v>
      </c>
      <c r="E255" s="10" t="s">
        <v>258</v>
      </c>
      <c r="F255" s="10" t="s">
        <v>297</v>
      </c>
      <c r="G255" s="24">
        <v>22</v>
      </c>
      <c r="H255" s="24">
        <v>1886</v>
      </c>
      <c r="I255" s="24">
        <v>22</v>
      </c>
      <c r="J255" s="25">
        <f t="shared" si="3"/>
        <v>0</v>
      </c>
      <c r="K255" s="25" t="s">
        <v>260</v>
      </c>
      <c r="L255" s="29" t="s">
        <v>261</v>
      </c>
      <c r="M255" s="24">
        <v>1886</v>
      </c>
      <c r="N255" s="24">
        <v>1886</v>
      </c>
      <c r="O255" s="30"/>
    </row>
    <row r="256" ht="21.05" customHeight="1" spans="1:15">
      <c r="A256" s="10"/>
      <c r="B256" s="10"/>
      <c r="C256" s="10" t="s">
        <v>784</v>
      </c>
      <c r="D256" s="10" t="s">
        <v>785</v>
      </c>
      <c r="E256" s="10" t="s">
        <v>258</v>
      </c>
      <c r="F256" s="10" t="s">
        <v>297</v>
      </c>
      <c r="G256" s="24">
        <v>63</v>
      </c>
      <c r="H256" s="24">
        <v>779</v>
      </c>
      <c r="I256" s="24">
        <v>60.3637</v>
      </c>
      <c r="J256" s="25">
        <f t="shared" si="3"/>
        <v>2.6363</v>
      </c>
      <c r="K256" s="25" t="s">
        <v>786</v>
      </c>
      <c r="L256" s="29" t="s">
        <v>272</v>
      </c>
      <c r="M256" s="24">
        <v>702.991</v>
      </c>
      <c r="N256" s="24">
        <v>702.991</v>
      </c>
      <c r="O256" s="30" t="s">
        <v>787</v>
      </c>
    </row>
    <row r="257" ht="21.05" customHeight="1" spans="1:15">
      <c r="A257" s="10"/>
      <c r="B257" s="10"/>
      <c r="C257" s="10" t="s">
        <v>788</v>
      </c>
      <c r="D257" s="10" t="s">
        <v>789</v>
      </c>
      <c r="E257" s="10" t="s">
        <v>258</v>
      </c>
      <c r="F257" s="10" t="s">
        <v>297</v>
      </c>
      <c r="G257" s="24">
        <v>0</v>
      </c>
      <c r="H257" s="24">
        <v>561.5</v>
      </c>
      <c r="I257" s="24">
        <v>0</v>
      </c>
      <c r="J257" s="25">
        <f t="shared" si="3"/>
        <v>0</v>
      </c>
      <c r="K257" s="25" t="s">
        <v>260</v>
      </c>
      <c r="L257" s="29" t="s">
        <v>261</v>
      </c>
      <c r="M257" s="24">
        <v>564.0897</v>
      </c>
      <c r="N257" s="24">
        <v>564.0897</v>
      </c>
      <c r="O257" s="30"/>
    </row>
    <row r="258" ht="21.05" customHeight="1" spans="1:15">
      <c r="A258" s="10"/>
      <c r="B258" s="10"/>
      <c r="C258" s="10"/>
      <c r="D258" s="10" t="s">
        <v>790</v>
      </c>
      <c r="E258" s="10" t="s">
        <v>258</v>
      </c>
      <c r="F258" s="10" t="s">
        <v>297</v>
      </c>
      <c r="G258" s="24">
        <v>180</v>
      </c>
      <c r="H258" s="24">
        <v>5299</v>
      </c>
      <c r="I258" s="24">
        <v>163.3689</v>
      </c>
      <c r="J258" s="25">
        <f t="shared" si="3"/>
        <v>16.6311</v>
      </c>
      <c r="K258" s="25" t="s">
        <v>791</v>
      </c>
      <c r="L258" s="29" t="s">
        <v>272</v>
      </c>
      <c r="M258" s="24">
        <v>5187.1472</v>
      </c>
      <c r="N258" s="24">
        <v>5187.1472</v>
      </c>
      <c r="O258" s="30" t="s">
        <v>273</v>
      </c>
    </row>
    <row r="259" ht="21.05" customHeight="1" spans="1:15">
      <c r="A259" s="10"/>
      <c r="B259" s="10"/>
      <c r="C259" s="10"/>
      <c r="D259" s="10" t="s">
        <v>266</v>
      </c>
      <c r="E259" s="10" t="s">
        <v>258</v>
      </c>
      <c r="F259" s="10" t="s">
        <v>297</v>
      </c>
      <c r="G259" s="24">
        <v>50</v>
      </c>
      <c r="H259" s="24">
        <v>861</v>
      </c>
      <c r="I259" s="24">
        <v>45.3802</v>
      </c>
      <c r="J259" s="25">
        <f t="shared" si="3"/>
        <v>4.6198</v>
      </c>
      <c r="K259" s="25" t="s">
        <v>791</v>
      </c>
      <c r="L259" s="29" t="s">
        <v>272</v>
      </c>
      <c r="M259" s="24">
        <v>831.2115</v>
      </c>
      <c r="N259" s="24">
        <v>831.2115</v>
      </c>
      <c r="O259" s="30" t="s">
        <v>273</v>
      </c>
    </row>
    <row r="260" ht="21.05" customHeight="1" spans="1:15">
      <c r="A260" s="10"/>
      <c r="B260" s="10"/>
      <c r="C260" s="10" t="s">
        <v>792</v>
      </c>
      <c r="D260" s="10" t="s">
        <v>793</v>
      </c>
      <c r="E260" s="10" t="s">
        <v>258</v>
      </c>
      <c r="F260" s="10" t="s">
        <v>297</v>
      </c>
      <c r="G260" s="24">
        <v>0.15</v>
      </c>
      <c r="H260" s="24">
        <v>895.1</v>
      </c>
      <c r="I260" s="24">
        <v>0</v>
      </c>
      <c r="J260" s="25">
        <f t="shared" si="3"/>
        <v>0.15</v>
      </c>
      <c r="K260" s="25" t="s">
        <v>260</v>
      </c>
      <c r="L260" s="29" t="s">
        <v>272</v>
      </c>
      <c r="M260" s="24">
        <v>815.7128</v>
      </c>
      <c r="N260" s="24">
        <v>815.7128</v>
      </c>
      <c r="O260" s="30" t="s">
        <v>273</v>
      </c>
    </row>
    <row r="261" ht="21.05" customHeight="1" spans="1:15">
      <c r="A261" s="10"/>
      <c r="B261" s="10" t="s">
        <v>85</v>
      </c>
      <c r="C261" s="10" t="s">
        <v>92</v>
      </c>
      <c r="D261" s="10" t="s">
        <v>794</v>
      </c>
      <c r="E261" s="10" t="s">
        <v>382</v>
      </c>
      <c r="F261" s="10" t="s">
        <v>297</v>
      </c>
      <c r="G261" s="24">
        <v>12.47</v>
      </c>
      <c r="H261" s="24">
        <v>601.8</v>
      </c>
      <c r="I261" s="24">
        <v>12.0296</v>
      </c>
      <c r="J261" s="25">
        <f t="shared" ref="J261:J294" si="4">G261-I261</f>
        <v>0.4404</v>
      </c>
      <c r="K261" s="25" t="s">
        <v>795</v>
      </c>
      <c r="L261" s="29" t="s">
        <v>272</v>
      </c>
      <c r="M261" s="24">
        <v>586.8502</v>
      </c>
      <c r="N261" s="24">
        <v>586.8502</v>
      </c>
      <c r="O261" s="30" t="s">
        <v>273</v>
      </c>
    </row>
    <row r="262" ht="21.05" customHeight="1" spans="1:15">
      <c r="A262" s="10"/>
      <c r="B262" s="10"/>
      <c r="C262" s="10"/>
      <c r="D262" s="10" t="s">
        <v>383</v>
      </c>
      <c r="E262" s="10" t="s">
        <v>382</v>
      </c>
      <c r="F262" s="10" t="s">
        <v>297</v>
      </c>
      <c r="G262" s="24">
        <v>61</v>
      </c>
      <c r="H262" s="24">
        <v>3526.4</v>
      </c>
      <c r="I262" s="24">
        <v>61.6469</v>
      </c>
      <c r="J262" s="25">
        <f t="shared" si="4"/>
        <v>-0.646900000000002</v>
      </c>
      <c r="K262" s="25" t="s">
        <v>796</v>
      </c>
      <c r="L262" s="29" t="s">
        <v>272</v>
      </c>
      <c r="M262" s="24">
        <v>3484.8556</v>
      </c>
      <c r="N262" s="24">
        <v>3484.8556</v>
      </c>
      <c r="O262" s="30" t="s">
        <v>281</v>
      </c>
    </row>
    <row r="263" ht="21.05" customHeight="1" spans="1:15">
      <c r="A263" s="10"/>
      <c r="B263" s="10"/>
      <c r="C263" s="10" t="s">
        <v>797</v>
      </c>
      <c r="D263" s="10" t="s">
        <v>798</v>
      </c>
      <c r="E263" s="10" t="s">
        <v>382</v>
      </c>
      <c r="F263" s="10" t="s">
        <v>297</v>
      </c>
      <c r="G263" s="24">
        <v>2.8</v>
      </c>
      <c r="H263" s="24">
        <v>328.9</v>
      </c>
      <c r="I263" s="24">
        <v>2.61</v>
      </c>
      <c r="J263" s="25">
        <f t="shared" si="4"/>
        <v>0.19</v>
      </c>
      <c r="K263" s="25" t="s">
        <v>799</v>
      </c>
      <c r="L263" s="29" t="s">
        <v>272</v>
      </c>
      <c r="M263" s="24">
        <v>315.5205</v>
      </c>
      <c r="N263" s="24">
        <v>315.5205</v>
      </c>
      <c r="O263" s="30" t="s">
        <v>273</v>
      </c>
    </row>
    <row r="264" ht="21.05" customHeight="1" spans="1:15">
      <c r="A264" s="10"/>
      <c r="B264" s="10"/>
      <c r="C264" s="10" t="s">
        <v>67</v>
      </c>
      <c r="D264" s="10" t="s">
        <v>800</v>
      </c>
      <c r="E264" s="10" t="s">
        <v>382</v>
      </c>
      <c r="F264" s="10" t="s">
        <v>297</v>
      </c>
      <c r="G264" s="24">
        <v>0</v>
      </c>
      <c r="H264" s="24">
        <v>0</v>
      </c>
      <c r="I264" s="24">
        <v>0</v>
      </c>
      <c r="J264" s="25">
        <f t="shared" si="4"/>
        <v>0</v>
      </c>
      <c r="K264" s="25" t="s">
        <v>260</v>
      </c>
      <c r="L264" s="29" t="s">
        <v>261</v>
      </c>
      <c r="M264" s="24">
        <v>0</v>
      </c>
      <c r="N264" s="24">
        <v>0</v>
      </c>
      <c r="O264" s="30"/>
    </row>
    <row r="265" ht="21.05" customHeight="1" spans="1:15">
      <c r="A265" s="10"/>
      <c r="B265" s="10"/>
      <c r="C265" s="10" t="s">
        <v>801</v>
      </c>
      <c r="D265" s="10" t="s">
        <v>383</v>
      </c>
      <c r="E265" s="10" t="s">
        <v>382</v>
      </c>
      <c r="F265" s="10" t="s">
        <v>297</v>
      </c>
      <c r="G265" s="24">
        <v>0</v>
      </c>
      <c r="H265" s="24">
        <v>0</v>
      </c>
      <c r="I265" s="24">
        <v>0</v>
      </c>
      <c r="J265" s="25">
        <f t="shared" si="4"/>
        <v>0</v>
      </c>
      <c r="K265" s="25" t="s">
        <v>260</v>
      </c>
      <c r="L265" s="29" t="s">
        <v>261</v>
      </c>
      <c r="M265" s="24">
        <v>0</v>
      </c>
      <c r="N265" s="24">
        <v>0</v>
      </c>
      <c r="O265" s="30"/>
    </row>
    <row r="266" ht="21.05" customHeight="1" spans="1:15">
      <c r="A266" s="10"/>
      <c r="B266" s="10"/>
      <c r="C266" s="10" t="s">
        <v>802</v>
      </c>
      <c r="D266" s="10" t="s">
        <v>383</v>
      </c>
      <c r="E266" s="10" t="s">
        <v>382</v>
      </c>
      <c r="F266" s="10" t="s">
        <v>297</v>
      </c>
      <c r="G266" s="24">
        <v>11.1</v>
      </c>
      <c r="H266" s="24">
        <v>441.08</v>
      </c>
      <c r="I266" s="24">
        <v>7.6232</v>
      </c>
      <c r="J266" s="25">
        <f t="shared" si="4"/>
        <v>3.4768</v>
      </c>
      <c r="K266" s="25" t="s">
        <v>803</v>
      </c>
      <c r="L266" s="29" t="s">
        <v>272</v>
      </c>
      <c r="M266" s="24">
        <v>409.4393</v>
      </c>
      <c r="N266" s="24">
        <v>409.4393</v>
      </c>
      <c r="O266" s="30" t="s">
        <v>273</v>
      </c>
    </row>
    <row r="267" ht="21.05" customHeight="1" spans="1:15">
      <c r="A267" s="10"/>
      <c r="B267" s="10"/>
      <c r="C267" s="10" t="s">
        <v>804</v>
      </c>
      <c r="D267" s="10" t="s">
        <v>805</v>
      </c>
      <c r="E267" s="10" t="s">
        <v>382</v>
      </c>
      <c r="F267" s="10" t="s">
        <v>297</v>
      </c>
      <c r="G267" s="24">
        <v>0.08</v>
      </c>
      <c r="H267" s="24">
        <v>98.48</v>
      </c>
      <c r="I267" s="24">
        <v>0.0783</v>
      </c>
      <c r="J267" s="25">
        <f t="shared" si="4"/>
        <v>0.00170000000000001</v>
      </c>
      <c r="K267" s="25" t="s">
        <v>806</v>
      </c>
      <c r="L267" s="29" t="s">
        <v>272</v>
      </c>
      <c r="M267" s="24">
        <v>97.0335</v>
      </c>
      <c r="N267" s="24">
        <v>97.0335</v>
      </c>
      <c r="O267" s="30" t="s">
        <v>273</v>
      </c>
    </row>
    <row r="268" ht="21.05" customHeight="1" spans="1:15">
      <c r="A268" s="10"/>
      <c r="B268" s="10" t="s">
        <v>86</v>
      </c>
      <c r="C268" s="10" t="s">
        <v>807</v>
      </c>
      <c r="D268" s="10" t="s">
        <v>383</v>
      </c>
      <c r="E268" s="10" t="s">
        <v>382</v>
      </c>
      <c r="F268" s="10" t="s">
        <v>297</v>
      </c>
      <c r="G268" s="24">
        <v>14.8</v>
      </c>
      <c r="H268" s="24">
        <v>929.59</v>
      </c>
      <c r="I268" s="24">
        <v>11.1288</v>
      </c>
      <c r="J268" s="25">
        <f t="shared" si="4"/>
        <v>3.6712</v>
      </c>
      <c r="K268" s="25" t="s">
        <v>808</v>
      </c>
      <c r="L268" s="29" t="s">
        <v>272</v>
      </c>
      <c r="M268" s="24">
        <v>861.4824</v>
      </c>
      <c r="N268" s="24">
        <v>861.4824</v>
      </c>
      <c r="O268" s="30" t="s">
        <v>273</v>
      </c>
    </row>
    <row r="269" ht="21.05" customHeight="1" spans="1:15">
      <c r="A269" s="10"/>
      <c r="B269" s="10"/>
      <c r="C269" s="10"/>
      <c r="D269" s="10" t="s">
        <v>809</v>
      </c>
      <c r="E269" s="10" t="s">
        <v>382</v>
      </c>
      <c r="F269" s="10" t="s">
        <v>297</v>
      </c>
      <c r="G269" s="24">
        <v>10.5</v>
      </c>
      <c r="H269" s="24">
        <v>457.45</v>
      </c>
      <c r="I269" s="24">
        <v>8.6993</v>
      </c>
      <c r="J269" s="25">
        <f t="shared" si="4"/>
        <v>1.8007</v>
      </c>
      <c r="K269" s="25" t="s">
        <v>810</v>
      </c>
      <c r="L269" s="29" t="s">
        <v>272</v>
      </c>
      <c r="M269" s="24">
        <v>429.0722</v>
      </c>
      <c r="N269" s="24">
        <v>429.0722</v>
      </c>
      <c r="O269" s="30" t="s">
        <v>273</v>
      </c>
    </row>
    <row r="270" ht="21.05" customHeight="1" spans="1:15">
      <c r="A270" s="10"/>
      <c r="B270" s="10" t="s">
        <v>87</v>
      </c>
      <c r="C270" s="10" t="s">
        <v>811</v>
      </c>
      <c r="D270" s="10" t="s">
        <v>383</v>
      </c>
      <c r="E270" s="10" t="s">
        <v>382</v>
      </c>
      <c r="F270" s="10" t="s">
        <v>297</v>
      </c>
      <c r="G270" s="24">
        <v>0</v>
      </c>
      <c r="H270" s="24">
        <v>0</v>
      </c>
      <c r="I270" s="24">
        <v>0</v>
      </c>
      <c r="J270" s="25">
        <f t="shared" si="4"/>
        <v>0</v>
      </c>
      <c r="K270" s="25" t="s">
        <v>260</v>
      </c>
      <c r="L270" s="29" t="s">
        <v>261</v>
      </c>
      <c r="M270" s="24">
        <v>0</v>
      </c>
      <c r="N270" s="24">
        <v>0</v>
      </c>
      <c r="O270" s="30"/>
    </row>
    <row r="271" ht="21.05" customHeight="1" spans="1:15">
      <c r="A271" s="10"/>
      <c r="B271" s="10"/>
      <c r="C271" s="10" t="s">
        <v>812</v>
      </c>
      <c r="D271" s="10" t="s">
        <v>813</v>
      </c>
      <c r="E271" s="10" t="s">
        <v>382</v>
      </c>
      <c r="F271" s="10" t="s">
        <v>297</v>
      </c>
      <c r="G271" s="24">
        <v>13</v>
      </c>
      <c r="H271" s="24">
        <v>261.8</v>
      </c>
      <c r="I271" s="24">
        <v>12.4829</v>
      </c>
      <c r="J271" s="25">
        <f t="shared" si="4"/>
        <v>0.517099999999999</v>
      </c>
      <c r="K271" s="25" t="s">
        <v>814</v>
      </c>
      <c r="L271" s="29" t="s">
        <v>272</v>
      </c>
      <c r="M271" s="24">
        <v>247.2928</v>
      </c>
      <c r="N271" s="24">
        <v>247.2928</v>
      </c>
      <c r="O271" s="30" t="s">
        <v>273</v>
      </c>
    </row>
    <row r="272" ht="21.05" customHeight="1" spans="1:15">
      <c r="A272" s="10"/>
      <c r="B272" s="10"/>
      <c r="C272" s="10"/>
      <c r="D272" s="10" t="s">
        <v>383</v>
      </c>
      <c r="E272" s="10" t="s">
        <v>382</v>
      </c>
      <c r="F272" s="10" t="s">
        <v>297</v>
      </c>
      <c r="G272" s="24">
        <v>14.5</v>
      </c>
      <c r="H272" s="24">
        <v>512</v>
      </c>
      <c r="I272" s="24">
        <v>10.9684</v>
      </c>
      <c r="J272" s="25">
        <f t="shared" si="4"/>
        <v>3.5316</v>
      </c>
      <c r="K272" s="25" t="s">
        <v>815</v>
      </c>
      <c r="L272" s="29" t="s">
        <v>272</v>
      </c>
      <c r="M272" s="24">
        <v>484.2368</v>
      </c>
      <c r="N272" s="24">
        <v>484.2368</v>
      </c>
      <c r="O272" s="30" t="s">
        <v>273</v>
      </c>
    </row>
    <row r="273" ht="21.05" customHeight="1" spans="1:15">
      <c r="A273" s="10"/>
      <c r="B273" s="10"/>
      <c r="C273" s="10" t="s">
        <v>816</v>
      </c>
      <c r="D273" s="10" t="s">
        <v>817</v>
      </c>
      <c r="E273" s="10" t="s">
        <v>382</v>
      </c>
      <c r="F273" s="10" t="s">
        <v>297</v>
      </c>
      <c r="G273" s="24">
        <v>11.5</v>
      </c>
      <c r="H273" s="24">
        <v>528.6</v>
      </c>
      <c r="I273" s="24">
        <v>10.2422</v>
      </c>
      <c r="J273" s="25">
        <f t="shared" si="4"/>
        <v>1.2578</v>
      </c>
      <c r="K273" s="25" t="s">
        <v>818</v>
      </c>
      <c r="L273" s="29" t="s">
        <v>272</v>
      </c>
      <c r="M273" s="24">
        <v>521.0543</v>
      </c>
      <c r="N273" s="24">
        <v>521.0543</v>
      </c>
      <c r="O273" s="30" t="s">
        <v>273</v>
      </c>
    </row>
    <row r="274" ht="21.05" customHeight="1" spans="1:15">
      <c r="A274" s="10"/>
      <c r="B274" s="10"/>
      <c r="C274" s="10"/>
      <c r="D274" s="10" t="s">
        <v>383</v>
      </c>
      <c r="E274" s="10" t="s">
        <v>382</v>
      </c>
      <c r="F274" s="10" t="s">
        <v>297</v>
      </c>
      <c r="G274" s="24">
        <v>0</v>
      </c>
      <c r="H274" s="24">
        <v>0</v>
      </c>
      <c r="I274" s="24">
        <v>0</v>
      </c>
      <c r="J274" s="25">
        <f t="shared" si="4"/>
        <v>0</v>
      </c>
      <c r="K274" s="25" t="s">
        <v>260</v>
      </c>
      <c r="L274" s="29" t="s">
        <v>261</v>
      </c>
      <c r="M274" s="24">
        <v>0</v>
      </c>
      <c r="N274" s="24">
        <v>0</v>
      </c>
      <c r="O274" s="30"/>
    </row>
    <row r="275" ht="21.05" customHeight="1" spans="1:15">
      <c r="A275" s="10"/>
      <c r="B275" s="10"/>
      <c r="C275" s="10" t="s">
        <v>819</v>
      </c>
      <c r="D275" s="10" t="s">
        <v>383</v>
      </c>
      <c r="E275" s="10" t="s">
        <v>382</v>
      </c>
      <c r="F275" s="10" t="s">
        <v>297</v>
      </c>
      <c r="G275" s="24">
        <v>0</v>
      </c>
      <c r="H275" s="24">
        <v>0</v>
      </c>
      <c r="I275" s="24">
        <v>0</v>
      </c>
      <c r="J275" s="25">
        <f t="shared" si="4"/>
        <v>0</v>
      </c>
      <c r="K275" s="25" t="s">
        <v>260</v>
      </c>
      <c r="L275" s="29" t="s">
        <v>261</v>
      </c>
      <c r="M275" s="24">
        <v>0</v>
      </c>
      <c r="N275" s="24">
        <v>0</v>
      </c>
      <c r="O275" s="30"/>
    </row>
    <row r="276" ht="21.05" customHeight="1" spans="1:15">
      <c r="A276" s="10"/>
      <c r="B276" s="10"/>
      <c r="C276" s="10" t="s">
        <v>820</v>
      </c>
      <c r="D276" s="10" t="s">
        <v>383</v>
      </c>
      <c r="E276" s="10" t="s">
        <v>382</v>
      </c>
      <c r="F276" s="10" t="s">
        <v>297</v>
      </c>
      <c r="G276" s="24">
        <v>0</v>
      </c>
      <c r="H276" s="24">
        <v>22.2</v>
      </c>
      <c r="I276" s="24">
        <v>0</v>
      </c>
      <c r="J276" s="25">
        <f t="shared" si="4"/>
        <v>0</v>
      </c>
      <c r="K276" s="25" t="s">
        <v>260</v>
      </c>
      <c r="L276" s="29" t="s">
        <v>261</v>
      </c>
      <c r="M276" s="24">
        <v>22.2688</v>
      </c>
      <c r="N276" s="24">
        <v>22.2688</v>
      </c>
      <c r="O276" s="30"/>
    </row>
    <row r="277" ht="21.05" customHeight="1" spans="1:15">
      <c r="A277" s="10"/>
      <c r="B277" s="10"/>
      <c r="C277" s="10" t="s">
        <v>821</v>
      </c>
      <c r="D277" s="10" t="s">
        <v>822</v>
      </c>
      <c r="E277" s="10" t="s">
        <v>382</v>
      </c>
      <c r="F277" s="10" t="s">
        <v>297</v>
      </c>
      <c r="G277" s="24">
        <v>8.9</v>
      </c>
      <c r="H277" s="24">
        <v>373.46</v>
      </c>
      <c r="I277" s="24">
        <v>9.8241</v>
      </c>
      <c r="J277" s="25">
        <f t="shared" si="4"/>
        <v>-0.924099999999999</v>
      </c>
      <c r="K277" s="25" t="s">
        <v>823</v>
      </c>
      <c r="L277" s="29" t="s">
        <v>272</v>
      </c>
      <c r="M277" s="24">
        <v>369.6469</v>
      </c>
      <c r="N277" s="24">
        <v>369.6469</v>
      </c>
      <c r="O277" s="30" t="s">
        <v>281</v>
      </c>
    </row>
    <row r="278" ht="21.05" customHeight="1" spans="1:15">
      <c r="A278" s="10"/>
      <c r="B278" s="10"/>
      <c r="C278" s="10"/>
      <c r="D278" s="10" t="s">
        <v>383</v>
      </c>
      <c r="E278" s="10" t="s">
        <v>382</v>
      </c>
      <c r="F278" s="10" t="s">
        <v>297</v>
      </c>
      <c r="G278" s="24">
        <v>0</v>
      </c>
      <c r="H278" s="24">
        <v>9</v>
      </c>
      <c r="I278" s="24">
        <v>0</v>
      </c>
      <c r="J278" s="25">
        <f t="shared" si="4"/>
        <v>0</v>
      </c>
      <c r="K278" s="25" t="s">
        <v>260</v>
      </c>
      <c r="L278" s="29" t="s">
        <v>261</v>
      </c>
      <c r="M278" s="24">
        <v>8.9497</v>
      </c>
      <c r="N278" s="24">
        <v>8.9497</v>
      </c>
      <c r="O278" s="30"/>
    </row>
    <row r="279" ht="21.05" customHeight="1" spans="1:15">
      <c r="A279" s="10" t="s">
        <v>255</v>
      </c>
      <c r="B279" s="10" t="s">
        <v>824</v>
      </c>
      <c r="C279" s="10" t="s">
        <v>825</v>
      </c>
      <c r="D279" s="10" t="s">
        <v>826</v>
      </c>
      <c r="E279" s="10" t="s">
        <v>258</v>
      </c>
      <c r="F279" s="10" t="s">
        <v>297</v>
      </c>
      <c r="G279" s="24">
        <v>0</v>
      </c>
      <c r="H279" s="24">
        <v>2339</v>
      </c>
      <c r="I279" s="24">
        <v>0</v>
      </c>
      <c r="J279" s="25">
        <f t="shared" si="4"/>
        <v>0</v>
      </c>
      <c r="K279" s="25" t="s">
        <v>260</v>
      </c>
      <c r="L279" s="29" t="s">
        <v>261</v>
      </c>
      <c r="M279" s="24">
        <v>1809.9699</v>
      </c>
      <c r="N279" s="24">
        <v>1809.9699</v>
      </c>
      <c r="O279" s="30"/>
    </row>
    <row r="280" ht="21.05" customHeight="1" spans="1:15">
      <c r="A280" s="10"/>
      <c r="B280" s="10"/>
      <c r="C280" s="10" t="s">
        <v>230</v>
      </c>
      <c r="D280" s="10" t="s">
        <v>827</v>
      </c>
      <c r="E280" s="10" t="s">
        <v>258</v>
      </c>
      <c r="F280" s="10" t="s">
        <v>297</v>
      </c>
      <c r="G280" s="24">
        <v>0</v>
      </c>
      <c r="H280" s="24">
        <v>0</v>
      </c>
      <c r="I280" s="24">
        <v>0</v>
      </c>
      <c r="J280" s="25">
        <f t="shared" si="4"/>
        <v>0</v>
      </c>
      <c r="K280" s="25" t="s">
        <v>260</v>
      </c>
      <c r="L280" s="29" t="s">
        <v>261</v>
      </c>
      <c r="M280" s="24">
        <v>0</v>
      </c>
      <c r="N280" s="24">
        <v>0</v>
      </c>
      <c r="O280" s="30"/>
    </row>
    <row r="281" ht="21.05" customHeight="1" spans="1:15">
      <c r="A281" s="10"/>
      <c r="B281" s="10"/>
      <c r="C281" s="10"/>
      <c r="D281" s="10" t="s">
        <v>828</v>
      </c>
      <c r="E281" s="10" t="s">
        <v>258</v>
      </c>
      <c r="F281" s="10" t="s">
        <v>297</v>
      </c>
      <c r="G281" s="24">
        <v>76.1</v>
      </c>
      <c r="H281" s="24">
        <v>7693</v>
      </c>
      <c r="I281" s="24">
        <v>74.4527</v>
      </c>
      <c r="J281" s="25">
        <f t="shared" si="4"/>
        <v>1.6473</v>
      </c>
      <c r="K281" s="25" t="s">
        <v>829</v>
      </c>
      <c r="L281" s="29" t="s">
        <v>272</v>
      </c>
      <c r="M281" s="24">
        <v>7559.1621</v>
      </c>
      <c r="N281" s="24">
        <v>7559.1621</v>
      </c>
      <c r="O281" s="30" t="s">
        <v>273</v>
      </c>
    </row>
    <row r="282" ht="21.05" customHeight="1" spans="1:15">
      <c r="A282" s="10"/>
      <c r="B282" s="10"/>
      <c r="C282" s="10"/>
      <c r="D282" s="10" t="s">
        <v>830</v>
      </c>
      <c r="E282" s="10" t="s">
        <v>258</v>
      </c>
      <c r="F282" s="10" t="s">
        <v>297</v>
      </c>
      <c r="G282" s="24">
        <v>0</v>
      </c>
      <c r="H282" s="24">
        <v>0</v>
      </c>
      <c r="I282" s="24">
        <v>0</v>
      </c>
      <c r="J282" s="25">
        <f t="shared" si="4"/>
        <v>0</v>
      </c>
      <c r="K282" s="25" t="s">
        <v>260</v>
      </c>
      <c r="L282" s="29" t="s">
        <v>261</v>
      </c>
      <c r="M282" s="24">
        <v>0</v>
      </c>
      <c r="N282" s="24">
        <v>0</v>
      </c>
      <c r="O282" s="30"/>
    </row>
    <row r="283" ht="21.05" customHeight="1" spans="1:15">
      <c r="A283" s="10"/>
      <c r="B283" s="10"/>
      <c r="C283" s="10"/>
      <c r="D283" s="10" t="s">
        <v>831</v>
      </c>
      <c r="E283" s="10" t="s">
        <v>258</v>
      </c>
      <c r="F283" s="10" t="s">
        <v>297</v>
      </c>
      <c r="G283" s="24">
        <v>0</v>
      </c>
      <c r="H283" s="24">
        <v>0</v>
      </c>
      <c r="I283" s="24">
        <v>0</v>
      </c>
      <c r="J283" s="25">
        <f t="shared" si="4"/>
        <v>0</v>
      </c>
      <c r="K283" s="25" t="s">
        <v>260</v>
      </c>
      <c r="L283" s="29" t="s">
        <v>261</v>
      </c>
      <c r="M283" s="24">
        <v>0</v>
      </c>
      <c r="N283" s="24">
        <v>0</v>
      </c>
      <c r="O283" s="30"/>
    </row>
    <row r="284" ht="21.05" customHeight="1" spans="1:15">
      <c r="A284" s="10"/>
      <c r="B284" s="10"/>
      <c r="C284" s="10"/>
      <c r="D284" s="10" t="s">
        <v>832</v>
      </c>
      <c r="E284" s="10" t="s">
        <v>258</v>
      </c>
      <c r="F284" s="10" t="s">
        <v>297</v>
      </c>
      <c r="G284" s="24">
        <v>0</v>
      </c>
      <c r="H284" s="24">
        <v>0</v>
      </c>
      <c r="I284" s="24">
        <v>0</v>
      </c>
      <c r="J284" s="25">
        <f t="shared" si="4"/>
        <v>0</v>
      </c>
      <c r="K284" s="25" t="s">
        <v>260</v>
      </c>
      <c r="L284" s="29" t="s">
        <v>261</v>
      </c>
      <c r="M284" s="24">
        <v>0</v>
      </c>
      <c r="N284" s="24">
        <v>0</v>
      </c>
      <c r="O284" s="30"/>
    </row>
    <row r="285" ht="21.05" customHeight="1" spans="1:15">
      <c r="A285" s="10"/>
      <c r="B285" s="10"/>
      <c r="C285" s="10"/>
      <c r="D285" s="10" t="s">
        <v>833</v>
      </c>
      <c r="E285" s="10" t="s">
        <v>258</v>
      </c>
      <c r="F285" s="10" t="s">
        <v>297</v>
      </c>
      <c r="G285" s="24">
        <v>0</v>
      </c>
      <c r="H285" s="24">
        <v>0</v>
      </c>
      <c r="I285" s="24">
        <v>0</v>
      </c>
      <c r="J285" s="25">
        <f t="shared" si="4"/>
        <v>0</v>
      </c>
      <c r="K285" s="25" t="s">
        <v>260</v>
      </c>
      <c r="L285" s="29" t="s">
        <v>261</v>
      </c>
      <c r="M285" s="24">
        <v>0</v>
      </c>
      <c r="N285" s="24">
        <v>0</v>
      </c>
      <c r="O285" s="30"/>
    </row>
    <row r="286" ht="21.05" customHeight="1" spans="1:15">
      <c r="A286" s="10"/>
      <c r="B286" s="10"/>
      <c r="C286" s="10"/>
      <c r="D286" s="10" t="s">
        <v>834</v>
      </c>
      <c r="E286" s="10" t="s">
        <v>258</v>
      </c>
      <c r="F286" s="10" t="s">
        <v>297</v>
      </c>
      <c r="G286" s="24">
        <v>45</v>
      </c>
      <c r="H286" s="24">
        <v>5379</v>
      </c>
      <c r="I286" s="24">
        <v>0</v>
      </c>
      <c r="J286" s="25">
        <f t="shared" si="4"/>
        <v>45</v>
      </c>
      <c r="K286" s="25" t="s">
        <v>260</v>
      </c>
      <c r="L286" s="29" t="s">
        <v>272</v>
      </c>
      <c r="M286" s="24">
        <v>4724.2228</v>
      </c>
      <c r="N286" s="24">
        <v>4724.2228</v>
      </c>
      <c r="O286" s="30" t="s">
        <v>273</v>
      </c>
    </row>
    <row r="287" ht="21.05" customHeight="1" spans="1:15">
      <c r="A287" s="10"/>
      <c r="B287" s="10"/>
      <c r="C287" s="10"/>
      <c r="D287" s="10" t="s">
        <v>835</v>
      </c>
      <c r="E287" s="10" t="s">
        <v>258</v>
      </c>
      <c r="F287" s="10" t="s">
        <v>297</v>
      </c>
      <c r="G287" s="24">
        <v>0</v>
      </c>
      <c r="H287" s="24">
        <v>0</v>
      </c>
      <c r="I287" s="24">
        <v>0</v>
      </c>
      <c r="J287" s="25">
        <f t="shared" si="4"/>
        <v>0</v>
      </c>
      <c r="K287" s="25" t="s">
        <v>260</v>
      </c>
      <c r="L287" s="29" t="s">
        <v>261</v>
      </c>
      <c r="M287" s="24">
        <v>0</v>
      </c>
      <c r="N287" s="24">
        <v>0</v>
      </c>
      <c r="O287" s="30"/>
    </row>
    <row r="288" ht="21.05" customHeight="1" spans="1:15">
      <c r="A288" s="10"/>
      <c r="B288" s="10"/>
      <c r="C288" s="10"/>
      <c r="D288" s="10" t="s">
        <v>836</v>
      </c>
      <c r="E288" s="10" t="s">
        <v>258</v>
      </c>
      <c r="F288" s="10" t="s">
        <v>297</v>
      </c>
      <c r="G288" s="24">
        <v>0</v>
      </c>
      <c r="H288" s="24">
        <v>0</v>
      </c>
      <c r="I288" s="24">
        <v>0</v>
      </c>
      <c r="J288" s="25">
        <f t="shared" si="4"/>
        <v>0</v>
      </c>
      <c r="K288" s="25" t="s">
        <v>260</v>
      </c>
      <c r="L288" s="29" t="s">
        <v>261</v>
      </c>
      <c r="M288" s="24">
        <v>0</v>
      </c>
      <c r="N288" s="24">
        <v>0</v>
      </c>
      <c r="O288" s="30"/>
    </row>
    <row r="289" ht="21.05" customHeight="1" spans="1:15">
      <c r="A289" s="10"/>
      <c r="B289" s="10"/>
      <c r="C289" s="10"/>
      <c r="D289" s="10" t="s">
        <v>837</v>
      </c>
      <c r="E289" s="10" t="s">
        <v>258</v>
      </c>
      <c r="F289" s="10" t="s">
        <v>297</v>
      </c>
      <c r="G289" s="24">
        <v>0</v>
      </c>
      <c r="H289" s="24">
        <v>0</v>
      </c>
      <c r="I289" s="24">
        <v>0</v>
      </c>
      <c r="J289" s="25">
        <f t="shared" si="4"/>
        <v>0</v>
      </c>
      <c r="K289" s="25" t="s">
        <v>260</v>
      </c>
      <c r="L289" s="29" t="s">
        <v>261</v>
      </c>
      <c r="M289" s="24">
        <v>0</v>
      </c>
      <c r="N289" s="24">
        <v>0</v>
      </c>
      <c r="O289" s="30"/>
    </row>
    <row r="290" ht="21.05" customHeight="1" spans="1:15">
      <c r="A290" s="10"/>
      <c r="B290" s="10"/>
      <c r="C290" s="10"/>
      <c r="D290" s="10" t="s">
        <v>838</v>
      </c>
      <c r="E290" s="10" t="s">
        <v>258</v>
      </c>
      <c r="F290" s="10" t="s">
        <v>297</v>
      </c>
      <c r="G290" s="24">
        <v>0</v>
      </c>
      <c r="H290" s="24">
        <v>0</v>
      </c>
      <c r="I290" s="24">
        <v>0</v>
      </c>
      <c r="J290" s="25">
        <f t="shared" si="4"/>
        <v>0</v>
      </c>
      <c r="K290" s="25" t="s">
        <v>260</v>
      </c>
      <c r="L290" s="29" t="s">
        <v>261</v>
      </c>
      <c r="M290" s="24">
        <v>0</v>
      </c>
      <c r="N290" s="24">
        <v>0</v>
      </c>
      <c r="O290" s="30"/>
    </row>
    <row r="291" ht="21.05" customHeight="1" spans="1:15">
      <c r="A291" s="10"/>
      <c r="B291" s="10"/>
      <c r="C291" s="10" t="s">
        <v>839</v>
      </c>
      <c r="D291" s="10" t="s">
        <v>840</v>
      </c>
      <c r="E291" s="10" t="s">
        <v>841</v>
      </c>
      <c r="F291" s="10" t="s">
        <v>297</v>
      </c>
      <c r="G291" s="24">
        <v>0</v>
      </c>
      <c r="H291" s="24">
        <v>0</v>
      </c>
      <c r="I291" s="24">
        <v>0</v>
      </c>
      <c r="J291" s="25">
        <f t="shared" si="4"/>
        <v>0</v>
      </c>
      <c r="K291" s="25" t="s">
        <v>260</v>
      </c>
      <c r="L291" s="29" t="s">
        <v>261</v>
      </c>
      <c r="M291" s="24">
        <v>0</v>
      </c>
      <c r="N291" s="24">
        <v>0</v>
      </c>
      <c r="O291" s="30"/>
    </row>
    <row r="292" ht="21.05" customHeight="1" spans="1:15">
      <c r="A292" s="10"/>
      <c r="B292" s="10"/>
      <c r="C292" s="10"/>
      <c r="D292" s="10" t="s">
        <v>842</v>
      </c>
      <c r="E292" s="10" t="s">
        <v>841</v>
      </c>
      <c r="F292" s="10" t="s">
        <v>297</v>
      </c>
      <c r="G292" s="24">
        <v>74</v>
      </c>
      <c r="H292" s="24">
        <v>7676</v>
      </c>
      <c r="I292" s="24">
        <v>73.5323</v>
      </c>
      <c r="J292" s="25">
        <f t="shared" si="4"/>
        <v>0.467699999999994</v>
      </c>
      <c r="K292" s="25" t="s">
        <v>843</v>
      </c>
      <c r="L292" s="29" t="s">
        <v>261</v>
      </c>
      <c r="M292" s="24">
        <v>7663.9403</v>
      </c>
      <c r="N292" s="24">
        <v>7663.9403</v>
      </c>
      <c r="O292" s="30"/>
    </row>
    <row r="293" ht="21.05" customHeight="1" spans="1:15">
      <c r="A293" s="10"/>
      <c r="B293" s="10"/>
      <c r="C293" s="10" t="s">
        <v>844</v>
      </c>
      <c r="D293" s="10" t="s">
        <v>845</v>
      </c>
      <c r="E293" s="10" t="s">
        <v>258</v>
      </c>
      <c r="F293" s="10" t="s">
        <v>297</v>
      </c>
      <c r="G293" s="24">
        <v>0.2</v>
      </c>
      <c r="H293" s="24">
        <v>4735.1</v>
      </c>
      <c r="I293" s="24">
        <v>0.0002</v>
      </c>
      <c r="J293" s="25">
        <f t="shared" si="4"/>
        <v>0.1998</v>
      </c>
      <c r="K293" s="25" t="s">
        <v>846</v>
      </c>
      <c r="L293" s="29" t="s">
        <v>272</v>
      </c>
      <c r="M293" s="24">
        <v>4555.5915</v>
      </c>
      <c r="N293" s="24">
        <v>4555.5915</v>
      </c>
      <c r="O293" s="30" t="s">
        <v>847</v>
      </c>
    </row>
    <row r="294" ht="21.05" customHeight="1" spans="1:15">
      <c r="A294" s="10"/>
      <c r="B294" s="10"/>
      <c r="C294" s="10" t="s">
        <v>848</v>
      </c>
      <c r="D294" s="10" t="s">
        <v>849</v>
      </c>
      <c r="E294" s="10" t="s">
        <v>258</v>
      </c>
      <c r="F294" s="10" t="s">
        <v>297</v>
      </c>
      <c r="G294" s="24">
        <v>100</v>
      </c>
      <c r="H294" s="24">
        <v>7965</v>
      </c>
      <c r="I294" s="24">
        <v>99.884</v>
      </c>
      <c r="J294" s="25">
        <f t="shared" si="4"/>
        <v>0.116</v>
      </c>
      <c r="K294" s="25" t="s">
        <v>415</v>
      </c>
      <c r="L294" s="29" t="s">
        <v>261</v>
      </c>
      <c r="M294" s="24">
        <v>7780.2272</v>
      </c>
      <c r="N294" s="24">
        <v>7780.2272</v>
      </c>
      <c r="O294" s="30"/>
    </row>
  </sheetData>
  <mergeCells count="103">
    <mergeCell ref="A1:N1"/>
    <mergeCell ref="A2:N2"/>
    <mergeCell ref="A4:F4"/>
    <mergeCell ref="A5:F5"/>
    <mergeCell ref="A6:A25"/>
    <mergeCell ref="A26:A48"/>
    <mergeCell ref="A49:A123"/>
    <mergeCell ref="A124:A141"/>
    <mergeCell ref="A142:A183"/>
    <mergeCell ref="A184:A197"/>
    <mergeCell ref="A198:A233"/>
    <mergeCell ref="A236:A278"/>
    <mergeCell ref="A279:A294"/>
    <mergeCell ref="B6:B25"/>
    <mergeCell ref="B27:B42"/>
    <mergeCell ref="B43:B48"/>
    <mergeCell ref="B49:B81"/>
    <mergeCell ref="B82:B87"/>
    <mergeCell ref="B88:B89"/>
    <mergeCell ref="B92:B97"/>
    <mergeCell ref="B98:B109"/>
    <mergeCell ref="B110:B115"/>
    <mergeCell ref="B116:B120"/>
    <mergeCell ref="B121:B122"/>
    <mergeCell ref="B124:B128"/>
    <mergeCell ref="B129:B138"/>
    <mergeCell ref="B139:B141"/>
    <mergeCell ref="B142:B145"/>
    <mergeCell ref="B147:B178"/>
    <mergeCell ref="B182:B183"/>
    <mergeCell ref="B184:B188"/>
    <mergeCell ref="B190:B196"/>
    <mergeCell ref="B198:B199"/>
    <mergeCell ref="B200:B201"/>
    <mergeCell ref="B202:B206"/>
    <mergeCell ref="B207:B210"/>
    <mergeCell ref="B211:B214"/>
    <mergeCell ref="B215:B222"/>
    <mergeCell ref="B223:B224"/>
    <mergeCell ref="B225:B233"/>
    <mergeCell ref="B237:B241"/>
    <mergeCell ref="B242:B260"/>
    <mergeCell ref="B261:B267"/>
    <mergeCell ref="B268:B269"/>
    <mergeCell ref="B270:B278"/>
    <mergeCell ref="B279:B294"/>
    <mergeCell ref="C6:C16"/>
    <mergeCell ref="C17:C19"/>
    <mergeCell ref="C21:C22"/>
    <mergeCell ref="C24:C25"/>
    <mergeCell ref="C35:C36"/>
    <mergeCell ref="C43:C45"/>
    <mergeCell ref="C46:C48"/>
    <mergeCell ref="C51:C52"/>
    <mergeCell ref="C54:C55"/>
    <mergeCell ref="C56:C58"/>
    <mergeCell ref="C60:C61"/>
    <mergeCell ref="C63:C64"/>
    <mergeCell ref="C69:C70"/>
    <mergeCell ref="C73:C74"/>
    <mergeCell ref="C84:C86"/>
    <mergeCell ref="C88:C89"/>
    <mergeCell ref="C92:C93"/>
    <mergeCell ref="C95:C97"/>
    <mergeCell ref="C98:C99"/>
    <mergeCell ref="C100:C102"/>
    <mergeCell ref="C103:C104"/>
    <mergeCell ref="C105:C109"/>
    <mergeCell ref="C110:C111"/>
    <mergeCell ref="C116:C117"/>
    <mergeCell ref="C119:C120"/>
    <mergeCell ref="C121:C122"/>
    <mergeCell ref="C125:C126"/>
    <mergeCell ref="C127:C128"/>
    <mergeCell ref="C129:C130"/>
    <mergeCell ref="C143:C144"/>
    <mergeCell ref="C158:C159"/>
    <mergeCell ref="C162:C163"/>
    <mergeCell ref="C166:C169"/>
    <mergeCell ref="C170:C171"/>
    <mergeCell ref="C184:C185"/>
    <mergeCell ref="C186:C187"/>
    <mergeCell ref="C190:C191"/>
    <mergeCell ref="C198:C199"/>
    <mergeCell ref="C200:C201"/>
    <mergeCell ref="C203:C204"/>
    <mergeCell ref="C207:C210"/>
    <mergeCell ref="C212:C214"/>
    <mergeCell ref="C215:C217"/>
    <mergeCell ref="C218:C220"/>
    <mergeCell ref="C223:C224"/>
    <mergeCell ref="C225:C226"/>
    <mergeCell ref="C227:C232"/>
    <mergeCell ref="C242:C249"/>
    <mergeCell ref="C251:C255"/>
    <mergeCell ref="C257:C259"/>
    <mergeCell ref="C261:C262"/>
    <mergeCell ref="C268:C269"/>
    <mergeCell ref="C271:C272"/>
    <mergeCell ref="C273:C274"/>
    <mergeCell ref="C277:C278"/>
    <mergeCell ref="C280:C290"/>
    <mergeCell ref="C291:C292"/>
  </mergeCells>
  <pageMargins left="0.75" right="0.75" top="0.270000010728836" bottom="0.270000010728836" header="0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3"/>
  <sheetViews>
    <sheetView workbookViewId="0">
      <selection activeCell="A1" sqref="A1:L1"/>
    </sheetView>
  </sheetViews>
  <sheetFormatPr defaultColWidth="10" defaultRowHeight="13.5"/>
  <cols>
    <col min="1" max="2" width="21.5416666666667" customWidth="1"/>
    <col min="3" max="6" width="18.4666666666667" customWidth="1"/>
    <col min="7" max="12" width="13.3333333333333" customWidth="1"/>
  </cols>
  <sheetData>
    <row r="1" ht="22.75" customHeight="1" spans="1:12">
      <c r="A1" s="15" t="s">
        <v>850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17.05" customHeight="1" spans="1:12">
      <c r="A2" s="16" t="s">
        <v>46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ht="23.5" customHeight="1" spans="1:12">
      <c r="A3" s="17" t="s">
        <v>239</v>
      </c>
      <c r="B3" s="17" t="s">
        <v>240</v>
      </c>
      <c r="C3" s="17" t="s">
        <v>241</v>
      </c>
      <c r="D3" s="17" t="s">
        <v>242</v>
      </c>
      <c r="E3" s="17" t="s">
        <v>243</v>
      </c>
      <c r="F3" s="17" t="s">
        <v>851</v>
      </c>
      <c r="G3" s="17" t="s">
        <v>245</v>
      </c>
      <c r="H3" s="17" t="s">
        <v>246</v>
      </c>
      <c r="I3" s="17" t="s">
        <v>247</v>
      </c>
      <c r="J3" s="17" t="s">
        <v>248</v>
      </c>
      <c r="K3" s="17" t="s">
        <v>251</v>
      </c>
      <c r="L3" s="17" t="s">
        <v>252</v>
      </c>
    </row>
    <row r="4" ht="17.05" customHeight="1" spans="1:12">
      <c r="A4" s="18" t="s">
        <v>183</v>
      </c>
      <c r="B4" s="18"/>
      <c r="C4" s="18"/>
      <c r="D4" s="18"/>
      <c r="E4" s="18"/>
      <c r="F4" s="18"/>
      <c r="G4" s="19">
        <v>4788.6902</v>
      </c>
      <c r="H4" s="19">
        <v>222264.7672</v>
      </c>
      <c r="I4" s="19">
        <v>4757.2649</v>
      </c>
      <c r="J4" s="19">
        <v>31.4253</v>
      </c>
      <c r="K4" s="19">
        <v>221141.2494</v>
      </c>
      <c r="L4" s="19">
        <v>221141.2494</v>
      </c>
    </row>
    <row r="5" ht="17.05" customHeight="1" spans="1:12">
      <c r="A5" s="20" t="s">
        <v>254</v>
      </c>
      <c r="B5" s="20"/>
      <c r="C5" s="20"/>
      <c r="D5" s="20"/>
      <c r="E5" s="20"/>
      <c r="F5" s="20"/>
      <c r="G5" s="21">
        <v>107.64</v>
      </c>
      <c r="H5" s="21">
        <v>5594.75</v>
      </c>
      <c r="I5" s="21">
        <v>100.8532</v>
      </c>
      <c r="J5" s="23">
        <v>6.7868</v>
      </c>
      <c r="K5" s="21">
        <v>5384.1164</v>
      </c>
      <c r="L5" s="21">
        <v>5384.1164</v>
      </c>
    </row>
    <row r="6" ht="21.05" customHeight="1" spans="1:12">
      <c r="A6" s="21" t="s">
        <v>255</v>
      </c>
      <c r="B6" s="22" t="s">
        <v>256</v>
      </c>
      <c r="C6" s="22" t="s">
        <v>227</v>
      </c>
      <c r="D6" s="22" t="s">
        <v>257</v>
      </c>
      <c r="E6" s="22" t="s">
        <v>258</v>
      </c>
      <c r="F6" s="22" t="s">
        <v>852</v>
      </c>
      <c r="G6" s="21">
        <v>0</v>
      </c>
      <c r="H6" s="21">
        <v>0</v>
      </c>
      <c r="I6" s="21">
        <v>0</v>
      </c>
      <c r="J6" s="23">
        <v>0</v>
      </c>
      <c r="K6" s="21">
        <v>0</v>
      </c>
      <c r="L6" s="21">
        <v>0</v>
      </c>
    </row>
    <row r="7" ht="21.05" customHeight="1" spans="1:12">
      <c r="A7" s="21"/>
      <c r="B7" s="22"/>
      <c r="C7" s="22"/>
      <c r="D7" s="22" t="s">
        <v>262</v>
      </c>
      <c r="E7" s="22" t="s">
        <v>258</v>
      </c>
      <c r="F7" s="22" t="s">
        <v>852</v>
      </c>
      <c r="G7" s="21">
        <v>0</v>
      </c>
      <c r="H7" s="21">
        <v>0</v>
      </c>
      <c r="I7" s="21">
        <v>0</v>
      </c>
      <c r="J7" s="23">
        <v>0</v>
      </c>
      <c r="K7" s="21">
        <v>0</v>
      </c>
      <c r="L7" s="21">
        <v>0</v>
      </c>
    </row>
    <row r="8" ht="21.05" customHeight="1" spans="1:12">
      <c r="A8" s="21"/>
      <c r="B8" s="22"/>
      <c r="C8" s="22"/>
      <c r="D8" s="22" t="s">
        <v>263</v>
      </c>
      <c r="E8" s="22" t="s">
        <v>258</v>
      </c>
      <c r="F8" s="22" t="s">
        <v>852</v>
      </c>
      <c r="G8" s="21">
        <v>0</v>
      </c>
      <c r="H8" s="21">
        <v>0</v>
      </c>
      <c r="I8" s="21">
        <v>0</v>
      </c>
      <c r="J8" s="23">
        <v>0</v>
      </c>
      <c r="K8" s="21">
        <v>0</v>
      </c>
      <c r="L8" s="21">
        <v>0</v>
      </c>
    </row>
    <row r="9" ht="21.05" customHeight="1" spans="1:12">
      <c r="A9" s="21"/>
      <c r="B9" s="22"/>
      <c r="C9" s="22"/>
      <c r="D9" s="22" t="s">
        <v>264</v>
      </c>
      <c r="E9" s="22" t="s">
        <v>258</v>
      </c>
      <c r="F9" s="22" t="s">
        <v>852</v>
      </c>
      <c r="G9" s="21">
        <v>0</v>
      </c>
      <c r="H9" s="21">
        <v>0</v>
      </c>
      <c r="I9" s="21">
        <v>0</v>
      </c>
      <c r="J9" s="23">
        <v>0</v>
      </c>
      <c r="K9" s="21">
        <v>0</v>
      </c>
      <c r="L9" s="21">
        <v>0</v>
      </c>
    </row>
    <row r="10" ht="21.05" customHeight="1" spans="1:12">
      <c r="A10" s="21"/>
      <c r="B10" s="22"/>
      <c r="C10" s="22"/>
      <c r="D10" s="22" t="s">
        <v>265</v>
      </c>
      <c r="E10" s="22" t="s">
        <v>258</v>
      </c>
      <c r="F10" s="22" t="s">
        <v>852</v>
      </c>
      <c r="G10" s="21">
        <v>0</v>
      </c>
      <c r="H10" s="21">
        <v>0</v>
      </c>
      <c r="I10" s="21">
        <v>0</v>
      </c>
      <c r="J10" s="23">
        <v>0</v>
      </c>
      <c r="K10" s="21">
        <v>0</v>
      </c>
      <c r="L10" s="21">
        <v>0</v>
      </c>
    </row>
    <row r="11" ht="21.05" customHeight="1" spans="1:12">
      <c r="A11" s="21"/>
      <c r="B11" s="22"/>
      <c r="C11" s="22"/>
      <c r="D11" s="22" t="s">
        <v>266</v>
      </c>
      <c r="E11" s="22" t="s">
        <v>258</v>
      </c>
      <c r="F11" s="22" t="s">
        <v>852</v>
      </c>
      <c r="G11" s="21">
        <v>0</v>
      </c>
      <c r="H11" s="21">
        <v>0</v>
      </c>
      <c r="I11" s="21">
        <v>0</v>
      </c>
      <c r="J11" s="23">
        <v>0</v>
      </c>
      <c r="K11" s="21">
        <v>0</v>
      </c>
      <c r="L11" s="21">
        <v>0</v>
      </c>
    </row>
    <row r="12" ht="21.05" customHeight="1" spans="1:12">
      <c r="A12" s="21"/>
      <c r="B12" s="22"/>
      <c r="C12" s="22"/>
      <c r="D12" s="22" t="s">
        <v>267</v>
      </c>
      <c r="E12" s="22" t="s">
        <v>258</v>
      </c>
      <c r="F12" s="22" t="s">
        <v>852</v>
      </c>
      <c r="G12" s="21">
        <v>0</v>
      </c>
      <c r="H12" s="21">
        <v>0</v>
      </c>
      <c r="I12" s="21">
        <v>0</v>
      </c>
      <c r="J12" s="23">
        <v>0</v>
      </c>
      <c r="K12" s="21">
        <v>0</v>
      </c>
      <c r="L12" s="21">
        <v>0</v>
      </c>
    </row>
    <row r="13" ht="21.05" customHeight="1" spans="1:12">
      <c r="A13" s="21"/>
      <c r="B13" s="22"/>
      <c r="C13" s="22"/>
      <c r="D13" s="22" t="s">
        <v>268</v>
      </c>
      <c r="E13" s="22" t="s">
        <v>258</v>
      </c>
      <c r="F13" s="22" t="s">
        <v>852</v>
      </c>
      <c r="G13" s="21">
        <v>0</v>
      </c>
      <c r="H13" s="21">
        <v>0</v>
      </c>
      <c r="I13" s="21">
        <v>0</v>
      </c>
      <c r="J13" s="23">
        <v>0</v>
      </c>
      <c r="K13" s="21">
        <v>0</v>
      </c>
      <c r="L13" s="21">
        <v>0</v>
      </c>
    </row>
    <row r="14" ht="21.05" customHeight="1" spans="1:12">
      <c r="A14" s="21"/>
      <c r="B14" s="22"/>
      <c r="C14" s="22"/>
      <c r="D14" s="22" t="s">
        <v>269</v>
      </c>
      <c r="E14" s="22" t="s">
        <v>258</v>
      </c>
      <c r="F14" s="22" t="s">
        <v>852</v>
      </c>
      <c r="G14" s="21">
        <v>0</v>
      </c>
      <c r="H14" s="21">
        <v>0</v>
      </c>
      <c r="I14" s="21">
        <v>0</v>
      </c>
      <c r="J14" s="23">
        <v>0</v>
      </c>
      <c r="K14" s="21">
        <v>0</v>
      </c>
      <c r="L14" s="21">
        <v>0</v>
      </c>
    </row>
    <row r="15" ht="21.05" customHeight="1" spans="1:12">
      <c r="A15" s="21"/>
      <c r="B15" s="22"/>
      <c r="C15" s="22"/>
      <c r="D15" s="22" t="s">
        <v>270</v>
      </c>
      <c r="E15" s="22" t="s">
        <v>258</v>
      </c>
      <c r="F15" s="22" t="s">
        <v>852</v>
      </c>
      <c r="G15" s="21">
        <v>18</v>
      </c>
      <c r="H15" s="21">
        <v>768</v>
      </c>
      <c r="I15" s="21">
        <v>13.3054</v>
      </c>
      <c r="J15" s="23">
        <v>4.6946</v>
      </c>
      <c r="K15" s="21">
        <v>602.2012</v>
      </c>
      <c r="L15" s="21">
        <v>602.2012</v>
      </c>
    </row>
    <row r="16" ht="21.05" customHeight="1" spans="1:12">
      <c r="A16" s="21"/>
      <c r="B16" s="22"/>
      <c r="C16" s="22"/>
      <c r="D16" s="22" t="s">
        <v>274</v>
      </c>
      <c r="E16" s="22" t="s">
        <v>258</v>
      </c>
      <c r="F16" s="22" t="s">
        <v>852</v>
      </c>
      <c r="G16" s="21">
        <v>0</v>
      </c>
      <c r="H16" s="21">
        <v>0</v>
      </c>
      <c r="I16" s="21">
        <v>0</v>
      </c>
      <c r="J16" s="23">
        <v>0</v>
      </c>
      <c r="K16" s="21">
        <v>0</v>
      </c>
      <c r="L16" s="21">
        <v>0</v>
      </c>
    </row>
    <row r="17" ht="21.05" customHeight="1" spans="1:12">
      <c r="A17" s="21"/>
      <c r="B17" s="22"/>
      <c r="C17" s="22" t="s">
        <v>234</v>
      </c>
      <c r="D17" s="22" t="s">
        <v>275</v>
      </c>
      <c r="E17" s="22" t="s">
        <v>276</v>
      </c>
      <c r="F17" s="22" t="s">
        <v>853</v>
      </c>
      <c r="G17" s="21">
        <v>0</v>
      </c>
      <c r="H17" s="21">
        <v>0</v>
      </c>
      <c r="I17" s="21">
        <v>0</v>
      </c>
      <c r="J17" s="23">
        <v>0</v>
      </c>
      <c r="K17" s="21">
        <v>0</v>
      </c>
      <c r="L17" s="21">
        <v>0</v>
      </c>
    </row>
    <row r="18" ht="21.05" customHeight="1" spans="1:12">
      <c r="A18" s="21"/>
      <c r="B18" s="22"/>
      <c r="C18" s="22"/>
      <c r="D18" s="22"/>
      <c r="E18" s="22"/>
      <c r="F18" s="22" t="s">
        <v>852</v>
      </c>
      <c r="G18" s="21">
        <v>0</v>
      </c>
      <c r="H18" s="21">
        <v>0</v>
      </c>
      <c r="I18" s="21">
        <v>0</v>
      </c>
      <c r="J18" s="23">
        <v>0</v>
      </c>
      <c r="K18" s="21">
        <v>0</v>
      </c>
      <c r="L18" s="21">
        <v>0</v>
      </c>
    </row>
    <row r="19" ht="21.05" customHeight="1" spans="1:12">
      <c r="A19" s="21"/>
      <c r="B19" s="22"/>
      <c r="C19" s="22"/>
      <c r="D19" s="22" t="s">
        <v>277</v>
      </c>
      <c r="E19" s="22" t="s">
        <v>276</v>
      </c>
      <c r="F19" s="22" t="s">
        <v>854</v>
      </c>
      <c r="G19" s="21">
        <v>0</v>
      </c>
      <c r="H19" s="21">
        <v>0</v>
      </c>
      <c r="I19" s="21">
        <v>0</v>
      </c>
      <c r="J19" s="23">
        <v>0</v>
      </c>
      <c r="K19" s="21">
        <v>0</v>
      </c>
      <c r="L19" s="21">
        <v>0</v>
      </c>
    </row>
    <row r="20" ht="21.05" customHeight="1" spans="1:12">
      <c r="A20" s="21"/>
      <c r="B20" s="22"/>
      <c r="C20" s="22"/>
      <c r="D20" s="22"/>
      <c r="E20" s="22"/>
      <c r="F20" s="22" t="s">
        <v>855</v>
      </c>
      <c r="G20" s="21">
        <v>0</v>
      </c>
      <c r="H20" s="21">
        <v>0</v>
      </c>
      <c r="I20" s="21">
        <v>0</v>
      </c>
      <c r="J20" s="23">
        <v>0</v>
      </c>
      <c r="K20" s="21">
        <v>0</v>
      </c>
      <c r="L20" s="21">
        <v>0</v>
      </c>
    </row>
    <row r="21" ht="21.05" customHeight="1" spans="1:12">
      <c r="A21" s="21"/>
      <c r="B21" s="22"/>
      <c r="C21" s="22"/>
      <c r="D21" s="22"/>
      <c r="E21" s="22"/>
      <c r="F21" s="22" t="s">
        <v>856</v>
      </c>
      <c r="G21" s="21">
        <v>0</v>
      </c>
      <c r="H21" s="21">
        <v>0</v>
      </c>
      <c r="I21" s="21">
        <v>0</v>
      </c>
      <c r="J21" s="23">
        <v>0</v>
      </c>
      <c r="K21" s="21">
        <v>0</v>
      </c>
      <c r="L21" s="21">
        <v>0</v>
      </c>
    </row>
    <row r="22" ht="21.05" customHeight="1" spans="1:12">
      <c r="A22" s="21"/>
      <c r="B22" s="22"/>
      <c r="C22" s="22"/>
      <c r="D22" s="22"/>
      <c r="E22" s="22"/>
      <c r="F22" s="22" t="s">
        <v>853</v>
      </c>
      <c r="G22" s="21">
        <v>0</v>
      </c>
      <c r="H22" s="21">
        <v>0</v>
      </c>
      <c r="I22" s="21">
        <v>0</v>
      </c>
      <c r="J22" s="23">
        <v>0</v>
      </c>
      <c r="K22" s="21">
        <v>0</v>
      </c>
      <c r="L22" s="21">
        <v>0</v>
      </c>
    </row>
    <row r="23" ht="21.05" customHeight="1" spans="1:12">
      <c r="A23" s="21"/>
      <c r="B23" s="22"/>
      <c r="C23" s="22"/>
      <c r="D23" s="22"/>
      <c r="E23" s="22"/>
      <c r="F23" s="22" t="s">
        <v>857</v>
      </c>
      <c r="G23" s="21">
        <v>0</v>
      </c>
      <c r="H23" s="21">
        <v>0</v>
      </c>
      <c r="I23" s="21">
        <v>0</v>
      </c>
      <c r="J23" s="23">
        <v>0</v>
      </c>
      <c r="K23" s="21">
        <v>0</v>
      </c>
      <c r="L23" s="21">
        <v>0</v>
      </c>
    </row>
    <row r="24" ht="21.05" customHeight="1" spans="1:12">
      <c r="A24" s="21"/>
      <c r="B24" s="22"/>
      <c r="C24" s="22"/>
      <c r="D24" s="22"/>
      <c r="E24" s="22"/>
      <c r="F24" s="22" t="s">
        <v>852</v>
      </c>
      <c r="G24" s="21">
        <v>2.3</v>
      </c>
      <c r="H24" s="21">
        <v>394</v>
      </c>
      <c r="I24" s="21">
        <v>2.3112</v>
      </c>
      <c r="J24" s="23">
        <v>-0.0112</v>
      </c>
      <c r="K24" s="21">
        <v>394.68</v>
      </c>
      <c r="L24" s="21">
        <v>394.68</v>
      </c>
    </row>
    <row r="25" ht="21.05" customHeight="1" spans="1:12">
      <c r="A25" s="21"/>
      <c r="B25" s="22"/>
      <c r="C25" s="22"/>
      <c r="D25" s="22"/>
      <c r="E25" s="22"/>
      <c r="F25" s="22" t="s">
        <v>858</v>
      </c>
      <c r="G25" s="21">
        <v>0</v>
      </c>
      <c r="H25" s="21">
        <v>0</v>
      </c>
      <c r="I25" s="21">
        <v>0</v>
      </c>
      <c r="J25" s="23">
        <v>0</v>
      </c>
      <c r="K25" s="21">
        <v>0</v>
      </c>
      <c r="L25" s="21">
        <v>0</v>
      </c>
    </row>
    <row r="26" ht="21.05" customHeight="1" spans="1:12">
      <c r="A26" s="21"/>
      <c r="B26" s="22"/>
      <c r="C26" s="22"/>
      <c r="D26" s="22"/>
      <c r="E26" s="22"/>
      <c r="F26" s="22" t="s">
        <v>859</v>
      </c>
      <c r="G26" s="21">
        <v>0</v>
      </c>
      <c r="H26" s="21">
        <v>0</v>
      </c>
      <c r="I26" s="21">
        <v>0</v>
      </c>
      <c r="J26" s="23">
        <v>0</v>
      </c>
      <c r="K26" s="21">
        <v>0</v>
      </c>
      <c r="L26" s="21">
        <v>0</v>
      </c>
    </row>
    <row r="27" ht="21.05" customHeight="1" spans="1:12">
      <c r="A27" s="21"/>
      <c r="B27" s="22"/>
      <c r="C27" s="22"/>
      <c r="D27" s="22"/>
      <c r="E27" s="22"/>
      <c r="F27" s="22" t="s">
        <v>860</v>
      </c>
      <c r="G27" s="21">
        <v>0</v>
      </c>
      <c r="H27" s="21">
        <v>0</v>
      </c>
      <c r="I27" s="21">
        <v>0</v>
      </c>
      <c r="J27" s="23">
        <v>0</v>
      </c>
      <c r="K27" s="21">
        <v>0</v>
      </c>
      <c r="L27" s="21">
        <v>0</v>
      </c>
    </row>
    <row r="28" ht="21.05" customHeight="1" spans="1:12">
      <c r="A28" s="21"/>
      <c r="B28" s="22"/>
      <c r="C28" s="22"/>
      <c r="D28" s="22"/>
      <c r="E28" s="22"/>
      <c r="F28" s="22" t="s">
        <v>861</v>
      </c>
      <c r="G28" s="21">
        <v>0</v>
      </c>
      <c r="H28" s="21">
        <v>0</v>
      </c>
      <c r="I28" s="21">
        <v>0</v>
      </c>
      <c r="J28" s="23">
        <v>0</v>
      </c>
      <c r="K28" s="21">
        <v>0</v>
      </c>
      <c r="L28" s="21">
        <v>0</v>
      </c>
    </row>
    <row r="29" ht="21.05" customHeight="1" spans="1:12">
      <c r="A29" s="21"/>
      <c r="B29" s="22"/>
      <c r="C29" s="22"/>
      <c r="D29" s="22"/>
      <c r="E29" s="22"/>
      <c r="F29" s="22" t="s">
        <v>862</v>
      </c>
      <c r="G29" s="21">
        <v>0</v>
      </c>
      <c r="H29" s="21">
        <v>0</v>
      </c>
      <c r="I29" s="21">
        <v>0</v>
      </c>
      <c r="J29" s="23">
        <v>0</v>
      </c>
      <c r="K29" s="21">
        <v>0</v>
      </c>
      <c r="L29" s="21">
        <v>0</v>
      </c>
    </row>
    <row r="30" ht="21.05" customHeight="1" spans="1:12">
      <c r="A30" s="21"/>
      <c r="B30" s="22"/>
      <c r="C30" s="22"/>
      <c r="D30" s="22"/>
      <c r="E30" s="22"/>
      <c r="F30" s="22" t="s">
        <v>863</v>
      </c>
      <c r="G30" s="21">
        <v>0</v>
      </c>
      <c r="H30" s="21">
        <v>0</v>
      </c>
      <c r="I30" s="21">
        <v>0</v>
      </c>
      <c r="J30" s="23">
        <v>0</v>
      </c>
      <c r="K30" s="21">
        <v>0</v>
      </c>
      <c r="L30" s="21">
        <v>0</v>
      </c>
    </row>
    <row r="31" ht="21.05" customHeight="1" spans="1:12">
      <c r="A31" s="21"/>
      <c r="B31" s="22"/>
      <c r="C31" s="22"/>
      <c r="D31" s="22"/>
      <c r="E31" s="22"/>
      <c r="F31" s="22" t="s">
        <v>864</v>
      </c>
      <c r="G31" s="21">
        <v>1</v>
      </c>
      <c r="H31" s="21">
        <v>111</v>
      </c>
      <c r="I31" s="21">
        <v>1.0049</v>
      </c>
      <c r="J31" s="23">
        <v>-0.0049</v>
      </c>
      <c r="K31" s="21">
        <v>111.2336</v>
      </c>
      <c r="L31" s="21">
        <v>111.2336</v>
      </c>
    </row>
    <row r="32" ht="21.05" customHeight="1" spans="1:12">
      <c r="A32" s="21"/>
      <c r="B32" s="22"/>
      <c r="C32" s="22"/>
      <c r="D32" s="22"/>
      <c r="E32" s="22"/>
      <c r="F32" s="22" t="s">
        <v>865</v>
      </c>
      <c r="G32" s="21">
        <v>0</v>
      </c>
      <c r="H32" s="21">
        <v>0</v>
      </c>
      <c r="I32" s="21">
        <v>0</v>
      </c>
      <c r="J32" s="23">
        <v>0</v>
      </c>
      <c r="K32" s="21">
        <v>0</v>
      </c>
      <c r="L32" s="21">
        <v>0</v>
      </c>
    </row>
    <row r="33" ht="21.05" customHeight="1" spans="1:12">
      <c r="A33" s="21"/>
      <c r="B33" s="22"/>
      <c r="C33" s="22"/>
      <c r="D33" s="22"/>
      <c r="E33" s="22"/>
      <c r="F33" s="22" t="s">
        <v>866</v>
      </c>
      <c r="G33" s="21">
        <v>0</v>
      </c>
      <c r="H33" s="21">
        <v>0</v>
      </c>
      <c r="I33" s="21">
        <v>0</v>
      </c>
      <c r="J33" s="23">
        <v>0</v>
      </c>
      <c r="K33" s="21">
        <v>0</v>
      </c>
      <c r="L33" s="21">
        <v>0</v>
      </c>
    </row>
    <row r="34" ht="21.05" customHeight="1" spans="1:12">
      <c r="A34" s="21"/>
      <c r="B34" s="22"/>
      <c r="C34" s="22"/>
      <c r="D34" s="22" t="s">
        <v>279</v>
      </c>
      <c r="E34" s="22" t="s">
        <v>276</v>
      </c>
      <c r="F34" s="22" t="s">
        <v>854</v>
      </c>
      <c r="G34" s="21">
        <v>0</v>
      </c>
      <c r="H34" s="21">
        <v>0</v>
      </c>
      <c r="I34" s="21">
        <v>0</v>
      </c>
      <c r="J34" s="23">
        <v>0</v>
      </c>
      <c r="K34" s="21">
        <v>0</v>
      </c>
      <c r="L34" s="21">
        <v>0</v>
      </c>
    </row>
    <row r="35" ht="21.05" customHeight="1" spans="1:12">
      <c r="A35" s="21"/>
      <c r="B35" s="22"/>
      <c r="C35" s="22"/>
      <c r="D35" s="22"/>
      <c r="E35" s="22"/>
      <c r="F35" s="22" t="s">
        <v>855</v>
      </c>
      <c r="G35" s="21">
        <v>0</v>
      </c>
      <c r="H35" s="21">
        <v>0</v>
      </c>
      <c r="I35" s="21">
        <v>0</v>
      </c>
      <c r="J35" s="23">
        <v>0</v>
      </c>
      <c r="K35" s="21">
        <v>0</v>
      </c>
      <c r="L35" s="21">
        <v>0</v>
      </c>
    </row>
    <row r="36" ht="21.05" customHeight="1" spans="1:12">
      <c r="A36" s="21"/>
      <c r="B36" s="22"/>
      <c r="C36" s="22"/>
      <c r="D36" s="22"/>
      <c r="E36" s="22"/>
      <c r="F36" s="22" t="s">
        <v>857</v>
      </c>
      <c r="G36" s="21">
        <v>0</v>
      </c>
      <c r="H36" s="21">
        <v>0</v>
      </c>
      <c r="I36" s="21">
        <v>0</v>
      </c>
      <c r="J36" s="23">
        <v>0</v>
      </c>
      <c r="K36" s="21">
        <v>0</v>
      </c>
      <c r="L36" s="21">
        <v>0</v>
      </c>
    </row>
    <row r="37" ht="21.05" customHeight="1" spans="1:12">
      <c r="A37" s="21"/>
      <c r="B37" s="22"/>
      <c r="C37" s="22"/>
      <c r="D37" s="22"/>
      <c r="E37" s="22"/>
      <c r="F37" s="22" t="s">
        <v>852</v>
      </c>
      <c r="G37" s="21">
        <v>14.8</v>
      </c>
      <c r="H37" s="21">
        <v>588.8</v>
      </c>
      <c r="I37" s="21">
        <v>15.1899</v>
      </c>
      <c r="J37" s="23">
        <v>-0.3899</v>
      </c>
      <c r="K37" s="21">
        <v>598.5505</v>
      </c>
      <c r="L37" s="21">
        <v>598.5505</v>
      </c>
    </row>
    <row r="38" ht="21.05" customHeight="1" spans="1:12">
      <c r="A38" s="21"/>
      <c r="B38" s="22"/>
      <c r="C38" s="22"/>
      <c r="D38" s="22"/>
      <c r="E38" s="22"/>
      <c r="F38" s="22" t="s">
        <v>859</v>
      </c>
      <c r="G38" s="21">
        <v>0</v>
      </c>
      <c r="H38" s="21">
        <v>0</v>
      </c>
      <c r="I38" s="21">
        <v>0</v>
      </c>
      <c r="J38" s="23">
        <v>0</v>
      </c>
      <c r="K38" s="21">
        <v>0</v>
      </c>
      <c r="L38" s="21">
        <v>0</v>
      </c>
    </row>
    <row r="39" ht="21.05" customHeight="1" spans="1:12">
      <c r="A39" s="21"/>
      <c r="B39" s="22"/>
      <c r="C39" s="22"/>
      <c r="D39" s="22"/>
      <c r="E39" s="22"/>
      <c r="F39" s="22" t="s">
        <v>860</v>
      </c>
      <c r="G39" s="21">
        <v>0</v>
      </c>
      <c r="H39" s="21">
        <v>0</v>
      </c>
      <c r="I39" s="21">
        <v>0</v>
      </c>
      <c r="J39" s="23">
        <v>0</v>
      </c>
      <c r="K39" s="21">
        <v>0</v>
      </c>
      <c r="L39" s="21">
        <v>0</v>
      </c>
    </row>
    <row r="40" ht="21.05" customHeight="1" spans="1:12">
      <c r="A40" s="21"/>
      <c r="B40" s="22"/>
      <c r="C40" s="22"/>
      <c r="D40" s="22"/>
      <c r="E40" s="22"/>
      <c r="F40" s="22" t="s">
        <v>861</v>
      </c>
      <c r="G40" s="21">
        <v>0.6</v>
      </c>
      <c r="H40" s="21">
        <v>30.2</v>
      </c>
      <c r="I40" s="21">
        <v>0.6158</v>
      </c>
      <c r="J40" s="23">
        <v>-0.0158</v>
      </c>
      <c r="K40" s="21">
        <v>30.6915</v>
      </c>
      <c r="L40" s="21">
        <v>30.6915</v>
      </c>
    </row>
    <row r="41" ht="25.6" customHeight="1" spans="1:12">
      <c r="A41" s="21"/>
      <c r="B41" s="22"/>
      <c r="C41" s="22"/>
      <c r="D41" s="22"/>
      <c r="E41" s="22"/>
      <c r="F41" s="22" t="s">
        <v>867</v>
      </c>
      <c r="G41" s="21">
        <v>0</v>
      </c>
      <c r="H41" s="21">
        <v>0</v>
      </c>
      <c r="I41" s="21">
        <v>0</v>
      </c>
      <c r="J41" s="23">
        <v>0</v>
      </c>
      <c r="K41" s="21">
        <v>0</v>
      </c>
      <c r="L41" s="21">
        <v>0</v>
      </c>
    </row>
    <row r="42" ht="21.05" customHeight="1" spans="1:12">
      <c r="A42" s="21"/>
      <c r="B42" s="22"/>
      <c r="C42" s="22"/>
      <c r="D42" s="22"/>
      <c r="E42" s="22"/>
      <c r="F42" s="22" t="s">
        <v>868</v>
      </c>
      <c r="G42" s="21">
        <v>0</v>
      </c>
      <c r="H42" s="21">
        <v>0</v>
      </c>
      <c r="I42" s="21">
        <v>0</v>
      </c>
      <c r="J42" s="23">
        <v>0</v>
      </c>
      <c r="K42" s="21">
        <v>0</v>
      </c>
      <c r="L42" s="21">
        <v>0</v>
      </c>
    </row>
    <row r="43" ht="21.05" customHeight="1" spans="1:12">
      <c r="A43" s="21"/>
      <c r="B43" s="22"/>
      <c r="C43" s="22"/>
      <c r="D43" s="22"/>
      <c r="E43" s="22"/>
      <c r="F43" s="22" t="s">
        <v>864</v>
      </c>
      <c r="G43" s="21">
        <v>1</v>
      </c>
      <c r="H43" s="21">
        <v>205.7</v>
      </c>
      <c r="I43" s="21">
        <v>1.0263</v>
      </c>
      <c r="J43" s="23">
        <v>-0.0263</v>
      </c>
      <c r="K43" s="21">
        <v>209.0252</v>
      </c>
      <c r="L43" s="21">
        <v>209.0252</v>
      </c>
    </row>
    <row r="44" ht="21.05" customHeight="1" spans="1:12">
      <c r="A44" s="21"/>
      <c r="B44" s="22"/>
      <c r="C44" s="22" t="s">
        <v>235</v>
      </c>
      <c r="D44" s="22" t="s">
        <v>282</v>
      </c>
      <c r="E44" s="22" t="s">
        <v>276</v>
      </c>
      <c r="F44" s="22" t="s">
        <v>854</v>
      </c>
      <c r="G44" s="21">
        <v>0</v>
      </c>
      <c r="H44" s="21">
        <v>0</v>
      </c>
      <c r="I44" s="21">
        <v>0</v>
      </c>
      <c r="J44" s="23">
        <v>0</v>
      </c>
      <c r="K44" s="21">
        <v>0</v>
      </c>
      <c r="L44" s="21">
        <v>0</v>
      </c>
    </row>
    <row r="45" ht="21.05" customHeight="1" spans="1:12">
      <c r="A45" s="21"/>
      <c r="B45" s="22"/>
      <c r="C45" s="22"/>
      <c r="D45" s="22"/>
      <c r="E45" s="22"/>
      <c r="F45" s="22" t="s">
        <v>869</v>
      </c>
      <c r="G45" s="21">
        <v>0</v>
      </c>
      <c r="H45" s="21">
        <v>0</v>
      </c>
      <c r="I45" s="21">
        <v>0</v>
      </c>
      <c r="J45" s="23">
        <v>0</v>
      </c>
      <c r="K45" s="21">
        <v>0</v>
      </c>
      <c r="L45" s="21">
        <v>0</v>
      </c>
    </row>
    <row r="46" ht="21.05" customHeight="1" spans="1:12">
      <c r="A46" s="21"/>
      <c r="B46" s="22"/>
      <c r="C46" s="22"/>
      <c r="D46" s="22"/>
      <c r="E46" s="22"/>
      <c r="F46" s="22" t="s">
        <v>852</v>
      </c>
      <c r="G46" s="21">
        <v>16.3</v>
      </c>
      <c r="H46" s="21">
        <v>997.31</v>
      </c>
      <c r="I46" s="21">
        <v>16.3037</v>
      </c>
      <c r="J46" s="23">
        <v>-0.0037</v>
      </c>
      <c r="K46" s="21">
        <v>997.3614</v>
      </c>
      <c r="L46" s="21">
        <v>997.3614</v>
      </c>
    </row>
    <row r="47" ht="21.05" customHeight="1" spans="1:12">
      <c r="A47" s="21"/>
      <c r="B47" s="22"/>
      <c r="C47" s="22"/>
      <c r="D47" s="22"/>
      <c r="E47" s="22"/>
      <c r="F47" s="22" t="s">
        <v>859</v>
      </c>
      <c r="G47" s="21">
        <v>0.5</v>
      </c>
      <c r="H47" s="21">
        <v>15.45</v>
      </c>
      <c r="I47" s="21">
        <v>0.5001</v>
      </c>
      <c r="J47" s="23">
        <v>-0.0001</v>
      </c>
      <c r="K47" s="21">
        <v>15.4509</v>
      </c>
      <c r="L47" s="21">
        <v>15.4509</v>
      </c>
    </row>
    <row r="48" ht="21.05" customHeight="1" spans="1:12">
      <c r="A48" s="21"/>
      <c r="B48" s="22"/>
      <c r="C48" s="22"/>
      <c r="D48" s="22"/>
      <c r="E48" s="22"/>
      <c r="F48" s="22" t="s">
        <v>870</v>
      </c>
      <c r="G48" s="21">
        <v>0</v>
      </c>
      <c r="H48" s="21">
        <v>0</v>
      </c>
      <c r="I48" s="21">
        <v>0</v>
      </c>
      <c r="J48" s="23">
        <v>0</v>
      </c>
      <c r="K48" s="21">
        <v>0</v>
      </c>
      <c r="L48" s="21">
        <v>0</v>
      </c>
    </row>
    <row r="49" ht="21.05" customHeight="1" spans="1:12">
      <c r="A49" s="21"/>
      <c r="B49" s="22"/>
      <c r="C49" s="22"/>
      <c r="D49" s="22"/>
      <c r="E49" s="22"/>
      <c r="F49" s="22" t="s">
        <v>864</v>
      </c>
      <c r="G49" s="21">
        <v>4.6</v>
      </c>
      <c r="H49" s="21">
        <v>226.9</v>
      </c>
      <c r="I49" s="21">
        <v>4.6011</v>
      </c>
      <c r="J49" s="23">
        <v>-0.0011</v>
      </c>
      <c r="K49" s="21">
        <v>226.9129</v>
      </c>
      <c r="L49" s="21">
        <v>226.9129</v>
      </c>
    </row>
    <row r="50" ht="21.05" customHeight="1" spans="1:12">
      <c r="A50" s="21"/>
      <c r="B50" s="22"/>
      <c r="C50" s="22"/>
      <c r="D50" s="22"/>
      <c r="E50" s="22"/>
      <c r="F50" s="22" t="s">
        <v>865</v>
      </c>
      <c r="G50" s="21">
        <v>0</v>
      </c>
      <c r="H50" s="21">
        <v>0</v>
      </c>
      <c r="I50" s="21">
        <v>0</v>
      </c>
      <c r="J50" s="23">
        <v>0</v>
      </c>
      <c r="K50" s="21">
        <v>0</v>
      </c>
      <c r="L50" s="21">
        <v>0</v>
      </c>
    </row>
    <row r="51" ht="21.05" customHeight="1" spans="1:12">
      <c r="A51" s="21"/>
      <c r="B51" s="22"/>
      <c r="C51" s="22"/>
      <c r="D51" s="22"/>
      <c r="E51" s="22"/>
      <c r="F51" s="22" t="s">
        <v>871</v>
      </c>
      <c r="G51" s="21">
        <v>0</v>
      </c>
      <c r="H51" s="21">
        <v>0</v>
      </c>
      <c r="I51" s="21">
        <v>0</v>
      </c>
      <c r="J51" s="23">
        <v>0</v>
      </c>
      <c r="K51" s="21">
        <v>0</v>
      </c>
      <c r="L51" s="21">
        <v>0</v>
      </c>
    </row>
    <row r="52" ht="21.05" customHeight="1" spans="1:12">
      <c r="A52" s="21"/>
      <c r="B52" s="22"/>
      <c r="C52" s="22" t="s">
        <v>233</v>
      </c>
      <c r="D52" s="22" t="s">
        <v>284</v>
      </c>
      <c r="E52" s="22" t="s">
        <v>258</v>
      </c>
      <c r="F52" s="22" t="s">
        <v>872</v>
      </c>
      <c r="G52" s="21">
        <v>0</v>
      </c>
      <c r="H52" s="21">
        <v>0</v>
      </c>
      <c r="I52" s="21">
        <v>0</v>
      </c>
      <c r="J52" s="23">
        <v>0</v>
      </c>
      <c r="K52" s="21">
        <v>0</v>
      </c>
      <c r="L52" s="21">
        <v>0</v>
      </c>
    </row>
    <row r="53" ht="21.05" customHeight="1" spans="1:12">
      <c r="A53" s="21"/>
      <c r="B53" s="22"/>
      <c r="C53" s="22"/>
      <c r="D53" s="22"/>
      <c r="E53" s="22"/>
      <c r="F53" s="22" t="s">
        <v>873</v>
      </c>
      <c r="G53" s="21">
        <v>0</v>
      </c>
      <c r="H53" s="21">
        <v>0</v>
      </c>
      <c r="I53" s="21">
        <v>0</v>
      </c>
      <c r="J53" s="23">
        <v>0</v>
      </c>
      <c r="K53" s="21">
        <v>0</v>
      </c>
      <c r="L53" s="21">
        <v>0</v>
      </c>
    </row>
    <row r="54" ht="21.05" customHeight="1" spans="1:12">
      <c r="A54" s="21"/>
      <c r="B54" s="22"/>
      <c r="C54" s="22"/>
      <c r="D54" s="22"/>
      <c r="E54" s="22"/>
      <c r="F54" s="22" t="s">
        <v>852</v>
      </c>
      <c r="G54" s="21">
        <v>2.2</v>
      </c>
      <c r="H54" s="21">
        <v>116</v>
      </c>
      <c r="I54" s="21">
        <v>1.3129</v>
      </c>
      <c r="J54" s="23">
        <v>0.8871</v>
      </c>
      <c r="K54" s="21">
        <v>92.0409</v>
      </c>
      <c r="L54" s="21">
        <v>92.0409</v>
      </c>
    </row>
    <row r="55" ht="21.05" customHeight="1" spans="1:12">
      <c r="A55" s="21"/>
      <c r="B55" s="22"/>
      <c r="C55" s="22"/>
      <c r="D55" s="22" t="s">
        <v>286</v>
      </c>
      <c r="E55" s="22" t="s">
        <v>258</v>
      </c>
      <c r="F55" s="22" t="s">
        <v>852</v>
      </c>
      <c r="G55" s="21">
        <v>0</v>
      </c>
      <c r="H55" s="21">
        <v>0</v>
      </c>
      <c r="I55" s="21">
        <v>0</v>
      </c>
      <c r="J55" s="23">
        <v>0</v>
      </c>
      <c r="K55" s="21">
        <v>0</v>
      </c>
      <c r="L55" s="21">
        <v>0</v>
      </c>
    </row>
    <row r="56" ht="21.05" customHeight="1" spans="1:12">
      <c r="A56" s="21"/>
      <c r="B56" s="22"/>
      <c r="C56" s="22"/>
      <c r="D56" s="22"/>
      <c r="E56" s="22"/>
      <c r="F56" s="22" t="s">
        <v>860</v>
      </c>
      <c r="G56" s="21">
        <v>0</v>
      </c>
      <c r="H56" s="21">
        <v>0</v>
      </c>
      <c r="I56" s="21">
        <v>0</v>
      </c>
      <c r="J56" s="23">
        <v>0</v>
      </c>
      <c r="K56" s="21">
        <v>0</v>
      </c>
      <c r="L56" s="21">
        <v>0</v>
      </c>
    </row>
    <row r="57" ht="21.05" customHeight="1" spans="1:12">
      <c r="A57" s="21"/>
      <c r="B57" s="22"/>
      <c r="C57" s="22"/>
      <c r="D57" s="22"/>
      <c r="E57" s="22"/>
      <c r="F57" s="22" t="s">
        <v>868</v>
      </c>
      <c r="G57" s="21">
        <v>0</v>
      </c>
      <c r="H57" s="21">
        <v>0</v>
      </c>
      <c r="I57" s="21">
        <v>0</v>
      </c>
      <c r="J57" s="23">
        <v>0</v>
      </c>
      <c r="K57" s="21">
        <v>0</v>
      </c>
      <c r="L57" s="21">
        <v>0</v>
      </c>
    </row>
    <row r="58" ht="21.05" customHeight="1" spans="1:12">
      <c r="A58" s="21"/>
      <c r="B58" s="22"/>
      <c r="C58" s="22" t="s">
        <v>236</v>
      </c>
      <c r="D58" s="22" t="s">
        <v>287</v>
      </c>
      <c r="E58" s="22" t="s">
        <v>258</v>
      </c>
      <c r="F58" s="22" t="s">
        <v>852</v>
      </c>
      <c r="G58" s="21">
        <v>0</v>
      </c>
      <c r="H58" s="21">
        <v>41</v>
      </c>
      <c r="I58" s="21">
        <v>0</v>
      </c>
      <c r="J58" s="23">
        <v>0</v>
      </c>
      <c r="K58" s="21">
        <v>32.8712</v>
      </c>
      <c r="L58" s="21">
        <v>32.8712</v>
      </c>
    </row>
    <row r="59" ht="21.05" customHeight="1" spans="1:12">
      <c r="A59" s="21"/>
      <c r="B59" s="22"/>
      <c r="C59" s="22"/>
      <c r="D59" s="22"/>
      <c r="E59" s="22"/>
      <c r="F59" s="22" t="s">
        <v>860</v>
      </c>
      <c r="G59" s="21">
        <v>0</v>
      </c>
      <c r="H59" s="21">
        <v>0</v>
      </c>
      <c r="I59" s="21">
        <v>0</v>
      </c>
      <c r="J59" s="23">
        <v>0</v>
      </c>
      <c r="K59" s="21">
        <v>0</v>
      </c>
      <c r="L59" s="21">
        <v>0</v>
      </c>
    </row>
    <row r="60" ht="21.05" customHeight="1" spans="1:12">
      <c r="A60" s="21"/>
      <c r="B60" s="22"/>
      <c r="C60" s="22"/>
      <c r="D60" s="22"/>
      <c r="E60" s="22"/>
      <c r="F60" s="22" t="s">
        <v>868</v>
      </c>
      <c r="G60" s="21">
        <v>5</v>
      </c>
      <c r="H60" s="21">
        <v>179.8</v>
      </c>
      <c r="I60" s="21">
        <v>3.3119</v>
      </c>
      <c r="J60" s="23">
        <v>1.6881</v>
      </c>
      <c r="K60" s="21">
        <v>146.3221</v>
      </c>
      <c r="L60" s="21">
        <v>146.3221</v>
      </c>
    </row>
    <row r="61" ht="21.05" customHeight="1" spans="1:12">
      <c r="A61" s="21"/>
      <c r="B61" s="22"/>
      <c r="C61" s="22"/>
      <c r="D61" s="22"/>
      <c r="E61" s="22"/>
      <c r="F61" s="22" t="s">
        <v>864</v>
      </c>
      <c r="G61" s="21">
        <v>0</v>
      </c>
      <c r="H61" s="21">
        <v>0</v>
      </c>
      <c r="I61" s="21">
        <v>0</v>
      </c>
      <c r="J61" s="23">
        <v>0</v>
      </c>
      <c r="K61" s="21">
        <v>0</v>
      </c>
      <c r="L61" s="21">
        <v>0</v>
      </c>
    </row>
    <row r="62" ht="21.05" customHeight="1" spans="1:12">
      <c r="A62" s="21"/>
      <c r="B62" s="22"/>
      <c r="C62" s="22" t="s">
        <v>237</v>
      </c>
      <c r="D62" s="22" t="s">
        <v>289</v>
      </c>
      <c r="E62" s="22" t="s">
        <v>276</v>
      </c>
      <c r="F62" s="22" t="s">
        <v>874</v>
      </c>
      <c r="G62" s="21">
        <v>0</v>
      </c>
      <c r="H62" s="21">
        <v>0</v>
      </c>
      <c r="I62" s="21">
        <v>0</v>
      </c>
      <c r="J62" s="23">
        <v>0</v>
      </c>
      <c r="K62" s="21">
        <v>0</v>
      </c>
      <c r="L62" s="21">
        <v>0</v>
      </c>
    </row>
    <row r="63" ht="21.05" customHeight="1" spans="1:12">
      <c r="A63" s="21"/>
      <c r="B63" s="22"/>
      <c r="C63" s="22"/>
      <c r="D63" s="22"/>
      <c r="E63" s="22"/>
      <c r="F63" s="22" t="s">
        <v>875</v>
      </c>
      <c r="G63" s="21">
        <v>0</v>
      </c>
      <c r="H63" s="21">
        <v>0</v>
      </c>
      <c r="I63" s="21">
        <v>0</v>
      </c>
      <c r="J63" s="23">
        <v>0</v>
      </c>
      <c r="K63" s="21">
        <v>0</v>
      </c>
      <c r="L63" s="21">
        <v>0</v>
      </c>
    </row>
    <row r="64" ht="21.05" customHeight="1" spans="1:12">
      <c r="A64" s="21"/>
      <c r="B64" s="22"/>
      <c r="C64" s="22"/>
      <c r="D64" s="22"/>
      <c r="E64" s="22"/>
      <c r="F64" s="22" t="s">
        <v>854</v>
      </c>
      <c r="G64" s="21">
        <v>0</v>
      </c>
      <c r="H64" s="21">
        <v>0</v>
      </c>
      <c r="I64" s="21">
        <v>0</v>
      </c>
      <c r="J64" s="23">
        <v>0</v>
      </c>
      <c r="K64" s="21">
        <v>0</v>
      </c>
      <c r="L64" s="21">
        <v>0</v>
      </c>
    </row>
    <row r="65" ht="21.05" customHeight="1" spans="1:12">
      <c r="A65" s="21"/>
      <c r="B65" s="22"/>
      <c r="C65" s="22"/>
      <c r="D65" s="22"/>
      <c r="E65" s="22"/>
      <c r="F65" s="22" t="s">
        <v>856</v>
      </c>
      <c r="G65" s="21">
        <v>0</v>
      </c>
      <c r="H65" s="21">
        <v>0</v>
      </c>
      <c r="I65" s="21">
        <v>0</v>
      </c>
      <c r="J65" s="23">
        <v>0</v>
      </c>
      <c r="K65" s="21">
        <v>0</v>
      </c>
      <c r="L65" s="21">
        <v>0</v>
      </c>
    </row>
    <row r="66" ht="21.05" customHeight="1" spans="1:12">
      <c r="A66" s="21"/>
      <c r="B66" s="22"/>
      <c r="C66" s="22"/>
      <c r="D66" s="22"/>
      <c r="E66" s="22"/>
      <c r="F66" s="22" t="s">
        <v>869</v>
      </c>
      <c r="G66" s="21">
        <v>0</v>
      </c>
      <c r="H66" s="21">
        <v>0</v>
      </c>
      <c r="I66" s="21">
        <v>0</v>
      </c>
      <c r="J66" s="23">
        <v>0</v>
      </c>
      <c r="K66" s="21">
        <v>0</v>
      </c>
      <c r="L66" s="21">
        <v>0</v>
      </c>
    </row>
    <row r="67" ht="21.05" customHeight="1" spans="1:12">
      <c r="A67" s="21"/>
      <c r="B67" s="22"/>
      <c r="C67" s="22"/>
      <c r="D67" s="22"/>
      <c r="E67" s="22"/>
      <c r="F67" s="22" t="s">
        <v>853</v>
      </c>
      <c r="G67" s="21">
        <v>0</v>
      </c>
      <c r="H67" s="21">
        <v>0</v>
      </c>
      <c r="I67" s="21">
        <v>0</v>
      </c>
      <c r="J67" s="23">
        <v>0</v>
      </c>
      <c r="K67" s="21">
        <v>0</v>
      </c>
      <c r="L67" s="21">
        <v>0</v>
      </c>
    </row>
    <row r="68" ht="21.05" customHeight="1" spans="1:12">
      <c r="A68" s="21"/>
      <c r="B68" s="22"/>
      <c r="C68" s="22"/>
      <c r="D68" s="22"/>
      <c r="E68" s="22"/>
      <c r="F68" s="22" t="s">
        <v>852</v>
      </c>
      <c r="G68" s="21">
        <v>27.34</v>
      </c>
      <c r="H68" s="21">
        <v>1164.59</v>
      </c>
      <c r="I68" s="21">
        <v>27.3598</v>
      </c>
      <c r="J68" s="23">
        <v>-0.0198</v>
      </c>
      <c r="K68" s="21">
        <v>1168.3073</v>
      </c>
      <c r="L68" s="21">
        <v>1168.3073</v>
      </c>
    </row>
    <row r="69" ht="21.05" customHeight="1" spans="1:12">
      <c r="A69" s="21"/>
      <c r="B69" s="22"/>
      <c r="C69" s="22"/>
      <c r="D69" s="22"/>
      <c r="E69" s="22"/>
      <c r="F69" s="22" t="s">
        <v>876</v>
      </c>
      <c r="G69" s="21">
        <v>0</v>
      </c>
      <c r="H69" s="21">
        <v>0</v>
      </c>
      <c r="I69" s="21">
        <v>0</v>
      </c>
      <c r="J69" s="23">
        <v>0</v>
      </c>
      <c r="K69" s="21">
        <v>0</v>
      </c>
      <c r="L69" s="21">
        <v>0</v>
      </c>
    </row>
    <row r="70" ht="21.05" customHeight="1" spans="1:12">
      <c r="A70" s="21"/>
      <c r="B70" s="22"/>
      <c r="C70" s="22"/>
      <c r="D70" s="22"/>
      <c r="E70" s="22"/>
      <c r="F70" s="22" t="s">
        <v>858</v>
      </c>
      <c r="G70" s="21">
        <v>0</v>
      </c>
      <c r="H70" s="21">
        <v>0</v>
      </c>
      <c r="I70" s="21">
        <v>0</v>
      </c>
      <c r="J70" s="23">
        <v>0</v>
      </c>
      <c r="K70" s="21">
        <v>0</v>
      </c>
      <c r="L70" s="21">
        <v>0</v>
      </c>
    </row>
    <row r="71" ht="21.05" customHeight="1" spans="1:12">
      <c r="A71" s="21"/>
      <c r="B71" s="22"/>
      <c r="C71" s="22"/>
      <c r="D71" s="22"/>
      <c r="E71" s="22"/>
      <c r="F71" s="22" t="s">
        <v>859</v>
      </c>
      <c r="G71" s="21">
        <v>0</v>
      </c>
      <c r="H71" s="21">
        <v>0</v>
      </c>
      <c r="I71" s="21">
        <v>0</v>
      </c>
      <c r="J71" s="23">
        <v>0</v>
      </c>
      <c r="K71" s="21">
        <v>0</v>
      </c>
      <c r="L71" s="21">
        <v>0</v>
      </c>
    </row>
    <row r="72" ht="21.05" customHeight="1" spans="1:12">
      <c r="A72" s="21"/>
      <c r="B72" s="22"/>
      <c r="C72" s="22"/>
      <c r="D72" s="22"/>
      <c r="E72" s="22"/>
      <c r="F72" s="22" t="s">
        <v>877</v>
      </c>
      <c r="G72" s="21">
        <v>0</v>
      </c>
      <c r="H72" s="21">
        <v>0</v>
      </c>
      <c r="I72" s="21">
        <v>0</v>
      </c>
      <c r="J72" s="23">
        <v>0</v>
      </c>
      <c r="K72" s="21">
        <v>0</v>
      </c>
      <c r="L72" s="21">
        <v>0</v>
      </c>
    </row>
    <row r="73" ht="21.05" customHeight="1" spans="1:12">
      <c r="A73" s="21"/>
      <c r="B73" s="22"/>
      <c r="C73" s="22"/>
      <c r="D73" s="22"/>
      <c r="E73" s="22"/>
      <c r="F73" s="22" t="s">
        <v>878</v>
      </c>
      <c r="G73" s="21">
        <v>0</v>
      </c>
      <c r="H73" s="21">
        <v>0</v>
      </c>
      <c r="I73" s="21">
        <v>0</v>
      </c>
      <c r="J73" s="23">
        <v>0</v>
      </c>
      <c r="K73" s="21">
        <v>0</v>
      </c>
      <c r="L73" s="21">
        <v>0</v>
      </c>
    </row>
    <row r="74" ht="21.05" customHeight="1" spans="1:12">
      <c r="A74" s="21"/>
      <c r="B74" s="22"/>
      <c r="C74" s="22"/>
      <c r="D74" s="22"/>
      <c r="E74" s="22"/>
      <c r="F74" s="22" t="s">
        <v>879</v>
      </c>
      <c r="G74" s="21">
        <v>0</v>
      </c>
      <c r="H74" s="21">
        <v>0</v>
      </c>
      <c r="I74" s="21">
        <v>0</v>
      </c>
      <c r="J74" s="23">
        <v>0</v>
      </c>
      <c r="K74" s="21">
        <v>0</v>
      </c>
      <c r="L74" s="21">
        <v>0</v>
      </c>
    </row>
    <row r="75" ht="21.05" customHeight="1" spans="1:12">
      <c r="A75" s="21"/>
      <c r="B75" s="22"/>
      <c r="C75" s="22"/>
      <c r="D75" s="22"/>
      <c r="E75" s="22"/>
      <c r="F75" s="22" t="s">
        <v>880</v>
      </c>
      <c r="G75" s="21">
        <v>0</v>
      </c>
      <c r="H75" s="21">
        <v>0</v>
      </c>
      <c r="I75" s="21">
        <v>0</v>
      </c>
      <c r="J75" s="23">
        <v>0</v>
      </c>
      <c r="K75" s="21">
        <v>0</v>
      </c>
      <c r="L75" s="21">
        <v>0</v>
      </c>
    </row>
    <row r="76" ht="21.05" customHeight="1" spans="1:12">
      <c r="A76" s="21"/>
      <c r="B76" s="22"/>
      <c r="C76" s="22"/>
      <c r="D76" s="22"/>
      <c r="E76" s="22"/>
      <c r="F76" s="22" t="s">
        <v>870</v>
      </c>
      <c r="G76" s="21">
        <v>0</v>
      </c>
      <c r="H76" s="21">
        <v>0</v>
      </c>
      <c r="I76" s="21">
        <v>0</v>
      </c>
      <c r="J76" s="23">
        <v>0</v>
      </c>
      <c r="K76" s="21">
        <v>0</v>
      </c>
      <c r="L76" s="21">
        <v>0</v>
      </c>
    </row>
    <row r="77" ht="21.05" customHeight="1" spans="1:12">
      <c r="A77" s="21"/>
      <c r="B77" s="22"/>
      <c r="C77" s="22"/>
      <c r="D77" s="22"/>
      <c r="E77" s="22"/>
      <c r="F77" s="22" t="s">
        <v>881</v>
      </c>
      <c r="G77" s="21">
        <v>0</v>
      </c>
      <c r="H77" s="21">
        <v>0</v>
      </c>
      <c r="I77" s="21">
        <v>0</v>
      </c>
      <c r="J77" s="23">
        <v>0</v>
      </c>
      <c r="K77" s="21">
        <v>0</v>
      </c>
      <c r="L77" s="21">
        <v>0</v>
      </c>
    </row>
    <row r="78" ht="21.05" customHeight="1" spans="1:12">
      <c r="A78" s="21"/>
      <c r="B78" s="22"/>
      <c r="C78" s="22"/>
      <c r="D78" s="22"/>
      <c r="E78" s="22"/>
      <c r="F78" s="22" t="s">
        <v>864</v>
      </c>
      <c r="G78" s="21">
        <v>14</v>
      </c>
      <c r="H78" s="21">
        <v>756</v>
      </c>
      <c r="I78" s="21">
        <v>14.0102</v>
      </c>
      <c r="J78" s="23">
        <v>-0.0102</v>
      </c>
      <c r="K78" s="21">
        <v>758.4677</v>
      </c>
      <c r="L78" s="21">
        <v>758.4677</v>
      </c>
    </row>
    <row r="79" ht="21.05" customHeight="1" spans="1:12">
      <c r="A79" s="21"/>
      <c r="B79" s="22"/>
      <c r="C79" s="22"/>
      <c r="D79" s="22"/>
      <c r="E79" s="22"/>
      <c r="F79" s="22" t="s">
        <v>882</v>
      </c>
      <c r="G79" s="21">
        <v>0</v>
      </c>
      <c r="H79" s="21">
        <v>0</v>
      </c>
      <c r="I79" s="21">
        <v>0</v>
      </c>
      <c r="J79" s="23">
        <v>0</v>
      </c>
      <c r="K79" s="21">
        <v>0</v>
      </c>
      <c r="L79" s="21">
        <v>0</v>
      </c>
    </row>
    <row r="80" ht="21.05" customHeight="1" spans="1:12">
      <c r="A80" s="21"/>
      <c r="B80" s="22"/>
      <c r="C80" s="22"/>
      <c r="D80" s="22" t="s">
        <v>883</v>
      </c>
      <c r="E80" s="22" t="s">
        <v>276</v>
      </c>
      <c r="F80" s="22" t="s">
        <v>852</v>
      </c>
      <c r="G80" s="21">
        <v>0</v>
      </c>
      <c r="H80" s="21">
        <v>0</v>
      </c>
      <c r="I80" s="21">
        <v>0</v>
      </c>
      <c r="J80" s="23">
        <v>0</v>
      </c>
      <c r="K80" s="21">
        <v>0</v>
      </c>
      <c r="L80" s="21">
        <v>0</v>
      </c>
    </row>
    <row r="81" ht="21.05" customHeight="1" spans="1:12">
      <c r="A81" s="21"/>
      <c r="B81" s="22"/>
      <c r="C81" s="22"/>
      <c r="D81" s="22" t="s">
        <v>291</v>
      </c>
      <c r="E81" s="22" t="s">
        <v>276</v>
      </c>
      <c r="F81" s="22" t="s">
        <v>852</v>
      </c>
      <c r="G81" s="21">
        <v>0</v>
      </c>
      <c r="H81" s="21">
        <v>0</v>
      </c>
      <c r="I81" s="21">
        <v>0</v>
      </c>
      <c r="J81" s="23">
        <v>0</v>
      </c>
      <c r="K81" s="21">
        <v>0</v>
      </c>
      <c r="L81" s="21">
        <v>0</v>
      </c>
    </row>
    <row r="82" ht="21.05" customHeight="1" spans="1:12">
      <c r="A82" s="10" t="s">
        <v>292</v>
      </c>
      <c r="B82" s="10" t="s">
        <v>293</v>
      </c>
      <c r="C82" s="10" t="s">
        <v>294</v>
      </c>
      <c r="D82" s="10" t="s">
        <v>295</v>
      </c>
      <c r="E82" s="10" t="s">
        <v>296</v>
      </c>
      <c r="F82" s="10" t="s">
        <v>856</v>
      </c>
      <c r="G82" s="24">
        <v>0</v>
      </c>
      <c r="H82" s="24">
        <v>0</v>
      </c>
      <c r="I82" s="24">
        <v>0</v>
      </c>
      <c r="J82" s="25">
        <v>0</v>
      </c>
      <c r="K82" s="24">
        <v>0</v>
      </c>
      <c r="L82" s="24">
        <v>0</v>
      </c>
    </row>
    <row r="83" ht="21.05" customHeight="1" spans="1:12">
      <c r="A83" s="10"/>
      <c r="B83" s="10"/>
      <c r="C83" s="10"/>
      <c r="D83" s="10"/>
      <c r="E83" s="10"/>
      <c r="F83" s="10" t="s">
        <v>852</v>
      </c>
      <c r="G83" s="24">
        <v>0</v>
      </c>
      <c r="H83" s="24">
        <v>110</v>
      </c>
      <c r="I83" s="24">
        <v>0</v>
      </c>
      <c r="J83" s="25">
        <v>0</v>
      </c>
      <c r="K83" s="24">
        <v>107.1295</v>
      </c>
      <c r="L83" s="24">
        <v>107.1295</v>
      </c>
    </row>
    <row r="84" ht="21.05" customHeight="1" spans="1:12">
      <c r="A84" s="10"/>
      <c r="B84" s="10"/>
      <c r="C84" s="10"/>
      <c r="D84" s="10"/>
      <c r="E84" s="10"/>
      <c r="F84" s="10" t="s">
        <v>864</v>
      </c>
      <c r="G84" s="24">
        <v>0.5</v>
      </c>
      <c r="H84" s="24">
        <v>137.8</v>
      </c>
      <c r="I84" s="24">
        <v>0.5626</v>
      </c>
      <c r="J84" s="25">
        <v>-0.0626</v>
      </c>
      <c r="K84" s="24">
        <v>123.028</v>
      </c>
      <c r="L84" s="24">
        <v>123.028</v>
      </c>
    </row>
    <row r="85" ht="21.05" customHeight="1" spans="1:12">
      <c r="A85" s="10"/>
      <c r="B85" s="10" t="s">
        <v>300</v>
      </c>
      <c r="C85" s="10" t="s">
        <v>301</v>
      </c>
      <c r="D85" s="10" t="s">
        <v>302</v>
      </c>
      <c r="E85" s="10" t="s">
        <v>276</v>
      </c>
      <c r="F85" s="10" t="s">
        <v>852</v>
      </c>
      <c r="G85" s="24">
        <v>6</v>
      </c>
      <c r="H85" s="24">
        <v>327.9</v>
      </c>
      <c r="I85" s="24">
        <v>6.0035</v>
      </c>
      <c r="J85" s="25">
        <v>-0.0035</v>
      </c>
      <c r="K85" s="24">
        <v>327.9434</v>
      </c>
      <c r="L85" s="24">
        <v>327.9434</v>
      </c>
    </row>
    <row r="86" ht="21.05" customHeight="1" spans="1:12">
      <c r="A86" s="10"/>
      <c r="B86" s="10"/>
      <c r="C86" s="10"/>
      <c r="D86" s="10"/>
      <c r="E86" s="10"/>
      <c r="F86" s="10" t="s">
        <v>859</v>
      </c>
      <c r="G86" s="24">
        <v>1.6</v>
      </c>
      <c r="H86" s="24">
        <v>55.1</v>
      </c>
      <c r="I86" s="24">
        <v>1.601</v>
      </c>
      <c r="J86" s="25">
        <v>-0.001</v>
      </c>
      <c r="K86" s="24">
        <v>55.1082</v>
      </c>
      <c r="L86" s="24">
        <v>55.1082</v>
      </c>
    </row>
    <row r="87" ht="21.05" customHeight="1" spans="1:12">
      <c r="A87" s="10"/>
      <c r="B87" s="10"/>
      <c r="C87" s="10"/>
      <c r="D87" s="10"/>
      <c r="E87" s="10"/>
      <c r="F87" s="10" t="s">
        <v>861</v>
      </c>
      <c r="G87" s="24">
        <v>0</v>
      </c>
      <c r="H87" s="24">
        <v>0</v>
      </c>
      <c r="I87" s="24">
        <v>0</v>
      </c>
      <c r="J87" s="25">
        <v>0</v>
      </c>
      <c r="K87" s="24">
        <v>0</v>
      </c>
      <c r="L87" s="24">
        <v>0</v>
      </c>
    </row>
    <row r="88" ht="21.05" customHeight="1" spans="1:12">
      <c r="A88" s="10"/>
      <c r="B88" s="10"/>
      <c r="C88" s="10"/>
      <c r="D88" s="10"/>
      <c r="E88" s="10"/>
      <c r="F88" s="10" t="s">
        <v>884</v>
      </c>
      <c r="G88" s="24">
        <v>0</v>
      </c>
      <c r="H88" s="24">
        <v>0</v>
      </c>
      <c r="I88" s="24">
        <v>0</v>
      </c>
      <c r="J88" s="25">
        <v>0</v>
      </c>
      <c r="K88" s="24">
        <v>0</v>
      </c>
      <c r="L88" s="24">
        <v>0</v>
      </c>
    </row>
    <row r="89" ht="21.05" customHeight="1" spans="1:12">
      <c r="A89" s="10"/>
      <c r="B89" s="10"/>
      <c r="C89" s="10"/>
      <c r="D89" s="10"/>
      <c r="E89" s="10"/>
      <c r="F89" s="10" t="s">
        <v>864</v>
      </c>
      <c r="G89" s="24">
        <v>3</v>
      </c>
      <c r="H89" s="24">
        <v>271.5</v>
      </c>
      <c r="I89" s="24">
        <v>3.0018</v>
      </c>
      <c r="J89" s="25">
        <v>-0.0018</v>
      </c>
      <c r="K89" s="24">
        <v>271.5322</v>
      </c>
      <c r="L89" s="24">
        <v>271.5322</v>
      </c>
    </row>
    <row r="90" ht="21.05" customHeight="1" spans="1:12">
      <c r="A90" s="10"/>
      <c r="B90" s="10"/>
      <c r="C90" s="10"/>
      <c r="D90" s="10"/>
      <c r="E90" s="10"/>
      <c r="F90" s="10" t="s">
        <v>885</v>
      </c>
      <c r="G90" s="24">
        <v>0</v>
      </c>
      <c r="H90" s="24">
        <v>0</v>
      </c>
      <c r="I90" s="24">
        <v>0</v>
      </c>
      <c r="J90" s="25">
        <v>0</v>
      </c>
      <c r="K90" s="24">
        <v>0</v>
      </c>
      <c r="L90" s="24">
        <v>0</v>
      </c>
    </row>
    <row r="91" ht="21.05" customHeight="1" spans="1:12">
      <c r="A91" s="10"/>
      <c r="B91" s="10"/>
      <c r="C91" s="10" t="s">
        <v>304</v>
      </c>
      <c r="D91" s="10" t="s">
        <v>305</v>
      </c>
      <c r="E91" s="10" t="s">
        <v>296</v>
      </c>
      <c r="F91" s="10" t="s">
        <v>852</v>
      </c>
      <c r="G91" s="24">
        <v>0</v>
      </c>
      <c r="H91" s="24">
        <v>48.65</v>
      </c>
      <c r="I91" s="24">
        <v>0</v>
      </c>
      <c r="J91" s="25">
        <v>0</v>
      </c>
      <c r="K91" s="24">
        <v>49.197</v>
      </c>
      <c r="L91" s="24">
        <v>49.197</v>
      </c>
    </row>
    <row r="92" ht="21.05" customHeight="1" spans="1:12">
      <c r="A92" s="10"/>
      <c r="B92" s="10"/>
      <c r="C92" s="10"/>
      <c r="D92" s="10"/>
      <c r="E92" s="10"/>
      <c r="F92" s="10" t="s">
        <v>861</v>
      </c>
      <c r="G92" s="24">
        <v>0</v>
      </c>
      <c r="H92" s="24">
        <v>0</v>
      </c>
      <c r="I92" s="24">
        <v>0</v>
      </c>
      <c r="J92" s="25">
        <v>0</v>
      </c>
      <c r="K92" s="24">
        <v>0</v>
      </c>
      <c r="L92" s="24">
        <v>0</v>
      </c>
    </row>
    <row r="93" ht="21.05" customHeight="1" spans="1:12">
      <c r="A93" s="10"/>
      <c r="B93" s="10"/>
      <c r="C93" s="10"/>
      <c r="D93" s="10"/>
      <c r="E93" s="10"/>
      <c r="F93" s="10" t="s">
        <v>886</v>
      </c>
      <c r="G93" s="24">
        <v>0</v>
      </c>
      <c r="H93" s="24">
        <v>0</v>
      </c>
      <c r="I93" s="24">
        <v>0</v>
      </c>
      <c r="J93" s="25">
        <v>0</v>
      </c>
      <c r="K93" s="24">
        <v>0</v>
      </c>
      <c r="L93" s="24">
        <v>0</v>
      </c>
    </row>
    <row r="94" ht="21.05" customHeight="1" spans="1:12">
      <c r="A94" s="10"/>
      <c r="B94" s="10"/>
      <c r="C94" s="10"/>
      <c r="D94" s="10"/>
      <c r="E94" s="10"/>
      <c r="F94" s="10" t="s">
        <v>864</v>
      </c>
      <c r="G94" s="24">
        <v>0</v>
      </c>
      <c r="H94" s="24">
        <v>23.9</v>
      </c>
      <c r="I94" s="24">
        <v>0</v>
      </c>
      <c r="J94" s="25">
        <v>0</v>
      </c>
      <c r="K94" s="24">
        <v>21.876</v>
      </c>
      <c r="L94" s="24">
        <v>21.876</v>
      </c>
    </row>
    <row r="95" ht="21.05" customHeight="1" spans="1:12">
      <c r="A95" s="10"/>
      <c r="B95" s="10"/>
      <c r="C95" s="10" t="s">
        <v>306</v>
      </c>
      <c r="D95" s="10" t="s">
        <v>307</v>
      </c>
      <c r="E95" s="10" t="s">
        <v>296</v>
      </c>
      <c r="F95" s="10" t="s">
        <v>869</v>
      </c>
      <c r="G95" s="24">
        <v>0</v>
      </c>
      <c r="H95" s="24">
        <v>0</v>
      </c>
      <c r="I95" s="24">
        <v>0</v>
      </c>
      <c r="J95" s="25">
        <v>0</v>
      </c>
      <c r="K95" s="24">
        <v>0</v>
      </c>
      <c r="L95" s="24">
        <v>0</v>
      </c>
    </row>
    <row r="96" ht="21.05" customHeight="1" spans="1:12">
      <c r="A96" s="10"/>
      <c r="B96" s="10"/>
      <c r="C96" s="10"/>
      <c r="D96" s="10"/>
      <c r="E96" s="10"/>
      <c r="F96" s="10" t="s">
        <v>857</v>
      </c>
      <c r="G96" s="24">
        <v>0</v>
      </c>
      <c r="H96" s="24">
        <v>0</v>
      </c>
      <c r="I96" s="24">
        <v>0</v>
      </c>
      <c r="J96" s="25">
        <v>0</v>
      </c>
      <c r="K96" s="24">
        <v>0</v>
      </c>
      <c r="L96" s="24">
        <v>0</v>
      </c>
    </row>
    <row r="97" ht="21.05" customHeight="1" spans="1:12">
      <c r="A97" s="10"/>
      <c r="B97" s="10"/>
      <c r="C97" s="10"/>
      <c r="D97" s="10"/>
      <c r="E97" s="10"/>
      <c r="F97" s="10" t="s">
        <v>852</v>
      </c>
      <c r="G97" s="24">
        <v>71</v>
      </c>
      <c r="H97" s="24">
        <v>7304.7</v>
      </c>
      <c r="I97" s="24">
        <v>70.993</v>
      </c>
      <c r="J97" s="25">
        <v>0.007</v>
      </c>
      <c r="K97" s="24">
        <v>7262.2868</v>
      </c>
      <c r="L97" s="24">
        <v>7262.2868</v>
      </c>
    </row>
    <row r="98" ht="21.05" customHeight="1" spans="1:12">
      <c r="A98" s="10"/>
      <c r="B98" s="10"/>
      <c r="C98" s="10"/>
      <c r="D98" s="10"/>
      <c r="E98" s="10"/>
      <c r="F98" s="10" t="s">
        <v>879</v>
      </c>
      <c r="G98" s="24">
        <v>0</v>
      </c>
      <c r="H98" s="24">
        <v>0</v>
      </c>
      <c r="I98" s="24">
        <v>0</v>
      </c>
      <c r="J98" s="25">
        <v>0</v>
      </c>
      <c r="K98" s="24">
        <v>0</v>
      </c>
      <c r="L98" s="24">
        <v>0</v>
      </c>
    </row>
    <row r="99" ht="21.05" customHeight="1" spans="1:12">
      <c r="A99" s="10"/>
      <c r="B99" s="10"/>
      <c r="C99" s="10"/>
      <c r="D99" s="10"/>
      <c r="E99" s="10"/>
      <c r="F99" s="10" t="s">
        <v>860</v>
      </c>
      <c r="G99" s="24">
        <v>0</v>
      </c>
      <c r="H99" s="24">
        <v>0</v>
      </c>
      <c r="I99" s="24">
        <v>0</v>
      </c>
      <c r="J99" s="25">
        <v>0</v>
      </c>
      <c r="K99" s="24">
        <v>0</v>
      </c>
      <c r="L99" s="24">
        <v>0</v>
      </c>
    </row>
    <row r="100" ht="21.05" customHeight="1" spans="1:12">
      <c r="A100" s="10"/>
      <c r="B100" s="10"/>
      <c r="C100" s="10"/>
      <c r="D100" s="10"/>
      <c r="E100" s="10"/>
      <c r="F100" s="10" t="s">
        <v>887</v>
      </c>
      <c r="G100" s="24">
        <v>0</v>
      </c>
      <c r="H100" s="24">
        <v>0</v>
      </c>
      <c r="I100" s="24">
        <v>0</v>
      </c>
      <c r="J100" s="25">
        <v>0</v>
      </c>
      <c r="K100" s="24">
        <v>0</v>
      </c>
      <c r="L100" s="24">
        <v>0</v>
      </c>
    </row>
    <row r="101" ht="21.05" customHeight="1" spans="1:12">
      <c r="A101" s="10"/>
      <c r="B101" s="10"/>
      <c r="C101" s="10"/>
      <c r="D101" s="10"/>
      <c r="E101" s="10"/>
      <c r="F101" s="10" t="s">
        <v>864</v>
      </c>
      <c r="G101" s="24">
        <v>0</v>
      </c>
      <c r="H101" s="24">
        <v>0</v>
      </c>
      <c r="I101" s="24">
        <v>0</v>
      </c>
      <c r="J101" s="25">
        <v>0</v>
      </c>
      <c r="K101" s="24">
        <v>0</v>
      </c>
      <c r="L101" s="24">
        <v>0</v>
      </c>
    </row>
    <row r="102" ht="21.05" customHeight="1" spans="1:12">
      <c r="A102" s="10"/>
      <c r="B102" s="10"/>
      <c r="C102" s="10" t="s">
        <v>309</v>
      </c>
      <c r="D102" s="10" t="s">
        <v>310</v>
      </c>
      <c r="E102" s="10" t="s">
        <v>296</v>
      </c>
      <c r="F102" s="10" t="s">
        <v>869</v>
      </c>
      <c r="G102" s="24">
        <v>0</v>
      </c>
      <c r="H102" s="24">
        <v>0</v>
      </c>
      <c r="I102" s="24">
        <v>0</v>
      </c>
      <c r="J102" s="25">
        <v>0</v>
      </c>
      <c r="K102" s="24">
        <v>0</v>
      </c>
      <c r="L102" s="24">
        <v>0</v>
      </c>
    </row>
    <row r="103" ht="21.05" customHeight="1" spans="1:12">
      <c r="A103" s="10"/>
      <c r="B103" s="10"/>
      <c r="C103" s="10"/>
      <c r="D103" s="10"/>
      <c r="E103" s="10"/>
      <c r="F103" s="10" t="s">
        <v>852</v>
      </c>
      <c r="G103" s="24">
        <v>28</v>
      </c>
      <c r="H103" s="24">
        <v>1029</v>
      </c>
      <c r="I103" s="24">
        <v>26.046</v>
      </c>
      <c r="J103" s="25">
        <v>1.954</v>
      </c>
      <c r="K103" s="24">
        <v>1019.995</v>
      </c>
      <c r="L103" s="24">
        <v>1019.995</v>
      </c>
    </row>
    <row r="104" ht="21.05" customHeight="1" spans="1:12">
      <c r="A104" s="10"/>
      <c r="B104" s="10"/>
      <c r="C104" s="10"/>
      <c r="D104" s="10"/>
      <c r="E104" s="10"/>
      <c r="F104" s="10" t="s">
        <v>864</v>
      </c>
      <c r="G104" s="24">
        <v>0</v>
      </c>
      <c r="H104" s="24">
        <v>0</v>
      </c>
      <c r="I104" s="24">
        <v>0</v>
      </c>
      <c r="J104" s="25">
        <v>0</v>
      </c>
      <c r="K104" s="24">
        <v>0</v>
      </c>
      <c r="L104" s="24">
        <v>0</v>
      </c>
    </row>
    <row r="105" ht="21.05" customHeight="1" spans="1:12">
      <c r="A105" s="10"/>
      <c r="B105" s="10"/>
      <c r="C105" s="10"/>
      <c r="D105" s="10"/>
      <c r="E105" s="10"/>
      <c r="F105" s="10" t="s">
        <v>888</v>
      </c>
      <c r="G105" s="24">
        <v>0</v>
      </c>
      <c r="H105" s="24">
        <v>0</v>
      </c>
      <c r="I105" s="24">
        <v>0</v>
      </c>
      <c r="J105" s="25">
        <v>0</v>
      </c>
      <c r="K105" s="24">
        <v>0</v>
      </c>
      <c r="L105" s="24">
        <v>0</v>
      </c>
    </row>
    <row r="106" ht="21.05" customHeight="1" spans="1:12">
      <c r="A106" s="10"/>
      <c r="B106" s="10"/>
      <c r="C106" s="10" t="s">
        <v>312</v>
      </c>
      <c r="D106" s="10" t="s">
        <v>313</v>
      </c>
      <c r="E106" s="10" t="s">
        <v>276</v>
      </c>
      <c r="F106" s="10" t="s">
        <v>854</v>
      </c>
      <c r="G106" s="24">
        <v>0</v>
      </c>
      <c r="H106" s="24">
        <v>0</v>
      </c>
      <c r="I106" s="24">
        <v>0</v>
      </c>
      <c r="J106" s="25">
        <v>0</v>
      </c>
      <c r="K106" s="24">
        <v>0</v>
      </c>
      <c r="L106" s="24">
        <v>0</v>
      </c>
    </row>
    <row r="107" ht="21.05" customHeight="1" spans="1:12">
      <c r="A107" s="10"/>
      <c r="B107" s="10"/>
      <c r="C107" s="10"/>
      <c r="D107" s="10"/>
      <c r="E107" s="10"/>
      <c r="F107" s="10" t="s">
        <v>869</v>
      </c>
      <c r="G107" s="24">
        <v>0</v>
      </c>
      <c r="H107" s="24">
        <v>0</v>
      </c>
      <c r="I107" s="24">
        <v>0</v>
      </c>
      <c r="J107" s="25">
        <v>0</v>
      </c>
      <c r="K107" s="24">
        <v>0</v>
      </c>
      <c r="L107" s="24">
        <v>0</v>
      </c>
    </row>
    <row r="108" ht="21.05" customHeight="1" spans="1:12">
      <c r="A108" s="10"/>
      <c r="B108" s="10"/>
      <c r="C108" s="10"/>
      <c r="D108" s="10"/>
      <c r="E108" s="10"/>
      <c r="F108" s="10" t="s">
        <v>857</v>
      </c>
      <c r="G108" s="24">
        <v>0</v>
      </c>
      <c r="H108" s="24">
        <v>0</v>
      </c>
      <c r="I108" s="24">
        <v>0</v>
      </c>
      <c r="J108" s="25">
        <v>0</v>
      </c>
      <c r="K108" s="24">
        <v>0</v>
      </c>
      <c r="L108" s="24">
        <v>0</v>
      </c>
    </row>
    <row r="109" ht="21.05" customHeight="1" spans="1:12">
      <c r="A109" s="10"/>
      <c r="B109" s="10"/>
      <c r="C109" s="10"/>
      <c r="D109" s="10"/>
      <c r="E109" s="10"/>
      <c r="F109" s="10" t="s">
        <v>852</v>
      </c>
      <c r="G109" s="24">
        <v>2</v>
      </c>
      <c r="H109" s="24">
        <v>90</v>
      </c>
      <c r="I109" s="24">
        <v>2.0019</v>
      </c>
      <c r="J109" s="25">
        <v>-0.0019</v>
      </c>
      <c r="K109" s="24">
        <v>90.039</v>
      </c>
      <c r="L109" s="24">
        <v>90.039</v>
      </c>
    </row>
    <row r="110" ht="21.05" customHeight="1" spans="1:12">
      <c r="A110" s="10"/>
      <c r="B110" s="10"/>
      <c r="C110" s="10"/>
      <c r="D110" s="10"/>
      <c r="E110" s="10"/>
      <c r="F110" s="10" t="s">
        <v>859</v>
      </c>
      <c r="G110" s="24">
        <v>0</v>
      </c>
      <c r="H110" s="24">
        <v>10.95</v>
      </c>
      <c r="I110" s="24">
        <v>0</v>
      </c>
      <c r="J110" s="25">
        <v>0</v>
      </c>
      <c r="K110" s="24">
        <v>10.955</v>
      </c>
      <c r="L110" s="24">
        <v>10.955</v>
      </c>
    </row>
    <row r="111" ht="21.05" customHeight="1" spans="1:12">
      <c r="A111" s="10"/>
      <c r="B111" s="10"/>
      <c r="C111" s="10"/>
      <c r="D111" s="10"/>
      <c r="E111" s="10"/>
      <c r="F111" s="10" t="s">
        <v>860</v>
      </c>
      <c r="G111" s="24">
        <v>0</v>
      </c>
      <c r="H111" s="24">
        <v>0</v>
      </c>
      <c r="I111" s="24">
        <v>0</v>
      </c>
      <c r="J111" s="25">
        <v>0</v>
      </c>
      <c r="K111" s="24">
        <v>0</v>
      </c>
      <c r="L111" s="24">
        <v>0</v>
      </c>
    </row>
    <row r="112" ht="21.05" customHeight="1" spans="1:12">
      <c r="A112" s="10"/>
      <c r="B112" s="10"/>
      <c r="C112" s="10"/>
      <c r="D112" s="10"/>
      <c r="E112" s="10"/>
      <c r="F112" s="10" t="s">
        <v>870</v>
      </c>
      <c r="G112" s="24">
        <v>0</v>
      </c>
      <c r="H112" s="24">
        <v>0</v>
      </c>
      <c r="I112" s="24">
        <v>0</v>
      </c>
      <c r="J112" s="25">
        <v>0</v>
      </c>
      <c r="K112" s="24">
        <v>0</v>
      </c>
      <c r="L112" s="24">
        <v>0</v>
      </c>
    </row>
    <row r="113" ht="21.05" customHeight="1" spans="1:12">
      <c r="A113" s="10"/>
      <c r="B113" s="10"/>
      <c r="C113" s="10"/>
      <c r="D113" s="10"/>
      <c r="E113" s="10"/>
      <c r="F113" s="10" t="s">
        <v>889</v>
      </c>
      <c r="G113" s="24">
        <v>0</v>
      </c>
      <c r="H113" s="24">
        <v>0</v>
      </c>
      <c r="I113" s="24">
        <v>0</v>
      </c>
      <c r="J113" s="25">
        <v>0</v>
      </c>
      <c r="K113" s="24">
        <v>0</v>
      </c>
      <c r="L113" s="24">
        <v>0</v>
      </c>
    </row>
    <row r="114" ht="21.05" customHeight="1" spans="1:12">
      <c r="A114" s="10"/>
      <c r="B114" s="10"/>
      <c r="C114" s="10"/>
      <c r="D114" s="10"/>
      <c r="E114" s="10"/>
      <c r="F114" s="10" t="s">
        <v>864</v>
      </c>
      <c r="G114" s="24">
        <v>2.3</v>
      </c>
      <c r="H114" s="24">
        <v>96</v>
      </c>
      <c r="I114" s="24">
        <v>2.3021</v>
      </c>
      <c r="J114" s="25">
        <v>-0.0021</v>
      </c>
      <c r="K114" s="24">
        <v>96.042</v>
      </c>
      <c r="L114" s="24">
        <v>96.042</v>
      </c>
    </row>
    <row r="115" ht="21.05" customHeight="1" spans="1:12">
      <c r="A115" s="10"/>
      <c r="B115" s="10"/>
      <c r="C115" s="10"/>
      <c r="D115" s="10"/>
      <c r="E115" s="10"/>
      <c r="F115" s="10" t="s">
        <v>885</v>
      </c>
      <c r="G115" s="24">
        <v>0</v>
      </c>
      <c r="H115" s="24">
        <v>0</v>
      </c>
      <c r="I115" s="24">
        <v>0</v>
      </c>
      <c r="J115" s="25">
        <v>0</v>
      </c>
      <c r="K115" s="24">
        <v>0</v>
      </c>
      <c r="L115" s="24">
        <v>0</v>
      </c>
    </row>
    <row r="116" ht="21.05" customHeight="1" spans="1:12">
      <c r="A116" s="10"/>
      <c r="B116" s="10"/>
      <c r="C116" s="10"/>
      <c r="D116" s="10"/>
      <c r="E116" s="10"/>
      <c r="F116" s="10" t="s">
        <v>888</v>
      </c>
      <c r="G116" s="24">
        <v>0</v>
      </c>
      <c r="H116" s="24">
        <v>0</v>
      </c>
      <c r="I116" s="24">
        <v>0</v>
      </c>
      <c r="J116" s="25">
        <v>0</v>
      </c>
      <c r="K116" s="24">
        <v>0</v>
      </c>
      <c r="L116" s="24">
        <v>0</v>
      </c>
    </row>
    <row r="117" ht="21.05" customHeight="1" spans="1:12">
      <c r="A117" s="10"/>
      <c r="B117" s="10"/>
      <c r="C117" s="10" t="s">
        <v>315</v>
      </c>
      <c r="D117" s="10" t="s">
        <v>316</v>
      </c>
      <c r="E117" s="10" t="s">
        <v>296</v>
      </c>
      <c r="F117" s="10" t="s">
        <v>855</v>
      </c>
      <c r="G117" s="24">
        <v>0</v>
      </c>
      <c r="H117" s="24">
        <v>0</v>
      </c>
      <c r="I117" s="24">
        <v>0</v>
      </c>
      <c r="J117" s="25">
        <v>0</v>
      </c>
      <c r="K117" s="24">
        <v>0</v>
      </c>
      <c r="L117" s="24">
        <v>0</v>
      </c>
    </row>
    <row r="118" ht="21.05" customHeight="1" spans="1:12">
      <c r="A118" s="10"/>
      <c r="B118" s="10"/>
      <c r="C118" s="10"/>
      <c r="D118" s="10"/>
      <c r="E118" s="10"/>
      <c r="F118" s="10" t="s">
        <v>869</v>
      </c>
      <c r="G118" s="24">
        <v>0</v>
      </c>
      <c r="H118" s="24">
        <v>0</v>
      </c>
      <c r="I118" s="24">
        <v>0</v>
      </c>
      <c r="J118" s="25">
        <v>0</v>
      </c>
      <c r="K118" s="24">
        <v>0</v>
      </c>
      <c r="L118" s="24">
        <v>0</v>
      </c>
    </row>
    <row r="119" ht="21.05" customHeight="1" spans="1:12">
      <c r="A119" s="10"/>
      <c r="B119" s="10"/>
      <c r="C119" s="10"/>
      <c r="D119" s="10"/>
      <c r="E119" s="10"/>
      <c r="F119" s="10" t="s">
        <v>852</v>
      </c>
      <c r="G119" s="24">
        <v>16.26</v>
      </c>
      <c r="H119" s="24">
        <v>678.6</v>
      </c>
      <c r="I119" s="24">
        <v>15.3743</v>
      </c>
      <c r="J119" s="25">
        <v>0.8857</v>
      </c>
      <c r="K119" s="24">
        <v>670.6658</v>
      </c>
      <c r="L119" s="24">
        <v>670.6658</v>
      </c>
    </row>
    <row r="120" ht="21.05" customHeight="1" spans="1:12">
      <c r="A120" s="10"/>
      <c r="B120" s="10"/>
      <c r="C120" s="10"/>
      <c r="D120" s="10"/>
      <c r="E120" s="10"/>
      <c r="F120" s="10" t="s">
        <v>859</v>
      </c>
      <c r="G120" s="24">
        <v>0</v>
      </c>
      <c r="H120" s="24">
        <v>0</v>
      </c>
      <c r="I120" s="24">
        <v>0</v>
      </c>
      <c r="J120" s="25">
        <v>0</v>
      </c>
      <c r="K120" s="24">
        <v>0</v>
      </c>
      <c r="L120" s="24">
        <v>0</v>
      </c>
    </row>
    <row r="121" ht="21.05" customHeight="1" spans="1:12">
      <c r="A121" s="10"/>
      <c r="B121" s="10"/>
      <c r="C121" s="10"/>
      <c r="D121" s="10"/>
      <c r="E121" s="10"/>
      <c r="F121" s="10" t="s">
        <v>861</v>
      </c>
      <c r="G121" s="24">
        <v>0</v>
      </c>
      <c r="H121" s="24">
        <v>0</v>
      </c>
      <c r="I121" s="24">
        <v>0</v>
      </c>
      <c r="J121" s="25">
        <v>0</v>
      </c>
      <c r="K121" s="24">
        <v>0</v>
      </c>
      <c r="L121" s="24">
        <v>0</v>
      </c>
    </row>
    <row r="122" ht="21.05" customHeight="1" spans="1:12">
      <c r="A122" s="10"/>
      <c r="B122" s="10"/>
      <c r="C122" s="10"/>
      <c r="D122" s="10"/>
      <c r="E122" s="10"/>
      <c r="F122" s="10" t="s">
        <v>886</v>
      </c>
      <c r="G122" s="24">
        <v>0</v>
      </c>
      <c r="H122" s="24">
        <v>159.5</v>
      </c>
      <c r="I122" s="24">
        <v>0</v>
      </c>
      <c r="J122" s="25">
        <v>0</v>
      </c>
      <c r="K122" s="24">
        <v>157.8593</v>
      </c>
      <c r="L122" s="24">
        <v>157.8593</v>
      </c>
    </row>
    <row r="123" ht="21.05" customHeight="1" spans="1:12">
      <c r="A123" s="10"/>
      <c r="B123" s="10"/>
      <c r="C123" s="10"/>
      <c r="D123" s="10"/>
      <c r="E123" s="10"/>
      <c r="F123" s="10" t="s">
        <v>864</v>
      </c>
      <c r="G123" s="24">
        <v>1.4</v>
      </c>
      <c r="H123" s="24">
        <v>31.4</v>
      </c>
      <c r="I123" s="24">
        <v>1.3237</v>
      </c>
      <c r="J123" s="25">
        <v>0.0763</v>
      </c>
      <c r="K123" s="24">
        <v>30.4039</v>
      </c>
      <c r="L123" s="24">
        <v>30.4039</v>
      </c>
    </row>
    <row r="124" ht="21.05" customHeight="1" spans="1:12">
      <c r="A124" s="10"/>
      <c r="B124" s="10"/>
      <c r="C124" s="10" t="s">
        <v>318</v>
      </c>
      <c r="D124" s="10" t="s">
        <v>319</v>
      </c>
      <c r="E124" s="10" t="s">
        <v>276</v>
      </c>
      <c r="F124" s="10" t="s">
        <v>890</v>
      </c>
      <c r="G124" s="24">
        <v>0</v>
      </c>
      <c r="H124" s="24">
        <v>0</v>
      </c>
      <c r="I124" s="24">
        <v>0</v>
      </c>
      <c r="J124" s="25">
        <v>0</v>
      </c>
      <c r="K124" s="24">
        <v>0</v>
      </c>
      <c r="L124" s="24">
        <v>0</v>
      </c>
    </row>
    <row r="125" ht="21.05" customHeight="1" spans="1:12">
      <c r="A125" s="10"/>
      <c r="B125" s="10"/>
      <c r="C125" s="10"/>
      <c r="D125" s="10"/>
      <c r="E125" s="10"/>
      <c r="F125" s="10" t="s">
        <v>891</v>
      </c>
      <c r="G125" s="24">
        <v>0</v>
      </c>
      <c r="H125" s="24">
        <v>0</v>
      </c>
      <c r="I125" s="24">
        <v>0</v>
      </c>
      <c r="J125" s="25">
        <v>0</v>
      </c>
      <c r="K125" s="24">
        <v>0</v>
      </c>
      <c r="L125" s="24">
        <v>0</v>
      </c>
    </row>
    <row r="126" ht="21.05" customHeight="1" spans="1:12">
      <c r="A126" s="10"/>
      <c r="B126" s="10"/>
      <c r="C126" s="10"/>
      <c r="D126" s="10"/>
      <c r="E126" s="10"/>
      <c r="F126" s="10" t="s">
        <v>854</v>
      </c>
      <c r="G126" s="24">
        <v>0</v>
      </c>
      <c r="H126" s="24">
        <v>0</v>
      </c>
      <c r="I126" s="24">
        <v>0</v>
      </c>
      <c r="J126" s="25">
        <v>0</v>
      </c>
      <c r="K126" s="24">
        <v>0</v>
      </c>
      <c r="L126" s="24">
        <v>0</v>
      </c>
    </row>
    <row r="127" ht="21.05" customHeight="1" spans="1:12">
      <c r="A127" s="10"/>
      <c r="B127" s="10"/>
      <c r="C127" s="10"/>
      <c r="D127" s="10"/>
      <c r="E127" s="10"/>
      <c r="F127" s="10" t="s">
        <v>869</v>
      </c>
      <c r="G127" s="24">
        <v>0</v>
      </c>
      <c r="H127" s="24">
        <v>0</v>
      </c>
      <c r="I127" s="24">
        <v>0</v>
      </c>
      <c r="J127" s="25">
        <v>0</v>
      </c>
      <c r="K127" s="24">
        <v>0</v>
      </c>
      <c r="L127" s="24">
        <v>0</v>
      </c>
    </row>
    <row r="128" ht="21.05" customHeight="1" spans="1:12">
      <c r="A128" s="10"/>
      <c r="B128" s="10"/>
      <c r="C128" s="10"/>
      <c r="D128" s="10"/>
      <c r="E128" s="10"/>
      <c r="F128" s="10" t="s">
        <v>852</v>
      </c>
      <c r="G128" s="24">
        <v>1.5</v>
      </c>
      <c r="H128" s="24">
        <v>69.22</v>
      </c>
      <c r="I128" s="24">
        <v>1.6619</v>
      </c>
      <c r="J128" s="25">
        <v>-0.1619</v>
      </c>
      <c r="K128" s="24">
        <v>72.2557</v>
      </c>
      <c r="L128" s="24">
        <v>72.2557</v>
      </c>
    </row>
    <row r="129" ht="21.05" customHeight="1" spans="1:12">
      <c r="A129" s="10"/>
      <c r="B129" s="10"/>
      <c r="C129" s="10"/>
      <c r="D129" s="10"/>
      <c r="E129" s="10"/>
      <c r="F129" s="10" t="s">
        <v>859</v>
      </c>
      <c r="G129" s="24">
        <v>0.5</v>
      </c>
      <c r="H129" s="24">
        <v>18.05</v>
      </c>
      <c r="I129" s="24">
        <v>0.554</v>
      </c>
      <c r="J129" s="25">
        <v>-0.054</v>
      </c>
      <c r="K129" s="24">
        <v>18.8991</v>
      </c>
      <c r="L129" s="24">
        <v>18.8991</v>
      </c>
    </row>
    <row r="130" ht="21.05" customHeight="1" spans="1:12">
      <c r="A130" s="10"/>
      <c r="B130" s="10"/>
      <c r="C130" s="10"/>
      <c r="D130" s="10"/>
      <c r="E130" s="10"/>
      <c r="F130" s="10" t="s">
        <v>870</v>
      </c>
      <c r="G130" s="24">
        <v>0</v>
      </c>
      <c r="H130" s="24">
        <v>0</v>
      </c>
      <c r="I130" s="24">
        <v>0</v>
      </c>
      <c r="J130" s="25">
        <v>0</v>
      </c>
      <c r="K130" s="24">
        <v>0</v>
      </c>
      <c r="L130" s="24">
        <v>0</v>
      </c>
    </row>
    <row r="131" ht="21.05" customHeight="1" spans="1:12">
      <c r="A131" s="10"/>
      <c r="B131" s="10"/>
      <c r="C131" s="10" t="s">
        <v>321</v>
      </c>
      <c r="D131" s="10" t="s">
        <v>322</v>
      </c>
      <c r="E131" s="10" t="s">
        <v>296</v>
      </c>
      <c r="F131" s="10" t="s">
        <v>852</v>
      </c>
      <c r="G131" s="24">
        <v>0</v>
      </c>
      <c r="H131" s="24">
        <v>0</v>
      </c>
      <c r="I131" s="24">
        <v>0</v>
      </c>
      <c r="J131" s="25">
        <v>0</v>
      </c>
      <c r="K131" s="24">
        <v>0</v>
      </c>
      <c r="L131" s="24">
        <v>0</v>
      </c>
    </row>
    <row r="132" ht="21.05" customHeight="1" spans="1:12">
      <c r="A132" s="10"/>
      <c r="B132" s="10"/>
      <c r="C132" s="10" t="s">
        <v>323</v>
      </c>
      <c r="D132" s="10" t="s">
        <v>324</v>
      </c>
      <c r="E132" s="10" t="s">
        <v>296</v>
      </c>
      <c r="F132" s="10" t="s">
        <v>852</v>
      </c>
      <c r="G132" s="24">
        <v>0.1</v>
      </c>
      <c r="H132" s="24">
        <v>19.95</v>
      </c>
      <c r="I132" s="24">
        <v>0</v>
      </c>
      <c r="J132" s="25">
        <v>0.1</v>
      </c>
      <c r="K132" s="24">
        <v>22.742</v>
      </c>
      <c r="L132" s="24">
        <v>22.742</v>
      </c>
    </row>
    <row r="133" ht="21.05" customHeight="1" spans="1:12">
      <c r="A133" s="10"/>
      <c r="B133" s="10"/>
      <c r="C133" s="10"/>
      <c r="D133" s="10" t="s">
        <v>325</v>
      </c>
      <c r="E133" s="10" t="s">
        <v>296</v>
      </c>
      <c r="F133" s="10" t="s">
        <v>852</v>
      </c>
      <c r="G133" s="24">
        <v>1</v>
      </c>
      <c r="H133" s="24">
        <v>318.6</v>
      </c>
      <c r="I133" s="24">
        <v>1.0007</v>
      </c>
      <c r="J133" s="25">
        <v>-0.0007</v>
      </c>
      <c r="K133" s="24">
        <v>302.1535</v>
      </c>
      <c r="L133" s="24">
        <v>302.1535</v>
      </c>
    </row>
    <row r="134" ht="21.05" customHeight="1" spans="1:12">
      <c r="A134" s="10"/>
      <c r="B134" s="10"/>
      <c r="C134" s="10" t="s">
        <v>326</v>
      </c>
      <c r="D134" s="10" t="s">
        <v>327</v>
      </c>
      <c r="E134" s="10" t="s">
        <v>296</v>
      </c>
      <c r="F134" s="10" t="s">
        <v>869</v>
      </c>
      <c r="G134" s="24">
        <v>0</v>
      </c>
      <c r="H134" s="24">
        <v>0</v>
      </c>
      <c r="I134" s="24">
        <v>0</v>
      </c>
      <c r="J134" s="25">
        <v>0</v>
      </c>
      <c r="K134" s="24">
        <v>0</v>
      </c>
      <c r="L134" s="24">
        <v>0</v>
      </c>
    </row>
    <row r="135" ht="21.05" customHeight="1" spans="1:12">
      <c r="A135" s="10"/>
      <c r="B135" s="10"/>
      <c r="C135" s="10"/>
      <c r="D135" s="10"/>
      <c r="E135" s="10"/>
      <c r="F135" s="10" t="s">
        <v>852</v>
      </c>
      <c r="G135" s="24">
        <v>2</v>
      </c>
      <c r="H135" s="24">
        <v>355.43</v>
      </c>
      <c r="I135" s="24">
        <v>1.633</v>
      </c>
      <c r="J135" s="25">
        <v>0.367</v>
      </c>
      <c r="K135" s="24">
        <v>346.8767</v>
      </c>
      <c r="L135" s="24">
        <v>346.8767</v>
      </c>
    </row>
    <row r="136" ht="21.05" customHeight="1" spans="1:12">
      <c r="A136" s="10"/>
      <c r="B136" s="10"/>
      <c r="C136" s="10"/>
      <c r="D136" s="10"/>
      <c r="E136" s="10"/>
      <c r="F136" s="10" t="s">
        <v>861</v>
      </c>
      <c r="G136" s="24">
        <v>0</v>
      </c>
      <c r="H136" s="24">
        <v>0</v>
      </c>
      <c r="I136" s="24">
        <v>0</v>
      </c>
      <c r="J136" s="25">
        <v>0</v>
      </c>
      <c r="K136" s="24">
        <v>0</v>
      </c>
      <c r="L136" s="24">
        <v>0</v>
      </c>
    </row>
    <row r="137" ht="21.05" customHeight="1" spans="1:12">
      <c r="A137" s="10"/>
      <c r="B137" s="10"/>
      <c r="C137" s="10"/>
      <c r="D137" s="10"/>
      <c r="E137" s="10"/>
      <c r="F137" s="10" t="s">
        <v>864</v>
      </c>
      <c r="G137" s="24">
        <v>0</v>
      </c>
      <c r="H137" s="24">
        <v>25.6</v>
      </c>
      <c r="I137" s="24">
        <v>0</v>
      </c>
      <c r="J137" s="25">
        <v>0</v>
      </c>
      <c r="K137" s="24">
        <v>25.4583</v>
      </c>
      <c r="L137" s="24">
        <v>25.4583</v>
      </c>
    </row>
    <row r="138" ht="21.05" customHeight="1" spans="1:12">
      <c r="A138" s="10"/>
      <c r="B138" s="10"/>
      <c r="C138" s="10" t="s">
        <v>329</v>
      </c>
      <c r="D138" s="10" t="s">
        <v>330</v>
      </c>
      <c r="E138" s="10" t="s">
        <v>296</v>
      </c>
      <c r="F138" s="10" t="s">
        <v>855</v>
      </c>
      <c r="G138" s="24">
        <v>0</v>
      </c>
      <c r="H138" s="24">
        <v>0</v>
      </c>
      <c r="I138" s="24">
        <v>0</v>
      </c>
      <c r="J138" s="25">
        <v>0</v>
      </c>
      <c r="K138" s="24">
        <v>0</v>
      </c>
      <c r="L138" s="24">
        <v>0</v>
      </c>
    </row>
    <row r="139" ht="21.05" customHeight="1" spans="1:12">
      <c r="A139" s="10"/>
      <c r="B139" s="10"/>
      <c r="C139" s="10"/>
      <c r="D139" s="10"/>
      <c r="E139" s="10"/>
      <c r="F139" s="10" t="s">
        <v>869</v>
      </c>
      <c r="G139" s="24">
        <v>0</v>
      </c>
      <c r="H139" s="24">
        <v>0</v>
      </c>
      <c r="I139" s="24">
        <v>0</v>
      </c>
      <c r="J139" s="25">
        <v>0</v>
      </c>
      <c r="K139" s="24">
        <v>0</v>
      </c>
      <c r="L139" s="24">
        <v>0</v>
      </c>
    </row>
    <row r="140" ht="21.05" customHeight="1" spans="1:12">
      <c r="A140" s="10"/>
      <c r="B140" s="10"/>
      <c r="C140" s="10"/>
      <c r="D140" s="10"/>
      <c r="E140" s="10"/>
      <c r="F140" s="10" t="s">
        <v>852</v>
      </c>
      <c r="G140" s="24">
        <v>13.5</v>
      </c>
      <c r="H140" s="24">
        <v>623.5</v>
      </c>
      <c r="I140" s="24">
        <v>12.7862</v>
      </c>
      <c r="J140" s="25">
        <v>0.7138</v>
      </c>
      <c r="K140" s="24">
        <v>624.8222</v>
      </c>
      <c r="L140" s="24">
        <v>624.8222</v>
      </c>
    </row>
    <row r="141" ht="21.05" customHeight="1" spans="1:12">
      <c r="A141" s="10"/>
      <c r="B141" s="10"/>
      <c r="C141" s="10"/>
      <c r="D141" s="10"/>
      <c r="E141" s="10"/>
      <c r="F141" s="10" t="s">
        <v>861</v>
      </c>
      <c r="G141" s="24">
        <v>0</v>
      </c>
      <c r="H141" s="24">
        <v>0</v>
      </c>
      <c r="I141" s="24">
        <v>0</v>
      </c>
      <c r="J141" s="25">
        <v>0</v>
      </c>
      <c r="K141" s="24">
        <v>0</v>
      </c>
      <c r="L141" s="24">
        <v>0</v>
      </c>
    </row>
    <row r="142" ht="21.05" customHeight="1" spans="1:12">
      <c r="A142" s="10"/>
      <c r="B142" s="10"/>
      <c r="C142" s="10"/>
      <c r="D142" s="10"/>
      <c r="E142" s="10"/>
      <c r="F142" s="10" t="s">
        <v>886</v>
      </c>
      <c r="G142" s="24">
        <v>2.5</v>
      </c>
      <c r="H142" s="24">
        <v>153.5</v>
      </c>
      <c r="I142" s="24">
        <v>2.3678</v>
      </c>
      <c r="J142" s="25">
        <v>0.1322</v>
      </c>
      <c r="K142" s="24">
        <v>153.9858</v>
      </c>
      <c r="L142" s="24">
        <v>153.9858</v>
      </c>
    </row>
    <row r="143" ht="21.05" customHeight="1" spans="1:12">
      <c r="A143" s="10"/>
      <c r="B143" s="10"/>
      <c r="C143" s="10"/>
      <c r="D143" s="10"/>
      <c r="E143" s="10"/>
      <c r="F143" s="10" t="s">
        <v>864</v>
      </c>
      <c r="G143" s="24">
        <v>0</v>
      </c>
      <c r="H143" s="24">
        <v>0</v>
      </c>
      <c r="I143" s="24">
        <v>0</v>
      </c>
      <c r="J143" s="25">
        <v>0</v>
      </c>
      <c r="K143" s="24">
        <v>0</v>
      </c>
      <c r="L143" s="24">
        <v>0</v>
      </c>
    </row>
    <row r="144" ht="21.05" customHeight="1" spans="1:12">
      <c r="A144" s="10"/>
      <c r="B144" s="10"/>
      <c r="C144" s="10" t="s">
        <v>332</v>
      </c>
      <c r="D144" s="10" t="s">
        <v>327</v>
      </c>
      <c r="E144" s="10" t="s">
        <v>296</v>
      </c>
      <c r="F144" s="10" t="s">
        <v>855</v>
      </c>
      <c r="G144" s="24">
        <v>0</v>
      </c>
      <c r="H144" s="24">
        <v>0</v>
      </c>
      <c r="I144" s="24">
        <v>0</v>
      </c>
      <c r="J144" s="25">
        <v>0</v>
      </c>
      <c r="K144" s="24">
        <v>0</v>
      </c>
      <c r="L144" s="24">
        <v>0</v>
      </c>
    </row>
    <row r="145" ht="21.05" customHeight="1" spans="1:12">
      <c r="A145" s="10"/>
      <c r="B145" s="10"/>
      <c r="C145" s="10"/>
      <c r="D145" s="10"/>
      <c r="E145" s="10"/>
      <c r="F145" s="10" t="s">
        <v>869</v>
      </c>
      <c r="G145" s="24">
        <v>0</v>
      </c>
      <c r="H145" s="24">
        <v>0</v>
      </c>
      <c r="I145" s="24">
        <v>0</v>
      </c>
      <c r="J145" s="25">
        <v>0</v>
      </c>
      <c r="K145" s="24">
        <v>0</v>
      </c>
      <c r="L145" s="24">
        <v>0</v>
      </c>
    </row>
    <row r="146" ht="21.05" customHeight="1" spans="1:12">
      <c r="A146" s="10"/>
      <c r="B146" s="10"/>
      <c r="C146" s="10"/>
      <c r="D146" s="10"/>
      <c r="E146" s="10"/>
      <c r="F146" s="10" t="s">
        <v>852</v>
      </c>
      <c r="G146" s="24">
        <v>7</v>
      </c>
      <c r="H146" s="24">
        <v>861.07</v>
      </c>
      <c r="I146" s="24">
        <v>7.0026</v>
      </c>
      <c r="J146" s="25">
        <v>-0.0026</v>
      </c>
      <c r="K146" s="24">
        <v>861.2418</v>
      </c>
      <c r="L146" s="24">
        <v>861.2418</v>
      </c>
    </row>
    <row r="147" ht="21.05" customHeight="1" spans="1:12">
      <c r="A147" s="10"/>
      <c r="B147" s="10"/>
      <c r="C147" s="10"/>
      <c r="D147" s="10"/>
      <c r="E147" s="10"/>
      <c r="F147" s="10" t="s">
        <v>859</v>
      </c>
      <c r="G147" s="24">
        <v>0</v>
      </c>
      <c r="H147" s="24">
        <v>0</v>
      </c>
      <c r="I147" s="24">
        <v>0</v>
      </c>
      <c r="J147" s="25">
        <v>0</v>
      </c>
      <c r="K147" s="24">
        <v>0</v>
      </c>
      <c r="L147" s="24">
        <v>0</v>
      </c>
    </row>
    <row r="148" ht="21.05" customHeight="1" spans="1:12">
      <c r="A148" s="10"/>
      <c r="B148" s="10"/>
      <c r="C148" s="10"/>
      <c r="D148" s="10"/>
      <c r="E148" s="10"/>
      <c r="F148" s="10" t="s">
        <v>861</v>
      </c>
      <c r="G148" s="24">
        <v>0</v>
      </c>
      <c r="H148" s="24">
        <v>0</v>
      </c>
      <c r="I148" s="24">
        <v>0</v>
      </c>
      <c r="J148" s="25">
        <v>0</v>
      </c>
      <c r="K148" s="24">
        <v>0</v>
      </c>
      <c r="L148" s="24">
        <v>0</v>
      </c>
    </row>
    <row r="149" ht="21.05" customHeight="1" spans="1:12">
      <c r="A149" s="10"/>
      <c r="B149" s="10"/>
      <c r="C149" s="10"/>
      <c r="D149" s="10"/>
      <c r="E149" s="10"/>
      <c r="F149" s="10" t="s">
        <v>864</v>
      </c>
      <c r="G149" s="24">
        <v>1</v>
      </c>
      <c r="H149" s="24">
        <v>110</v>
      </c>
      <c r="I149" s="24">
        <v>1.0004</v>
      </c>
      <c r="J149" s="25">
        <v>-0.0004</v>
      </c>
      <c r="K149" s="24">
        <v>110.0242</v>
      </c>
      <c r="L149" s="24">
        <v>110.0242</v>
      </c>
    </row>
    <row r="150" ht="21.05" customHeight="1" spans="1:12">
      <c r="A150" s="10"/>
      <c r="B150" s="10"/>
      <c r="C150" s="10" t="s">
        <v>334</v>
      </c>
      <c r="D150" s="10" t="s">
        <v>335</v>
      </c>
      <c r="E150" s="10" t="s">
        <v>296</v>
      </c>
      <c r="F150" s="10" t="s">
        <v>852</v>
      </c>
      <c r="G150" s="24">
        <v>2.3</v>
      </c>
      <c r="H150" s="24">
        <v>313.8</v>
      </c>
      <c r="I150" s="24">
        <v>1.9977</v>
      </c>
      <c r="J150" s="25">
        <v>0.3023</v>
      </c>
      <c r="K150" s="24">
        <v>300.0895</v>
      </c>
      <c r="L150" s="24">
        <v>300.0895</v>
      </c>
    </row>
    <row r="151" ht="21.05" customHeight="1" spans="1:12">
      <c r="A151" s="10"/>
      <c r="B151" s="10"/>
      <c r="C151" s="10" t="s">
        <v>337</v>
      </c>
      <c r="D151" s="10" t="s">
        <v>338</v>
      </c>
      <c r="E151" s="10" t="s">
        <v>276</v>
      </c>
      <c r="F151" s="10" t="s">
        <v>852</v>
      </c>
      <c r="G151" s="24">
        <v>6.6</v>
      </c>
      <c r="H151" s="24">
        <v>257.7</v>
      </c>
      <c r="I151" s="24">
        <v>5.4442</v>
      </c>
      <c r="J151" s="25">
        <v>1.1558</v>
      </c>
      <c r="K151" s="24">
        <v>258.1626</v>
      </c>
      <c r="L151" s="24">
        <v>258.1626</v>
      </c>
    </row>
    <row r="152" ht="21.05" customHeight="1" spans="1:12">
      <c r="A152" s="10"/>
      <c r="B152" s="10"/>
      <c r="C152" s="10"/>
      <c r="D152" s="10"/>
      <c r="E152" s="10"/>
      <c r="F152" s="10" t="s">
        <v>864</v>
      </c>
      <c r="G152" s="24">
        <v>1.4</v>
      </c>
      <c r="H152" s="24">
        <v>36.1</v>
      </c>
      <c r="I152" s="24">
        <v>1.1548</v>
      </c>
      <c r="J152" s="25">
        <v>0.2452</v>
      </c>
      <c r="K152" s="24">
        <v>36.1404</v>
      </c>
      <c r="L152" s="24">
        <v>36.1404</v>
      </c>
    </row>
    <row r="153" ht="21.05" customHeight="1" spans="1:12">
      <c r="A153" s="10"/>
      <c r="B153" s="10"/>
      <c r="C153" s="10" t="s">
        <v>341</v>
      </c>
      <c r="D153" s="10" t="s">
        <v>316</v>
      </c>
      <c r="E153" s="10" t="s">
        <v>296</v>
      </c>
      <c r="F153" s="10" t="s">
        <v>886</v>
      </c>
      <c r="G153" s="24">
        <v>0</v>
      </c>
      <c r="H153" s="24">
        <v>0</v>
      </c>
      <c r="I153" s="24">
        <v>0</v>
      </c>
      <c r="J153" s="25">
        <v>0</v>
      </c>
      <c r="K153" s="24">
        <v>0</v>
      </c>
      <c r="L153" s="24">
        <v>0</v>
      </c>
    </row>
    <row r="154" ht="21.05" customHeight="1" spans="1:12">
      <c r="A154" s="10"/>
      <c r="B154" s="10" t="s">
        <v>342</v>
      </c>
      <c r="C154" s="10" t="s">
        <v>343</v>
      </c>
      <c r="D154" s="10" t="s">
        <v>344</v>
      </c>
      <c r="E154" s="10" t="s">
        <v>258</v>
      </c>
      <c r="F154" s="10" t="s">
        <v>868</v>
      </c>
      <c r="G154" s="24">
        <v>0</v>
      </c>
      <c r="H154" s="24">
        <v>0</v>
      </c>
      <c r="I154" s="24">
        <v>0</v>
      </c>
      <c r="J154" s="25">
        <v>0</v>
      </c>
      <c r="K154" s="24">
        <v>0</v>
      </c>
      <c r="L154" s="24">
        <v>0</v>
      </c>
    </row>
    <row r="155" ht="21.05" customHeight="1" spans="1:12">
      <c r="A155" s="10"/>
      <c r="B155" s="10"/>
      <c r="C155" s="10"/>
      <c r="D155" s="10"/>
      <c r="E155" s="10"/>
      <c r="F155" s="10" t="s">
        <v>864</v>
      </c>
      <c r="G155" s="24">
        <v>0</v>
      </c>
      <c r="H155" s="24">
        <v>0</v>
      </c>
      <c r="I155" s="24">
        <v>0</v>
      </c>
      <c r="J155" s="25">
        <v>0</v>
      </c>
      <c r="K155" s="24">
        <v>0</v>
      </c>
      <c r="L155" s="24">
        <v>0</v>
      </c>
    </row>
    <row r="156" ht="21.05" customHeight="1" spans="1:12">
      <c r="A156" s="10"/>
      <c r="B156" s="10"/>
      <c r="C156" s="10"/>
      <c r="D156" s="10" t="s">
        <v>345</v>
      </c>
      <c r="E156" s="10" t="s">
        <v>258</v>
      </c>
      <c r="F156" s="10" t="s">
        <v>852</v>
      </c>
      <c r="G156" s="24">
        <v>0</v>
      </c>
      <c r="H156" s="24">
        <v>1702.3</v>
      </c>
      <c r="I156" s="24">
        <v>0</v>
      </c>
      <c r="J156" s="25">
        <v>0</v>
      </c>
      <c r="K156" s="24">
        <v>1620.7819</v>
      </c>
      <c r="L156" s="24">
        <v>1620.7819</v>
      </c>
    </row>
    <row r="157" ht="21.05" customHeight="1" spans="1:12">
      <c r="A157" s="10"/>
      <c r="B157" s="10"/>
      <c r="C157" s="10"/>
      <c r="D157" s="10"/>
      <c r="E157" s="10"/>
      <c r="F157" s="10" t="s">
        <v>892</v>
      </c>
      <c r="G157" s="24">
        <v>0</v>
      </c>
      <c r="H157" s="24">
        <v>0</v>
      </c>
      <c r="I157" s="24">
        <v>0</v>
      </c>
      <c r="J157" s="25">
        <v>0</v>
      </c>
      <c r="K157" s="24">
        <v>0</v>
      </c>
      <c r="L157" s="24">
        <v>0</v>
      </c>
    </row>
    <row r="158" ht="21.05" customHeight="1" spans="1:12">
      <c r="A158" s="10"/>
      <c r="B158" s="10"/>
      <c r="C158" s="10"/>
      <c r="D158" s="10"/>
      <c r="E158" s="10"/>
      <c r="F158" s="10" t="s">
        <v>868</v>
      </c>
      <c r="G158" s="24">
        <v>0</v>
      </c>
      <c r="H158" s="24">
        <v>0</v>
      </c>
      <c r="I158" s="24">
        <v>0</v>
      </c>
      <c r="J158" s="25">
        <v>0</v>
      </c>
      <c r="K158" s="24">
        <v>0</v>
      </c>
      <c r="L158" s="24">
        <v>0</v>
      </c>
    </row>
    <row r="159" ht="21.05" customHeight="1" spans="1:12">
      <c r="A159" s="10"/>
      <c r="B159" s="10"/>
      <c r="C159" s="10"/>
      <c r="D159" s="10"/>
      <c r="E159" s="10"/>
      <c r="F159" s="10" t="s">
        <v>864</v>
      </c>
      <c r="G159" s="24">
        <v>0</v>
      </c>
      <c r="H159" s="24">
        <v>0</v>
      </c>
      <c r="I159" s="24">
        <v>0</v>
      </c>
      <c r="J159" s="25">
        <v>0</v>
      </c>
      <c r="K159" s="24">
        <v>0</v>
      </c>
      <c r="L159" s="24">
        <v>0</v>
      </c>
    </row>
    <row r="160" ht="21.05" customHeight="1" spans="1:12">
      <c r="A160" s="10"/>
      <c r="B160" s="10"/>
      <c r="C160" s="10"/>
      <c r="D160" s="10" t="s">
        <v>346</v>
      </c>
      <c r="E160" s="10" t="s">
        <v>258</v>
      </c>
      <c r="F160" s="10" t="s">
        <v>868</v>
      </c>
      <c r="G160" s="24">
        <v>0</v>
      </c>
      <c r="H160" s="24">
        <v>0</v>
      </c>
      <c r="I160" s="24">
        <v>0</v>
      </c>
      <c r="J160" s="25">
        <v>0</v>
      </c>
      <c r="K160" s="24">
        <v>0</v>
      </c>
      <c r="L160" s="24">
        <v>0</v>
      </c>
    </row>
    <row r="161" ht="21.05" customHeight="1" spans="1:12">
      <c r="A161" s="10"/>
      <c r="B161" s="10"/>
      <c r="C161" s="10"/>
      <c r="D161" s="10"/>
      <c r="E161" s="10"/>
      <c r="F161" s="10" t="s">
        <v>864</v>
      </c>
      <c r="G161" s="24">
        <v>0</v>
      </c>
      <c r="H161" s="24">
        <v>0</v>
      </c>
      <c r="I161" s="24">
        <v>0</v>
      </c>
      <c r="J161" s="25">
        <v>0</v>
      </c>
      <c r="K161" s="24">
        <v>0</v>
      </c>
      <c r="L161" s="24">
        <v>0</v>
      </c>
    </row>
    <row r="162" ht="21.05" customHeight="1" spans="1:12">
      <c r="A162" s="10"/>
      <c r="B162" s="10"/>
      <c r="C162" s="10" t="s">
        <v>347</v>
      </c>
      <c r="D162" s="10" t="s">
        <v>348</v>
      </c>
      <c r="E162" s="10" t="s">
        <v>258</v>
      </c>
      <c r="F162" s="10" t="s">
        <v>893</v>
      </c>
      <c r="G162" s="24">
        <v>0</v>
      </c>
      <c r="H162" s="24">
        <v>0</v>
      </c>
      <c r="I162" s="24">
        <v>0</v>
      </c>
      <c r="J162" s="25">
        <v>0</v>
      </c>
      <c r="K162" s="24">
        <v>0</v>
      </c>
      <c r="L162" s="24">
        <v>0</v>
      </c>
    </row>
    <row r="163" ht="21.05" customHeight="1" spans="1:12">
      <c r="A163" s="10"/>
      <c r="B163" s="10"/>
      <c r="C163" s="10"/>
      <c r="D163" s="10"/>
      <c r="E163" s="10"/>
      <c r="F163" s="10" t="s">
        <v>868</v>
      </c>
      <c r="G163" s="24">
        <v>0</v>
      </c>
      <c r="H163" s="24">
        <v>301</v>
      </c>
      <c r="I163" s="24">
        <v>0</v>
      </c>
      <c r="J163" s="25">
        <v>0</v>
      </c>
      <c r="K163" s="24">
        <v>256.8492</v>
      </c>
      <c r="L163" s="24">
        <v>256.8492</v>
      </c>
    </row>
    <row r="164" ht="21.05" customHeight="1" spans="1:12">
      <c r="A164" s="10"/>
      <c r="B164" s="10"/>
      <c r="C164" s="10"/>
      <c r="D164" s="10" t="s">
        <v>349</v>
      </c>
      <c r="E164" s="10" t="s">
        <v>258</v>
      </c>
      <c r="F164" s="10" t="s">
        <v>852</v>
      </c>
      <c r="G164" s="24">
        <v>206.5</v>
      </c>
      <c r="H164" s="24">
        <v>6942.5</v>
      </c>
      <c r="I164" s="24">
        <v>205.8477</v>
      </c>
      <c r="J164" s="25">
        <v>0.6523</v>
      </c>
      <c r="K164" s="24">
        <v>6865.1351</v>
      </c>
      <c r="L164" s="24">
        <v>6865.1351</v>
      </c>
    </row>
    <row r="165" ht="21.05" customHeight="1" spans="1:12">
      <c r="A165" s="10"/>
      <c r="B165" s="10"/>
      <c r="C165" s="10"/>
      <c r="D165" s="10"/>
      <c r="E165" s="10"/>
      <c r="F165" s="10" t="s">
        <v>868</v>
      </c>
      <c r="G165" s="24">
        <v>5</v>
      </c>
      <c r="H165" s="24">
        <v>141</v>
      </c>
      <c r="I165" s="24">
        <v>4.9842</v>
      </c>
      <c r="J165" s="25">
        <v>0.0158</v>
      </c>
      <c r="K165" s="24">
        <v>139.4665</v>
      </c>
      <c r="L165" s="24">
        <v>139.4665</v>
      </c>
    </row>
    <row r="166" ht="21.05" customHeight="1" spans="1:12">
      <c r="A166" s="10"/>
      <c r="B166" s="10"/>
      <c r="C166" s="10"/>
      <c r="D166" s="10"/>
      <c r="E166" s="10"/>
      <c r="F166" s="10" t="s">
        <v>864</v>
      </c>
      <c r="G166" s="24">
        <v>0</v>
      </c>
      <c r="H166" s="24">
        <v>0</v>
      </c>
      <c r="I166" s="24">
        <v>0</v>
      </c>
      <c r="J166" s="25">
        <v>0</v>
      </c>
      <c r="K166" s="24">
        <v>0</v>
      </c>
      <c r="L166" s="24">
        <v>0</v>
      </c>
    </row>
    <row r="167" ht="21.05" customHeight="1" spans="1:12">
      <c r="A167" s="10"/>
      <c r="B167" s="10"/>
      <c r="C167" s="10"/>
      <c r="D167" s="10" t="s">
        <v>351</v>
      </c>
      <c r="E167" s="10" t="s">
        <v>258</v>
      </c>
      <c r="F167" s="10" t="s">
        <v>852</v>
      </c>
      <c r="G167" s="24">
        <v>0</v>
      </c>
      <c r="H167" s="24">
        <v>856</v>
      </c>
      <c r="I167" s="24">
        <v>0</v>
      </c>
      <c r="J167" s="25">
        <v>0</v>
      </c>
      <c r="K167" s="24">
        <v>759.4001</v>
      </c>
      <c r="L167" s="24">
        <v>759.4001</v>
      </c>
    </row>
    <row r="168" ht="21.05" customHeight="1" spans="1:12">
      <c r="A168" s="10"/>
      <c r="B168" s="10"/>
      <c r="C168" s="10"/>
      <c r="D168" s="10"/>
      <c r="E168" s="10"/>
      <c r="F168" s="10" t="s">
        <v>864</v>
      </c>
      <c r="G168" s="24">
        <v>0</v>
      </c>
      <c r="H168" s="24">
        <v>0</v>
      </c>
      <c r="I168" s="24">
        <v>0</v>
      </c>
      <c r="J168" s="25">
        <v>0</v>
      </c>
      <c r="K168" s="24">
        <v>0</v>
      </c>
      <c r="L168" s="24">
        <v>0</v>
      </c>
    </row>
    <row r="169" ht="21.05" customHeight="1" spans="1:12">
      <c r="A169" s="10" t="s">
        <v>894</v>
      </c>
      <c r="B169" s="10" t="s">
        <v>895</v>
      </c>
      <c r="C169" s="10" t="s">
        <v>896</v>
      </c>
      <c r="D169" s="10" t="s">
        <v>897</v>
      </c>
      <c r="E169" s="10" t="s">
        <v>382</v>
      </c>
      <c r="F169" s="10" t="s">
        <v>898</v>
      </c>
      <c r="G169" s="24">
        <v>0</v>
      </c>
      <c r="H169" s="24">
        <v>0</v>
      </c>
      <c r="I169" s="24">
        <v>0</v>
      </c>
      <c r="J169" s="25">
        <v>0</v>
      </c>
      <c r="K169" s="24">
        <v>0</v>
      </c>
      <c r="L169" s="24">
        <v>0</v>
      </c>
    </row>
    <row r="170" ht="21.05" customHeight="1" spans="1:12">
      <c r="A170" s="10"/>
      <c r="B170" s="10"/>
      <c r="C170" s="10" t="s">
        <v>899</v>
      </c>
      <c r="D170" s="10" t="s">
        <v>900</v>
      </c>
      <c r="E170" s="10" t="s">
        <v>382</v>
      </c>
      <c r="F170" s="10" t="s">
        <v>860</v>
      </c>
      <c r="G170" s="24">
        <v>0</v>
      </c>
      <c r="H170" s="24">
        <v>0</v>
      </c>
      <c r="I170" s="24">
        <v>0</v>
      </c>
      <c r="J170" s="25">
        <v>0</v>
      </c>
      <c r="K170" s="24">
        <v>0</v>
      </c>
      <c r="L170" s="24">
        <v>0</v>
      </c>
    </row>
    <row r="171" ht="21.05" customHeight="1" spans="1:12">
      <c r="A171" s="10" t="s">
        <v>352</v>
      </c>
      <c r="B171" s="10" t="s">
        <v>353</v>
      </c>
      <c r="C171" s="10" t="s">
        <v>357</v>
      </c>
      <c r="D171" s="10" t="s">
        <v>358</v>
      </c>
      <c r="E171" s="10" t="s">
        <v>359</v>
      </c>
      <c r="F171" s="10" t="s">
        <v>852</v>
      </c>
      <c r="G171" s="24">
        <v>2</v>
      </c>
      <c r="H171" s="24">
        <v>111.6</v>
      </c>
      <c r="I171" s="24">
        <v>2</v>
      </c>
      <c r="J171" s="25">
        <v>0</v>
      </c>
      <c r="K171" s="24">
        <v>111.483</v>
      </c>
      <c r="L171" s="24">
        <v>111.483</v>
      </c>
    </row>
    <row r="172" ht="21.05" customHeight="1" spans="1:12">
      <c r="A172" s="10"/>
      <c r="B172" s="10"/>
      <c r="C172" s="10" t="s">
        <v>360</v>
      </c>
      <c r="D172" s="10" t="s">
        <v>361</v>
      </c>
      <c r="E172" s="10" t="s">
        <v>359</v>
      </c>
      <c r="F172" s="10" t="s">
        <v>901</v>
      </c>
      <c r="G172" s="24">
        <v>76</v>
      </c>
      <c r="H172" s="24">
        <v>2853.9</v>
      </c>
      <c r="I172" s="24">
        <v>75.8871</v>
      </c>
      <c r="J172" s="25">
        <v>0.1129</v>
      </c>
      <c r="K172" s="24">
        <v>2848.9965</v>
      </c>
      <c r="L172" s="24">
        <v>2848.9965</v>
      </c>
    </row>
    <row r="173" ht="21.05" customHeight="1" spans="1:12">
      <c r="A173" s="10"/>
      <c r="B173" s="10"/>
      <c r="C173" s="10"/>
      <c r="D173" s="10"/>
      <c r="E173" s="10"/>
      <c r="F173" s="10" t="s">
        <v>902</v>
      </c>
      <c r="G173" s="24">
        <v>0</v>
      </c>
      <c r="H173" s="24">
        <v>0</v>
      </c>
      <c r="I173" s="24">
        <v>0</v>
      </c>
      <c r="J173" s="25">
        <v>0</v>
      </c>
      <c r="K173" s="24">
        <v>0</v>
      </c>
      <c r="L173" s="24">
        <v>0</v>
      </c>
    </row>
    <row r="174" ht="21.05" customHeight="1" spans="1:12">
      <c r="A174" s="10"/>
      <c r="B174" s="10"/>
      <c r="C174" s="10"/>
      <c r="D174" s="10" t="s">
        <v>363</v>
      </c>
      <c r="E174" s="10" t="s">
        <v>359</v>
      </c>
      <c r="F174" s="10" t="s">
        <v>852</v>
      </c>
      <c r="G174" s="24">
        <v>1.7</v>
      </c>
      <c r="H174" s="24">
        <v>108.7</v>
      </c>
      <c r="I174" s="24">
        <v>1.6983</v>
      </c>
      <c r="J174" s="25">
        <v>0.0017</v>
      </c>
      <c r="K174" s="24">
        <v>107.4536</v>
      </c>
      <c r="L174" s="24">
        <v>107.4536</v>
      </c>
    </row>
    <row r="175" ht="21.05" customHeight="1" spans="1:12">
      <c r="A175" s="10"/>
      <c r="B175" s="10"/>
      <c r="C175" s="10" t="s">
        <v>365</v>
      </c>
      <c r="D175" s="10" t="s">
        <v>366</v>
      </c>
      <c r="E175" s="10" t="s">
        <v>359</v>
      </c>
      <c r="F175" s="10" t="s">
        <v>903</v>
      </c>
      <c r="G175" s="24">
        <v>0</v>
      </c>
      <c r="H175" s="24">
        <v>0</v>
      </c>
      <c r="I175" s="24">
        <v>0</v>
      </c>
      <c r="J175" s="25">
        <v>0</v>
      </c>
      <c r="K175" s="24">
        <v>0</v>
      </c>
      <c r="L175" s="24">
        <v>0</v>
      </c>
    </row>
    <row r="176" ht="21.05" customHeight="1" spans="1:12">
      <c r="A176" s="10"/>
      <c r="B176" s="10"/>
      <c r="C176" s="10"/>
      <c r="D176" s="10"/>
      <c r="E176" s="10"/>
      <c r="F176" s="10" t="s">
        <v>852</v>
      </c>
      <c r="G176" s="24">
        <v>0</v>
      </c>
      <c r="H176" s="24">
        <v>1.1</v>
      </c>
      <c r="I176" s="24">
        <v>0</v>
      </c>
      <c r="J176" s="25">
        <v>0</v>
      </c>
      <c r="K176" s="24">
        <v>1.1</v>
      </c>
      <c r="L176" s="24">
        <v>1.1</v>
      </c>
    </row>
    <row r="177" ht="21.05" customHeight="1" spans="1:12">
      <c r="A177" s="10"/>
      <c r="B177" s="10"/>
      <c r="C177" s="10"/>
      <c r="D177" s="10"/>
      <c r="E177" s="10"/>
      <c r="F177" s="10" t="s">
        <v>864</v>
      </c>
      <c r="G177" s="24">
        <v>0.7</v>
      </c>
      <c r="H177" s="24">
        <v>75.3</v>
      </c>
      <c r="I177" s="24">
        <v>0.6979</v>
      </c>
      <c r="J177" s="25">
        <v>0.0021</v>
      </c>
      <c r="K177" s="24">
        <v>75.167</v>
      </c>
      <c r="L177" s="24">
        <v>75.167</v>
      </c>
    </row>
    <row r="178" ht="21.05" customHeight="1" spans="1:12">
      <c r="A178" s="10"/>
      <c r="B178" s="10"/>
      <c r="C178" s="10" t="s">
        <v>368</v>
      </c>
      <c r="D178" s="10" t="s">
        <v>369</v>
      </c>
      <c r="E178" s="10" t="s">
        <v>359</v>
      </c>
      <c r="F178" s="10" t="s">
        <v>852</v>
      </c>
      <c r="G178" s="24">
        <v>5.56</v>
      </c>
      <c r="H178" s="24">
        <v>92.96</v>
      </c>
      <c r="I178" s="24">
        <v>5.5601</v>
      </c>
      <c r="J178" s="25">
        <v>-0.0001</v>
      </c>
      <c r="K178" s="24">
        <v>92.4827</v>
      </c>
      <c r="L178" s="24">
        <v>92.4827</v>
      </c>
    </row>
    <row r="179" ht="21.05" customHeight="1" spans="1:12">
      <c r="A179" s="10"/>
      <c r="B179" s="10"/>
      <c r="C179" s="10"/>
      <c r="D179" s="10" t="s">
        <v>370</v>
      </c>
      <c r="E179" s="10" t="s">
        <v>359</v>
      </c>
      <c r="F179" s="10" t="s">
        <v>852</v>
      </c>
      <c r="G179" s="24">
        <v>7.1889</v>
      </c>
      <c r="H179" s="24">
        <v>60.1189</v>
      </c>
      <c r="I179" s="24">
        <v>1.7146</v>
      </c>
      <c r="J179" s="25">
        <v>5.4743</v>
      </c>
      <c r="K179" s="24">
        <v>51.639</v>
      </c>
      <c r="L179" s="24">
        <v>51.639</v>
      </c>
    </row>
    <row r="180" ht="21.05" customHeight="1" spans="1:12">
      <c r="A180" s="10"/>
      <c r="B180" s="10"/>
      <c r="C180" s="10"/>
      <c r="D180" s="10"/>
      <c r="E180" s="10"/>
      <c r="F180" s="10" t="s">
        <v>864</v>
      </c>
      <c r="G180" s="24">
        <v>0.27</v>
      </c>
      <c r="H180" s="24">
        <v>7.79</v>
      </c>
      <c r="I180" s="24">
        <v>0.0644</v>
      </c>
      <c r="J180" s="25">
        <v>0.2056</v>
      </c>
      <c r="K180" s="24">
        <v>7.1836</v>
      </c>
      <c r="L180" s="24">
        <v>7.1836</v>
      </c>
    </row>
    <row r="181" ht="21.05" customHeight="1" spans="1:12">
      <c r="A181" s="10"/>
      <c r="B181" s="10"/>
      <c r="C181" s="10" t="s">
        <v>373</v>
      </c>
      <c r="D181" s="10" t="s">
        <v>374</v>
      </c>
      <c r="E181" s="10" t="s">
        <v>359</v>
      </c>
      <c r="F181" s="10" t="s">
        <v>852</v>
      </c>
      <c r="G181" s="24">
        <v>0</v>
      </c>
      <c r="H181" s="24">
        <v>396.02</v>
      </c>
      <c r="I181" s="24">
        <v>0</v>
      </c>
      <c r="J181" s="25">
        <v>0</v>
      </c>
      <c r="K181" s="24">
        <v>376.5618</v>
      </c>
      <c r="L181" s="24">
        <v>376.5618</v>
      </c>
    </row>
    <row r="182" ht="21.05" customHeight="1" spans="1:12">
      <c r="A182" s="10"/>
      <c r="B182" s="10"/>
      <c r="C182" s="10"/>
      <c r="D182" s="10"/>
      <c r="E182" s="10"/>
      <c r="F182" s="10" t="s">
        <v>864</v>
      </c>
      <c r="G182" s="24">
        <v>9.7</v>
      </c>
      <c r="H182" s="24">
        <v>79.8</v>
      </c>
      <c r="I182" s="24">
        <v>9.409</v>
      </c>
      <c r="J182" s="25">
        <v>0.291</v>
      </c>
      <c r="K182" s="24">
        <v>76.3002</v>
      </c>
      <c r="L182" s="24">
        <v>76.3002</v>
      </c>
    </row>
    <row r="183" ht="21.05" customHeight="1" spans="1:12">
      <c r="A183" s="10"/>
      <c r="B183" s="10"/>
      <c r="C183" s="10"/>
      <c r="D183" s="10" t="s">
        <v>366</v>
      </c>
      <c r="E183" s="10" t="s">
        <v>359</v>
      </c>
      <c r="F183" s="10" t="s">
        <v>903</v>
      </c>
      <c r="G183" s="24">
        <v>0</v>
      </c>
      <c r="H183" s="24">
        <v>0</v>
      </c>
      <c r="I183" s="24">
        <v>0</v>
      </c>
      <c r="J183" s="25">
        <v>0</v>
      </c>
      <c r="K183" s="24">
        <v>0</v>
      </c>
      <c r="L183" s="24">
        <v>0</v>
      </c>
    </row>
    <row r="184" ht="21.05" customHeight="1" spans="1:12">
      <c r="A184" s="10"/>
      <c r="B184" s="10"/>
      <c r="C184" s="10"/>
      <c r="D184" s="10"/>
      <c r="E184" s="10"/>
      <c r="F184" s="10" t="s">
        <v>852</v>
      </c>
      <c r="G184" s="24">
        <v>25.4793</v>
      </c>
      <c r="H184" s="24">
        <v>1344.9893</v>
      </c>
      <c r="I184" s="24">
        <v>25.4686</v>
      </c>
      <c r="J184" s="25">
        <v>0.0107</v>
      </c>
      <c r="K184" s="24">
        <v>1344.1006</v>
      </c>
      <c r="L184" s="24">
        <v>1344.1006</v>
      </c>
    </row>
    <row r="185" ht="21.05" customHeight="1" spans="1:12">
      <c r="A185" s="10"/>
      <c r="B185" s="10"/>
      <c r="C185" s="10"/>
      <c r="D185" s="10"/>
      <c r="E185" s="10"/>
      <c r="F185" s="10" t="s">
        <v>904</v>
      </c>
      <c r="G185" s="24">
        <v>0</v>
      </c>
      <c r="H185" s="24">
        <v>0</v>
      </c>
      <c r="I185" s="24">
        <v>0</v>
      </c>
      <c r="J185" s="25">
        <v>0</v>
      </c>
      <c r="K185" s="24">
        <v>0</v>
      </c>
      <c r="L185" s="24">
        <v>0</v>
      </c>
    </row>
    <row r="186" ht="21.05" customHeight="1" spans="1:12">
      <c r="A186" s="10"/>
      <c r="B186" s="10"/>
      <c r="C186" s="10"/>
      <c r="D186" s="10"/>
      <c r="E186" s="10"/>
      <c r="F186" s="10" t="s">
        <v>902</v>
      </c>
      <c r="G186" s="24">
        <v>16</v>
      </c>
      <c r="H186" s="24">
        <v>450</v>
      </c>
      <c r="I186" s="24">
        <v>15.9932</v>
      </c>
      <c r="J186" s="25">
        <v>0.0068</v>
      </c>
      <c r="K186" s="24">
        <v>449.6786</v>
      </c>
      <c r="L186" s="24">
        <v>449.6786</v>
      </c>
    </row>
    <row r="187" ht="21.05" customHeight="1" spans="1:12">
      <c r="A187" s="10"/>
      <c r="B187" s="10"/>
      <c r="C187" s="10"/>
      <c r="D187" s="10"/>
      <c r="E187" s="10"/>
      <c r="F187" s="10" t="s">
        <v>366</v>
      </c>
      <c r="G187" s="24">
        <v>0</v>
      </c>
      <c r="H187" s="24">
        <v>0</v>
      </c>
      <c r="I187" s="24">
        <v>0</v>
      </c>
      <c r="J187" s="25">
        <v>0</v>
      </c>
      <c r="K187" s="24">
        <v>0</v>
      </c>
      <c r="L187" s="24">
        <v>0</v>
      </c>
    </row>
    <row r="188" ht="21.05" customHeight="1" spans="1:12">
      <c r="A188" s="10"/>
      <c r="B188" s="10"/>
      <c r="C188" s="10"/>
      <c r="D188" s="10"/>
      <c r="E188" s="10"/>
      <c r="F188" s="10" t="s">
        <v>864</v>
      </c>
      <c r="G188" s="24">
        <v>0</v>
      </c>
      <c r="H188" s="24">
        <v>25.65</v>
      </c>
      <c r="I188" s="24">
        <v>0</v>
      </c>
      <c r="J188" s="25">
        <v>0</v>
      </c>
      <c r="K188" s="24">
        <v>25.6319</v>
      </c>
      <c r="L188" s="24">
        <v>25.6319</v>
      </c>
    </row>
    <row r="189" ht="21.05" customHeight="1" spans="1:12">
      <c r="A189" s="10"/>
      <c r="B189" s="10"/>
      <c r="C189" s="10" t="s">
        <v>378</v>
      </c>
      <c r="D189" s="10" t="s">
        <v>355</v>
      </c>
      <c r="E189" s="10" t="s">
        <v>356</v>
      </c>
      <c r="F189" s="10" t="s">
        <v>903</v>
      </c>
      <c r="G189" s="24">
        <v>0</v>
      </c>
      <c r="H189" s="24">
        <v>0</v>
      </c>
      <c r="I189" s="24">
        <v>0</v>
      </c>
      <c r="J189" s="25">
        <v>0</v>
      </c>
      <c r="K189" s="24">
        <v>0</v>
      </c>
      <c r="L189" s="24">
        <v>0</v>
      </c>
    </row>
    <row r="190" ht="21.05" customHeight="1" spans="1:12">
      <c r="A190" s="10"/>
      <c r="B190" s="10"/>
      <c r="C190" s="10"/>
      <c r="D190" s="10"/>
      <c r="E190" s="10"/>
      <c r="F190" s="10" t="s">
        <v>852</v>
      </c>
      <c r="G190" s="24">
        <v>4.24</v>
      </c>
      <c r="H190" s="24">
        <v>169.71</v>
      </c>
      <c r="I190" s="24">
        <v>4.2539</v>
      </c>
      <c r="J190" s="25">
        <v>-0.0139</v>
      </c>
      <c r="K190" s="24">
        <v>169.9817</v>
      </c>
      <c r="L190" s="24">
        <v>169.9817</v>
      </c>
    </row>
    <row r="191" ht="21.05" customHeight="1" spans="1:12">
      <c r="A191" s="10"/>
      <c r="B191" s="10"/>
      <c r="C191" s="10"/>
      <c r="D191" s="10"/>
      <c r="E191" s="10"/>
      <c r="F191" s="10" t="s">
        <v>860</v>
      </c>
      <c r="G191" s="24">
        <v>0</v>
      </c>
      <c r="H191" s="24">
        <v>0</v>
      </c>
      <c r="I191" s="24">
        <v>0</v>
      </c>
      <c r="J191" s="25">
        <v>0</v>
      </c>
      <c r="K191" s="24">
        <v>0</v>
      </c>
      <c r="L191" s="24">
        <v>0</v>
      </c>
    </row>
    <row r="192" ht="21.05" customHeight="1" spans="1:12">
      <c r="A192" s="10"/>
      <c r="B192" s="10"/>
      <c r="C192" s="10"/>
      <c r="D192" s="10"/>
      <c r="E192" s="10"/>
      <c r="F192" s="10" t="s">
        <v>898</v>
      </c>
      <c r="G192" s="24">
        <v>0</v>
      </c>
      <c r="H192" s="24">
        <v>0</v>
      </c>
      <c r="I192" s="24">
        <v>0</v>
      </c>
      <c r="J192" s="25">
        <v>0</v>
      </c>
      <c r="K192" s="24">
        <v>0</v>
      </c>
      <c r="L192" s="24">
        <v>0</v>
      </c>
    </row>
    <row r="193" ht="21.05" customHeight="1" spans="1:12">
      <c r="A193" s="10"/>
      <c r="B193" s="10"/>
      <c r="C193" s="10" t="s">
        <v>380</v>
      </c>
      <c r="D193" s="10" t="s">
        <v>381</v>
      </c>
      <c r="E193" s="10" t="s">
        <v>382</v>
      </c>
      <c r="F193" s="10" t="s">
        <v>852</v>
      </c>
      <c r="G193" s="24">
        <v>0</v>
      </c>
      <c r="H193" s="24">
        <v>0</v>
      </c>
      <c r="I193" s="24">
        <v>0</v>
      </c>
      <c r="J193" s="25">
        <v>0</v>
      </c>
      <c r="K193" s="24">
        <v>0</v>
      </c>
      <c r="L193" s="24">
        <v>0</v>
      </c>
    </row>
    <row r="194" ht="21.05" customHeight="1" spans="1:12">
      <c r="A194" s="10"/>
      <c r="B194" s="10"/>
      <c r="C194" s="10"/>
      <c r="D194" s="10" t="s">
        <v>383</v>
      </c>
      <c r="E194" s="10" t="s">
        <v>382</v>
      </c>
      <c r="F194" s="10" t="s">
        <v>852</v>
      </c>
      <c r="G194" s="24">
        <v>0</v>
      </c>
      <c r="H194" s="24">
        <v>54.7</v>
      </c>
      <c r="I194" s="24">
        <v>0</v>
      </c>
      <c r="J194" s="25">
        <v>0</v>
      </c>
      <c r="K194" s="24">
        <v>53.8563</v>
      </c>
      <c r="L194" s="24">
        <v>53.8563</v>
      </c>
    </row>
    <row r="195" ht="21.05" customHeight="1" spans="1:12">
      <c r="A195" s="10"/>
      <c r="B195" s="10"/>
      <c r="C195" s="10"/>
      <c r="D195" s="10"/>
      <c r="E195" s="10"/>
      <c r="F195" s="10" t="s">
        <v>864</v>
      </c>
      <c r="G195" s="24">
        <v>0</v>
      </c>
      <c r="H195" s="24">
        <v>0</v>
      </c>
      <c r="I195" s="24">
        <v>0</v>
      </c>
      <c r="J195" s="25">
        <v>0</v>
      </c>
      <c r="K195" s="24">
        <v>0</v>
      </c>
      <c r="L195" s="24">
        <v>0</v>
      </c>
    </row>
    <row r="196" ht="21.05" customHeight="1" spans="1:12">
      <c r="A196" s="10"/>
      <c r="B196" s="10"/>
      <c r="C196" s="10"/>
      <c r="D196" s="10"/>
      <c r="E196" s="10"/>
      <c r="F196" s="10" t="s">
        <v>898</v>
      </c>
      <c r="G196" s="24">
        <v>0</v>
      </c>
      <c r="H196" s="24">
        <v>0</v>
      </c>
      <c r="I196" s="24">
        <v>0</v>
      </c>
      <c r="J196" s="25">
        <v>0</v>
      </c>
      <c r="K196" s="24">
        <v>0</v>
      </c>
      <c r="L196" s="24">
        <v>0</v>
      </c>
    </row>
    <row r="197" ht="21.05" customHeight="1" spans="1:12">
      <c r="A197" s="10"/>
      <c r="B197" s="10"/>
      <c r="C197" s="10" t="s">
        <v>384</v>
      </c>
      <c r="D197" s="10" t="s">
        <v>358</v>
      </c>
      <c r="E197" s="10" t="s">
        <v>359</v>
      </c>
      <c r="F197" s="10" t="s">
        <v>852</v>
      </c>
      <c r="G197" s="24">
        <v>0.03</v>
      </c>
      <c r="H197" s="24">
        <v>9.73</v>
      </c>
      <c r="I197" s="24">
        <v>0.0295</v>
      </c>
      <c r="J197" s="25">
        <v>0.0005</v>
      </c>
      <c r="K197" s="24">
        <v>9.7306</v>
      </c>
      <c r="L197" s="24">
        <v>9.7306</v>
      </c>
    </row>
    <row r="198" ht="21.05" customHeight="1" spans="1:12">
      <c r="A198" s="10"/>
      <c r="B198" s="10"/>
      <c r="C198" s="10" t="s">
        <v>386</v>
      </c>
      <c r="D198" s="10" t="s">
        <v>387</v>
      </c>
      <c r="E198" s="10" t="s">
        <v>356</v>
      </c>
      <c r="F198" s="10" t="s">
        <v>852</v>
      </c>
      <c r="G198" s="24">
        <v>0</v>
      </c>
      <c r="H198" s="24">
        <v>113</v>
      </c>
      <c r="I198" s="24">
        <v>0</v>
      </c>
      <c r="J198" s="25">
        <v>0</v>
      </c>
      <c r="K198" s="24">
        <v>107.2338</v>
      </c>
      <c r="L198" s="24">
        <v>107.2338</v>
      </c>
    </row>
    <row r="199" ht="21.05" customHeight="1" spans="1:12">
      <c r="A199" s="10"/>
      <c r="B199" s="10"/>
      <c r="C199" s="10"/>
      <c r="D199" s="10" t="s">
        <v>355</v>
      </c>
      <c r="E199" s="10" t="s">
        <v>356</v>
      </c>
      <c r="F199" s="10" t="s">
        <v>852</v>
      </c>
      <c r="G199" s="24">
        <v>20.87</v>
      </c>
      <c r="H199" s="24">
        <v>855.97</v>
      </c>
      <c r="I199" s="24">
        <v>20.8316</v>
      </c>
      <c r="J199" s="25">
        <v>0.0384</v>
      </c>
      <c r="K199" s="24">
        <v>836.6916</v>
      </c>
      <c r="L199" s="24">
        <v>836.6916</v>
      </c>
    </row>
    <row r="200" ht="21.05" customHeight="1" spans="1:12">
      <c r="A200" s="10"/>
      <c r="B200" s="10"/>
      <c r="C200" s="10"/>
      <c r="D200" s="10"/>
      <c r="E200" s="10"/>
      <c r="F200" s="10" t="s">
        <v>904</v>
      </c>
      <c r="G200" s="24">
        <v>0</v>
      </c>
      <c r="H200" s="24">
        <v>0</v>
      </c>
      <c r="I200" s="24">
        <v>0</v>
      </c>
      <c r="J200" s="25">
        <v>0</v>
      </c>
      <c r="K200" s="24">
        <v>0</v>
      </c>
      <c r="L200" s="24">
        <v>0</v>
      </c>
    </row>
    <row r="201" ht="21.05" customHeight="1" spans="1:12">
      <c r="A201" s="10"/>
      <c r="B201" s="10"/>
      <c r="C201" s="10"/>
      <c r="D201" s="10"/>
      <c r="E201" s="10"/>
      <c r="F201" s="10" t="s">
        <v>864</v>
      </c>
      <c r="G201" s="24">
        <v>4.6</v>
      </c>
      <c r="H201" s="24">
        <v>202.6</v>
      </c>
      <c r="I201" s="24">
        <v>4.5909</v>
      </c>
      <c r="J201" s="25">
        <v>0.0091</v>
      </c>
      <c r="K201" s="24">
        <v>197.667</v>
      </c>
      <c r="L201" s="24">
        <v>197.667</v>
      </c>
    </row>
    <row r="202" ht="21.05" customHeight="1" spans="1:12">
      <c r="A202" s="10"/>
      <c r="B202" s="10"/>
      <c r="C202" s="10" t="s">
        <v>389</v>
      </c>
      <c r="D202" s="10" t="s">
        <v>358</v>
      </c>
      <c r="E202" s="10" t="s">
        <v>359</v>
      </c>
      <c r="F202" s="10" t="s">
        <v>852</v>
      </c>
      <c r="G202" s="24">
        <v>0.5</v>
      </c>
      <c r="H202" s="24">
        <v>63.7</v>
      </c>
      <c r="I202" s="24">
        <v>0.4995</v>
      </c>
      <c r="J202" s="25">
        <v>0.0005</v>
      </c>
      <c r="K202" s="24">
        <v>63.578</v>
      </c>
      <c r="L202" s="24">
        <v>63.578</v>
      </c>
    </row>
    <row r="203" ht="21.05" customHeight="1" spans="1:12">
      <c r="A203" s="10"/>
      <c r="B203" s="10"/>
      <c r="C203" s="10" t="s">
        <v>390</v>
      </c>
      <c r="D203" s="10" t="s">
        <v>391</v>
      </c>
      <c r="E203" s="10" t="s">
        <v>359</v>
      </c>
      <c r="F203" s="10" t="s">
        <v>869</v>
      </c>
      <c r="G203" s="24">
        <v>0</v>
      </c>
      <c r="H203" s="24">
        <v>0</v>
      </c>
      <c r="I203" s="24">
        <v>0</v>
      </c>
      <c r="J203" s="25">
        <v>0</v>
      </c>
      <c r="K203" s="24">
        <v>0</v>
      </c>
      <c r="L203" s="24">
        <v>0</v>
      </c>
    </row>
    <row r="204" ht="21.05" customHeight="1" spans="1:12">
      <c r="A204" s="10"/>
      <c r="B204" s="10"/>
      <c r="C204" s="10"/>
      <c r="D204" s="10"/>
      <c r="E204" s="10"/>
      <c r="F204" s="10" t="s">
        <v>852</v>
      </c>
      <c r="G204" s="24">
        <v>0.45</v>
      </c>
      <c r="H204" s="24">
        <v>48.15</v>
      </c>
      <c r="I204" s="24">
        <v>0.45</v>
      </c>
      <c r="J204" s="25">
        <v>0</v>
      </c>
      <c r="K204" s="24">
        <v>48.15</v>
      </c>
      <c r="L204" s="24">
        <v>48.15</v>
      </c>
    </row>
    <row r="205" ht="21.05" customHeight="1" spans="1:12">
      <c r="A205" s="10"/>
      <c r="B205" s="10"/>
      <c r="C205" s="10" t="s">
        <v>392</v>
      </c>
      <c r="D205" s="10" t="s">
        <v>374</v>
      </c>
      <c r="E205" s="10" t="s">
        <v>359</v>
      </c>
      <c r="F205" s="10" t="s">
        <v>872</v>
      </c>
      <c r="G205" s="24">
        <v>0</v>
      </c>
      <c r="H205" s="24">
        <v>0</v>
      </c>
      <c r="I205" s="24">
        <v>0</v>
      </c>
      <c r="J205" s="25">
        <v>0</v>
      </c>
      <c r="K205" s="24">
        <v>0</v>
      </c>
      <c r="L205" s="24">
        <v>0</v>
      </c>
    </row>
    <row r="206" ht="21.05" customHeight="1" spans="1:12">
      <c r="A206" s="10"/>
      <c r="B206" s="10"/>
      <c r="C206" s="10"/>
      <c r="D206" s="10"/>
      <c r="E206" s="10"/>
      <c r="F206" s="10" t="s">
        <v>869</v>
      </c>
      <c r="G206" s="24">
        <v>0</v>
      </c>
      <c r="H206" s="24">
        <v>0</v>
      </c>
      <c r="I206" s="24">
        <v>0</v>
      </c>
      <c r="J206" s="25">
        <v>0</v>
      </c>
      <c r="K206" s="24">
        <v>0</v>
      </c>
      <c r="L206" s="24">
        <v>0</v>
      </c>
    </row>
    <row r="207" ht="21.05" customHeight="1" spans="1:12">
      <c r="A207" s="10"/>
      <c r="B207" s="10"/>
      <c r="C207" s="10"/>
      <c r="D207" s="10"/>
      <c r="E207" s="10"/>
      <c r="F207" s="10" t="s">
        <v>852</v>
      </c>
      <c r="G207" s="24">
        <v>0</v>
      </c>
      <c r="H207" s="24">
        <v>179.9285</v>
      </c>
      <c r="I207" s="24">
        <v>0</v>
      </c>
      <c r="J207" s="25">
        <v>0</v>
      </c>
      <c r="K207" s="24">
        <v>177.856</v>
      </c>
      <c r="L207" s="24">
        <v>177.856</v>
      </c>
    </row>
    <row r="208" ht="21.05" customHeight="1" spans="1:12">
      <c r="A208" s="10"/>
      <c r="B208" s="10"/>
      <c r="C208" s="10"/>
      <c r="D208" s="10"/>
      <c r="E208" s="10"/>
      <c r="F208" s="10" t="s">
        <v>864</v>
      </c>
      <c r="G208" s="24">
        <v>0.5</v>
      </c>
      <c r="H208" s="24">
        <v>68.4</v>
      </c>
      <c r="I208" s="24">
        <v>0.4878</v>
      </c>
      <c r="J208" s="25">
        <v>0.0122</v>
      </c>
      <c r="K208" s="24">
        <v>67.8119</v>
      </c>
      <c r="L208" s="24">
        <v>67.8119</v>
      </c>
    </row>
    <row r="209" ht="21.05" customHeight="1" spans="1:12">
      <c r="A209" s="10"/>
      <c r="B209" s="10"/>
      <c r="C209" s="10" t="s">
        <v>394</v>
      </c>
      <c r="D209" s="10" t="s">
        <v>395</v>
      </c>
      <c r="E209" s="10" t="s">
        <v>359</v>
      </c>
      <c r="F209" s="10" t="s">
        <v>852</v>
      </c>
      <c r="G209" s="24">
        <v>0.4</v>
      </c>
      <c r="H209" s="24">
        <v>12.4</v>
      </c>
      <c r="I209" s="24">
        <v>0.399</v>
      </c>
      <c r="J209" s="25">
        <v>0.001</v>
      </c>
      <c r="K209" s="24">
        <v>12.3628</v>
      </c>
      <c r="L209" s="24">
        <v>12.3628</v>
      </c>
    </row>
    <row r="210" ht="21.05" customHeight="1" spans="1:12">
      <c r="A210" s="10"/>
      <c r="B210" s="10"/>
      <c r="C210" s="10"/>
      <c r="D210" s="10" t="s">
        <v>397</v>
      </c>
      <c r="E210" s="10" t="s">
        <v>359</v>
      </c>
      <c r="F210" s="10" t="s">
        <v>852</v>
      </c>
      <c r="G210" s="24">
        <v>0.62</v>
      </c>
      <c r="H210" s="24">
        <v>134.42</v>
      </c>
      <c r="I210" s="24">
        <v>0.6223</v>
      </c>
      <c r="J210" s="25">
        <v>-0.0023</v>
      </c>
      <c r="K210" s="24">
        <v>130.2274</v>
      </c>
      <c r="L210" s="24">
        <v>130.2274</v>
      </c>
    </row>
    <row r="211" ht="21.05" customHeight="1" spans="1:12">
      <c r="A211" s="10"/>
      <c r="B211" s="10"/>
      <c r="C211" s="10" t="s">
        <v>399</v>
      </c>
      <c r="D211" s="10" t="s">
        <v>355</v>
      </c>
      <c r="E211" s="10" t="s">
        <v>356</v>
      </c>
      <c r="F211" s="10" t="s">
        <v>852</v>
      </c>
      <c r="G211" s="24">
        <v>1.7</v>
      </c>
      <c r="H211" s="24">
        <v>159.2</v>
      </c>
      <c r="I211" s="24">
        <v>1.7059</v>
      </c>
      <c r="J211" s="25">
        <v>-0.0059</v>
      </c>
      <c r="K211" s="24">
        <v>150.0053</v>
      </c>
      <c r="L211" s="24">
        <v>150.0053</v>
      </c>
    </row>
    <row r="212" ht="21.05" customHeight="1" spans="1:12">
      <c r="A212" s="10"/>
      <c r="B212" s="10"/>
      <c r="C212" s="10"/>
      <c r="D212" s="10"/>
      <c r="E212" s="10"/>
      <c r="F212" s="10" t="s">
        <v>860</v>
      </c>
      <c r="G212" s="24">
        <v>0</v>
      </c>
      <c r="H212" s="24">
        <v>0</v>
      </c>
      <c r="I212" s="24">
        <v>0</v>
      </c>
      <c r="J212" s="25">
        <v>0</v>
      </c>
      <c r="K212" s="24">
        <v>0</v>
      </c>
      <c r="L212" s="24">
        <v>0</v>
      </c>
    </row>
    <row r="213" ht="21.05" customHeight="1" spans="1:12">
      <c r="A213" s="10"/>
      <c r="B213" s="10"/>
      <c r="C213" s="10"/>
      <c r="D213" s="10"/>
      <c r="E213" s="10"/>
      <c r="F213" s="10" t="s">
        <v>905</v>
      </c>
      <c r="G213" s="24">
        <v>0</v>
      </c>
      <c r="H213" s="24">
        <v>0</v>
      </c>
      <c r="I213" s="24">
        <v>0</v>
      </c>
      <c r="J213" s="25">
        <v>0</v>
      </c>
      <c r="K213" s="24">
        <v>0</v>
      </c>
      <c r="L213" s="24">
        <v>0</v>
      </c>
    </row>
    <row r="214" ht="21.05" customHeight="1" spans="1:12">
      <c r="A214" s="10"/>
      <c r="B214" s="10"/>
      <c r="C214" s="10"/>
      <c r="D214" s="10"/>
      <c r="E214" s="10"/>
      <c r="F214" s="10" t="s">
        <v>864</v>
      </c>
      <c r="G214" s="24">
        <v>0</v>
      </c>
      <c r="H214" s="24">
        <v>0</v>
      </c>
      <c r="I214" s="24">
        <v>0</v>
      </c>
      <c r="J214" s="25">
        <v>0</v>
      </c>
      <c r="K214" s="24">
        <v>0</v>
      </c>
      <c r="L214" s="24">
        <v>0</v>
      </c>
    </row>
    <row r="215" ht="21.05" customHeight="1" spans="1:12">
      <c r="A215" s="10"/>
      <c r="B215" s="10"/>
      <c r="C215" s="10"/>
      <c r="D215" s="10"/>
      <c r="E215" s="10"/>
      <c r="F215" s="10" t="s">
        <v>898</v>
      </c>
      <c r="G215" s="24">
        <v>0</v>
      </c>
      <c r="H215" s="24">
        <v>0</v>
      </c>
      <c r="I215" s="24">
        <v>0</v>
      </c>
      <c r="J215" s="25">
        <v>0</v>
      </c>
      <c r="K215" s="24">
        <v>0</v>
      </c>
      <c r="L215" s="24">
        <v>0</v>
      </c>
    </row>
    <row r="216" ht="21.05" customHeight="1" spans="1:12">
      <c r="A216" s="10"/>
      <c r="B216" s="10"/>
      <c r="C216" s="10" t="s">
        <v>401</v>
      </c>
      <c r="D216" s="10" t="s">
        <v>355</v>
      </c>
      <c r="E216" s="10" t="s">
        <v>356</v>
      </c>
      <c r="F216" s="10" t="s">
        <v>852</v>
      </c>
      <c r="G216" s="24">
        <v>2.1</v>
      </c>
      <c r="H216" s="24">
        <v>119.9</v>
      </c>
      <c r="I216" s="24">
        <v>2.0962</v>
      </c>
      <c r="J216" s="25">
        <v>0.0038</v>
      </c>
      <c r="K216" s="24">
        <v>119.7843</v>
      </c>
      <c r="L216" s="24">
        <v>119.7843</v>
      </c>
    </row>
    <row r="217" ht="21.05" customHeight="1" spans="1:12">
      <c r="A217" s="10"/>
      <c r="B217" s="10"/>
      <c r="C217" s="10"/>
      <c r="D217" s="10"/>
      <c r="E217" s="10"/>
      <c r="F217" s="10" t="s">
        <v>864</v>
      </c>
      <c r="G217" s="24">
        <v>3.2</v>
      </c>
      <c r="H217" s="24">
        <v>59.9</v>
      </c>
      <c r="I217" s="24">
        <v>3.1943</v>
      </c>
      <c r="J217" s="25">
        <v>0.0057</v>
      </c>
      <c r="K217" s="24">
        <v>59.7521</v>
      </c>
      <c r="L217" s="24">
        <v>59.7521</v>
      </c>
    </row>
    <row r="218" ht="21.05" customHeight="1" spans="1:12">
      <c r="A218" s="10"/>
      <c r="B218" s="10"/>
      <c r="C218" s="10" t="s">
        <v>403</v>
      </c>
      <c r="D218" s="10" t="s">
        <v>404</v>
      </c>
      <c r="E218" s="10" t="s">
        <v>359</v>
      </c>
      <c r="F218" s="10" t="s">
        <v>852</v>
      </c>
      <c r="G218" s="24">
        <v>0</v>
      </c>
      <c r="H218" s="24">
        <v>0</v>
      </c>
      <c r="I218" s="24">
        <v>0</v>
      </c>
      <c r="J218" s="25">
        <v>0</v>
      </c>
      <c r="K218" s="24">
        <v>0</v>
      </c>
      <c r="L218" s="24">
        <v>0</v>
      </c>
    </row>
    <row r="219" ht="21.05" customHeight="1" spans="1:12">
      <c r="A219" s="10"/>
      <c r="B219" s="10"/>
      <c r="C219" s="10"/>
      <c r="D219" s="10" t="s">
        <v>358</v>
      </c>
      <c r="E219" s="10" t="s">
        <v>359</v>
      </c>
      <c r="F219" s="10" t="s">
        <v>852</v>
      </c>
      <c r="G219" s="24">
        <v>36</v>
      </c>
      <c r="H219" s="24">
        <v>2345</v>
      </c>
      <c r="I219" s="24">
        <v>33.112</v>
      </c>
      <c r="J219" s="25">
        <v>2.888</v>
      </c>
      <c r="K219" s="24">
        <v>2306.635</v>
      </c>
      <c r="L219" s="24">
        <v>2306.635</v>
      </c>
    </row>
    <row r="220" ht="21.05" customHeight="1" spans="1:12">
      <c r="A220" s="10"/>
      <c r="B220" s="10"/>
      <c r="C220" s="10" t="s">
        <v>406</v>
      </c>
      <c r="D220" s="10" t="s">
        <v>407</v>
      </c>
      <c r="E220" s="10" t="s">
        <v>359</v>
      </c>
      <c r="F220" s="10" t="s">
        <v>852</v>
      </c>
      <c r="G220" s="24">
        <v>1.3</v>
      </c>
      <c r="H220" s="24">
        <v>109.51</v>
      </c>
      <c r="I220" s="24">
        <v>1.2123</v>
      </c>
      <c r="J220" s="25">
        <v>0.0877</v>
      </c>
      <c r="K220" s="24">
        <v>107.72</v>
      </c>
      <c r="L220" s="24">
        <v>107.72</v>
      </c>
    </row>
    <row r="221" ht="21.05" customHeight="1" spans="1:12">
      <c r="A221" s="10"/>
      <c r="B221" s="10"/>
      <c r="C221" s="10" t="s">
        <v>410</v>
      </c>
      <c r="D221" s="10" t="s">
        <v>411</v>
      </c>
      <c r="E221" s="10" t="s">
        <v>359</v>
      </c>
      <c r="F221" s="10" t="s">
        <v>852</v>
      </c>
      <c r="G221" s="24">
        <v>4.9</v>
      </c>
      <c r="H221" s="24">
        <v>214.55</v>
      </c>
      <c r="I221" s="24">
        <v>4.8923</v>
      </c>
      <c r="J221" s="25">
        <v>0.0077</v>
      </c>
      <c r="K221" s="24">
        <v>209.5627</v>
      </c>
      <c r="L221" s="24">
        <v>209.5627</v>
      </c>
    </row>
    <row r="222" ht="21.05" customHeight="1" spans="1:12">
      <c r="A222" s="10"/>
      <c r="B222" s="10"/>
      <c r="C222" s="10" t="s">
        <v>91</v>
      </c>
      <c r="D222" s="10" t="s">
        <v>383</v>
      </c>
      <c r="E222" s="10" t="s">
        <v>382</v>
      </c>
      <c r="F222" s="10" t="s">
        <v>852</v>
      </c>
      <c r="G222" s="24">
        <v>3.2</v>
      </c>
      <c r="H222" s="24">
        <v>292.1</v>
      </c>
      <c r="I222" s="24">
        <v>3.0094</v>
      </c>
      <c r="J222" s="25">
        <v>0.1906</v>
      </c>
      <c r="K222" s="24">
        <v>284.5305</v>
      </c>
      <c r="L222" s="24">
        <v>284.5305</v>
      </c>
    </row>
    <row r="223" ht="21.05" customHeight="1" spans="1:12">
      <c r="A223" s="10"/>
      <c r="B223" s="10"/>
      <c r="C223" s="10"/>
      <c r="D223" s="10"/>
      <c r="E223" s="10"/>
      <c r="F223" s="10" t="s">
        <v>877</v>
      </c>
      <c r="G223" s="24">
        <v>0</v>
      </c>
      <c r="H223" s="24">
        <v>0</v>
      </c>
      <c r="I223" s="24">
        <v>0</v>
      </c>
      <c r="J223" s="25">
        <v>0</v>
      </c>
      <c r="K223" s="24">
        <v>0</v>
      </c>
      <c r="L223" s="24">
        <v>0</v>
      </c>
    </row>
    <row r="224" ht="21.05" customHeight="1" spans="1:12">
      <c r="A224" s="10"/>
      <c r="B224" s="10"/>
      <c r="C224" s="10"/>
      <c r="D224" s="10"/>
      <c r="E224" s="10"/>
      <c r="F224" s="10" t="s">
        <v>879</v>
      </c>
      <c r="G224" s="24">
        <v>0</v>
      </c>
      <c r="H224" s="24">
        <v>0</v>
      </c>
      <c r="I224" s="24">
        <v>0</v>
      </c>
      <c r="J224" s="25">
        <v>0</v>
      </c>
      <c r="K224" s="24">
        <v>0</v>
      </c>
      <c r="L224" s="24">
        <v>0</v>
      </c>
    </row>
    <row r="225" ht="21.05" customHeight="1" spans="1:12">
      <c r="A225" s="10"/>
      <c r="B225" s="10"/>
      <c r="C225" s="10"/>
      <c r="D225" s="10"/>
      <c r="E225" s="10"/>
      <c r="F225" s="10" t="s">
        <v>860</v>
      </c>
      <c r="G225" s="24">
        <v>0</v>
      </c>
      <c r="H225" s="24">
        <v>0</v>
      </c>
      <c r="I225" s="24">
        <v>0</v>
      </c>
      <c r="J225" s="25">
        <v>0</v>
      </c>
      <c r="K225" s="24">
        <v>0</v>
      </c>
      <c r="L225" s="24">
        <v>0</v>
      </c>
    </row>
    <row r="226" ht="21.05" customHeight="1" spans="1:12">
      <c r="A226" s="10"/>
      <c r="B226" s="10"/>
      <c r="C226" s="10"/>
      <c r="D226" s="10"/>
      <c r="E226" s="10"/>
      <c r="F226" s="10" t="s">
        <v>906</v>
      </c>
      <c r="G226" s="24">
        <v>0</v>
      </c>
      <c r="H226" s="24">
        <v>0</v>
      </c>
      <c r="I226" s="24">
        <v>0</v>
      </c>
      <c r="J226" s="25">
        <v>0</v>
      </c>
      <c r="K226" s="24">
        <v>0</v>
      </c>
      <c r="L226" s="24">
        <v>0</v>
      </c>
    </row>
    <row r="227" ht="21.05" customHeight="1" spans="1:12">
      <c r="A227" s="10"/>
      <c r="B227" s="10"/>
      <c r="C227" s="10"/>
      <c r="D227" s="10"/>
      <c r="E227" s="10"/>
      <c r="F227" s="10" t="s">
        <v>864</v>
      </c>
      <c r="G227" s="24">
        <v>0.7</v>
      </c>
      <c r="H227" s="24">
        <v>33.94</v>
      </c>
      <c r="I227" s="24">
        <v>0.6583</v>
      </c>
      <c r="J227" s="25">
        <v>0.0417</v>
      </c>
      <c r="K227" s="24">
        <v>31.6376</v>
      </c>
      <c r="L227" s="24">
        <v>31.6376</v>
      </c>
    </row>
    <row r="228" ht="21.05" customHeight="1" spans="1:12">
      <c r="A228" s="10"/>
      <c r="B228" s="10"/>
      <c r="C228" s="10"/>
      <c r="D228" s="10"/>
      <c r="E228" s="10"/>
      <c r="F228" s="10" t="s">
        <v>898</v>
      </c>
      <c r="G228" s="24">
        <v>0.8</v>
      </c>
      <c r="H228" s="24">
        <v>15.8</v>
      </c>
      <c r="I228" s="24">
        <v>0.7523</v>
      </c>
      <c r="J228" s="25">
        <v>0.0477</v>
      </c>
      <c r="K228" s="24">
        <v>15.1886</v>
      </c>
      <c r="L228" s="24">
        <v>15.1886</v>
      </c>
    </row>
    <row r="229" ht="21.05" customHeight="1" spans="1:12">
      <c r="A229" s="10"/>
      <c r="B229" s="10"/>
      <c r="C229" s="10" t="s">
        <v>414</v>
      </c>
      <c r="D229" s="10" t="s">
        <v>355</v>
      </c>
      <c r="E229" s="10" t="s">
        <v>356</v>
      </c>
      <c r="F229" s="10" t="s">
        <v>852</v>
      </c>
      <c r="G229" s="24">
        <v>26.7</v>
      </c>
      <c r="H229" s="24">
        <v>1160.5</v>
      </c>
      <c r="I229" s="24">
        <v>26.7062</v>
      </c>
      <c r="J229" s="25">
        <v>-0.0062</v>
      </c>
      <c r="K229" s="24">
        <v>1160.7717</v>
      </c>
      <c r="L229" s="24">
        <v>1160.7717</v>
      </c>
    </row>
    <row r="230" ht="21.05" customHeight="1" spans="1:12">
      <c r="A230" s="10"/>
      <c r="B230" s="10"/>
      <c r="C230" s="10"/>
      <c r="D230" s="10"/>
      <c r="E230" s="10"/>
      <c r="F230" s="10" t="s">
        <v>904</v>
      </c>
      <c r="G230" s="24">
        <v>0</v>
      </c>
      <c r="H230" s="24">
        <v>0</v>
      </c>
      <c r="I230" s="24">
        <v>0</v>
      </c>
      <c r="J230" s="25">
        <v>0</v>
      </c>
      <c r="K230" s="24">
        <v>0</v>
      </c>
      <c r="L230" s="24">
        <v>0</v>
      </c>
    </row>
    <row r="231" ht="21.05" customHeight="1" spans="1:12">
      <c r="A231" s="10"/>
      <c r="B231" s="10"/>
      <c r="C231" s="10"/>
      <c r="D231" s="10"/>
      <c r="E231" s="10"/>
      <c r="F231" s="10" t="s">
        <v>860</v>
      </c>
      <c r="G231" s="24">
        <v>0</v>
      </c>
      <c r="H231" s="24">
        <v>0</v>
      </c>
      <c r="I231" s="24">
        <v>0</v>
      </c>
      <c r="J231" s="25">
        <v>0</v>
      </c>
      <c r="K231" s="24">
        <v>0</v>
      </c>
      <c r="L231" s="24">
        <v>0</v>
      </c>
    </row>
    <row r="232" ht="21.05" customHeight="1" spans="1:12">
      <c r="A232" s="10"/>
      <c r="B232" s="10"/>
      <c r="C232" s="10"/>
      <c r="D232" s="10"/>
      <c r="E232" s="10"/>
      <c r="F232" s="10" t="s">
        <v>864</v>
      </c>
      <c r="G232" s="24">
        <v>12.3</v>
      </c>
      <c r="H232" s="24">
        <v>259.6</v>
      </c>
      <c r="I232" s="24">
        <v>12.3029</v>
      </c>
      <c r="J232" s="25">
        <v>-0.0029</v>
      </c>
      <c r="K232" s="24">
        <v>259.6579</v>
      </c>
      <c r="L232" s="24">
        <v>259.6579</v>
      </c>
    </row>
    <row r="233" ht="21.05" customHeight="1" spans="1:12">
      <c r="A233" s="10"/>
      <c r="B233" s="10"/>
      <c r="C233" s="10"/>
      <c r="D233" s="10"/>
      <c r="E233" s="10"/>
      <c r="F233" s="10" t="s">
        <v>898</v>
      </c>
      <c r="G233" s="24">
        <v>0</v>
      </c>
      <c r="H233" s="24">
        <v>0</v>
      </c>
      <c r="I233" s="24">
        <v>0</v>
      </c>
      <c r="J233" s="25">
        <v>0</v>
      </c>
      <c r="K233" s="24">
        <v>0</v>
      </c>
      <c r="L233" s="24">
        <v>0</v>
      </c>
    </row>
    <row r="234" ht="21.05" customHeight="1" spans="1:12">
      <c r="A234" s="10"/>
      <c r="B234" s="10"/>
      <c r="C234" s="10" t="s">
        <v>64</v>
      </c>
      <c r="D234" s="10" t="s">
        <v>358</v>
      </c>
      <c r="E234" s="10" t="s">
        <v>359</v>
      </c>
      <c r="F234" s="10" t="s">
        <v>852</v>
      </c>
      <c r="G234" s="24">
        <v>1</v>
      </c>
      <c r="H234" s="24">
        <v>43.4</v>
      </c>
      <c r="I234" s="24">
        <v>0.9988</v>
      </c>
      <c r="J234" s="25">
        <v>0.0012</v>
      </c>
      <c r="K234" s="24">
        <v>43.3288</v>
      </c>
      <c r="L234" s="24">
        <v>43.3288</v>
      </c>
    </row>
    <row r="235" ht="21.05" customHeight="1" spans="1:12">
      <c r="A235" s="10"/>
      <c r="B235" s="10"/>
      <c r="C235" s="10" t="s">
        <v>65</v>
      </c>
      <c r="D235" s="10" t="s">
        <v>416</v>
      </c>
      <c r="E235" s="10" t="s">
        <v>359</v>
      </c>
      <c r="F235" s="10" t="s">
        <v>852</v>
      </c>
      <c r="G235" s="24">
        <v>19.9</v>
      </c>
      <c r="H235" s="24">
        <v>711.31</v>
      </c>
      <c r="I235" s="24">
        <v>19.3846</v>
      </c>
      <c r="J235" s="25">
        <v>0.5154</v>
      </c>
      <c r="K235" s="24">
        <v>697.426</v>
      </c>
      <c r="L235" s="24">
        <v>697.426</v>
      </c>
    </row>
    <row r="236" ht="21.05" customHeight="1" spans="1:12">
      <c r="A236" s="10"/>
      <c r="B236" s="10"/>
      <c r="C236" s="10" t="s">
        <v>418</v>
      </c>
      <c r="D236" s="10" t="s">
        <v>419</v>
      </c>
      <c r="E236" s="10" t="s">
        <v>359</v>
      </c>
      <c r="F236" s="10" t="s">
        <v>903</v>
      </c>
      <c r="G236" s="24">
        <v>0</v>
      </c>
      <c r="H236" s="24">
        <v>0</v>
      </c>
      <c r="I236" s="24">
        <v>0</v>
      </c>
      <c r="J236" s="25">
        <v>0</v>
      </c>
      <c r="K236" s="24">
        <v>0</v>
      </c>
      <c r="L236" s="24">
        <v>0</v>
      </c>
    </row>
    <row r="237" ht="21.05" customHeight="1" spans="1:12">
      <c r="A237" s="10"/>
      <c r="B237" s="10"/>
      <c r="C237" s="10"/>
      <c r="D237" s="10"/>
      <c r="E237" s="10"/>
      <c r="F237" s="10" t="s">
        <v>891</v>
      </c>
      <c r="G237" s="24">
        <v>0</v>
      </c>
      <c r="H237" s="24">
        <v>0</v>
      </c>
      <c r="I237" s="24">
        <v>0</v>
      </c>
      <c r="J237" s="25">
        <v>0</v>
      </c>
      <c r="K237" s="24">
        <v>0</v>
      </c>
      <c r="L237" s="24">
        <v>0</v>
      </c>
    </row>
    <row r="238" ht="21.05" customHeight="1" spans="1:12">
      <c r="A238" s="10"/>
      <c r="B238" s="10"/>
      <c r="C238" s="10"/>
      <c r="D238" s="10"/>
      <c r="E238" s="10"/>
      <c r="F238" s="10" t="s">
        <v>864</v>
      </c>
      <c r="G238" s="24">
        <v>0</v>
      </c>
      <c r="H238" s="24">
        <v>0</v>
      </c>
      <c r="I238" s="24">
        <v>0</v>
      </c>
      <c r="J238" s="25">
        <v>0</v>
      </c>
      <c r="K238" s="24">
        <v>0</v>
      </c>
      <c r="L238" s="24">
        <v>0</v>
      </c>
    </row>
    <row r="239" ht="21.05" customHeight="1" spans="1:12">
      <c r="A239" s="10"/>
      <c r="B239" s="10" t="s">
        <v>420</v>
      </c>
      <c r="C239" s="10" t="s">
        <v>421</v>
      </c>
      <c r="D239" s="10" t="s">
        <v>383</v>
      </c>
      <c r="E239" s="10" t="s">
        <v>382</v>
      </c>
      <c r="F239" s="10" t="s">
        <v>852</v>
      </c>
      <c r="G239" s="24">
        <v>0</v>
      </c>
      <c r="H239" s="24">
        <v>6.3</v>
      </c>
      <c r="I239" s="24">
        <v>0</v>
      </c>
      <c r="J239" s="25">
        <v>0</v>
      </c>
      <c r="K239" s="24">
        <v>6.268</v>
      </c>
      <c r="L239" s="24">
        <v>6.268</v>
      </c>
    </row>
    <row r="240" ht="21.05" customHeight="1" spans="1:12">
      <c r="A240" s="10"/>
      <c r="B240" s="10"/>
      <c r="C240" s="10"/>
      <c r="D240" s="10"/>
      <c r="E240" s="10"/>
      <c r="F240" s="10" t="s">
        <v>864</v>
      </c>
      <c r="G240" s="24">
        <v>0</v>
      </c>
      <c r="H240" s="24">
        <v>0</v>
      </c>
      <c r="I240" s="24">
        <v>0</v>
      </c>
      <c r="J240" s="25">
        <v>0</v>
      </c>
      <c r="K240" s="24">
        <v>0</v>
      </c>
      <c r="L240" s="24">
        <v>0</v>
      </c>
    </row>
    <row r="241" ht="21.05" customHeight="1" spans="1:12">
      <c r="A241" s="10"/>
      <c r="B241" s="10"/>
      <c r="C241" s="10" t="s">
        <v>422</v>
      </c>
      <c r="D241" s="10" t="s">
        <v>383</v>
      </c>
      <c r="E241" s="10" t="s">
        <v>382</v>
      </c>
      <c r="F241" s="10" t="s">
        <v>852</v>
      </c>
      <c r="G241" s="24">
        <v>0.4</v>
      </c>
      <c r="H241" s="24">
        <v>433.05</v>
      </c>
      <c r="I241" s="24">
        <v>0.398</v>
      </c>
      <c r="J241" s="25">
        <v>0.002</v>
      </c>
      <c r="K241" s="24">
        <v>426.8428</v>
      </c>
      <c r="L241" s="24">
        <v>426.8428</v>
      </c>
    </row>
    <row r="242" ht="21.05" customHeight="1" spans="1:12">
      <c r="A242" s="10"/>
      <c r="B242" s="10"/>
      <c r="C242" s="10"/>
      <c r="D242" s="10"/>
      <c r="E242" s="10"/>
      <c r="F242" s="10" t="s">
        <v>860</v>
      </c>
      <c r="G242" s="24">
        <v>0</v>
      </c>
      <c r="H242" s="24">
        <v>0</v>
      </c>
      <c r="I242" s="24">
        <v>0</v>
      </c>
      <c r="J242" s="25">
        <v>0</v>
      </c>
      <c r="K242" s="24">
        <v>0</v>
      </c>
      <c r="L242" s="24">
        <v>0</v>
      </c>
    </row>
    <row r="243" ht="21.05" customHeight="1" spans="1:12">
      <c r="A243" s="10"/>
      <c r="B243" s="10"/>
      <c r="C243" s="10"/>
      <c r="D243" s="10"/>
      <c r="E243" s="10"/>
      <c r="F243" s="10" t="s">
        <v>864</v>
      </c>
      <c r="G243" s="24">
        <v>0</v>
      </c>
      <c r="H243" s="24">
        <v>0</v>
      </c>
      <c r="I243" s="24">
        <v>0</v>
      </c>
      <c r="J243" s="25">
        <v>0</v>
      </c>
      <c r="K243" s="24">
        <v>0</v>
      </c>
      <c r="L243" s="24">
        <v>0</v>
      </c>
    </row>
    <row r="244" ht="21.05" customHeight="1" spans="1:12">
      <c r="A244" s="10"/>
      <c r="B244" s="10"/>
      <c r="C244" s="10"/>
      <c r="D244" s="10"/>
      <c r="E244" s="10"/>
      <c r="F244" s="10" t="s">
        <v>898</v>
      </c>
      <c r="G244" s="24">
        <v>0</v>
      </c>
      <c r="H244" s="24">
        <v>0</v>
      </c>
      <c r="I244" s="24">
        <v>0</v>
      </c>
      <c r="J244" s="25">
        <v>0</v>
      </c>
      <c r="K244" s="24">
        <v>0</v>
      </c>
      <c r="L244" s="24">
        <v>0</v>
      </c>
    </row>
    <row r="245" ht="21.05" customHeight="1" spans="1:12">
      <c r="A245" s="10"/>
      <c r="B245" s="10"/>
      <c r="C245" s="10" t="s">
        <v>424</v>
      </c>
      <c r="D245" s="10" t="s">
        <v>425</v>
      </c>
      <c r="E245" s="10" t="s">
        <v>382</v>
      </c>
      <c r="F245" s="10" t="s">
        <v>852</v>
      </c>
      <c r="G245" s="24">
        <v>22</v>
      </c>
      <c r="H245" s="24">
        <v>860.5</v>
      </c>
      <c r="I245" s="24">
        <v>21.4143</v>
      </c>
      <c r="J245" s="25">
        <v>0.5857</v>
      </c>
      <c r="K245" s="24">
        <v>842.502</v>
      </c>
      <c r="L245" s="24">
        <v>842.502</v>
      </c>
    </row>
    <row r="246" ht="21.05" customHeight="1" spans="1:12">
      <c r="A246" s="10"/>
      <c r="B246" s="10"/>
      <c r="C246" s="10"/>
      <c r="D246" s="10"/>
      <c r="E246" s="10"/>
      <c r="F246" s="10" t="s">
        <v>860</v>
      </c>
      <c r="G246" s="24">
        <v>0</v>
      </c>
      <c r="H246" s="24">
        <v>0</v>
      </c>
      <c r="I246" s="24">
        <v>0</v>
      </c>
      <c r="J246" s="25">
        <v>0</v>
      </c>
      <c r="K246" s="24">
        <v>0</v>
      </c>
      <c r="L246" s="24">
        <v>0</v>
      </c>
    </row>
    <row r="247" ht="21.05" customHeight="1" spans="1:12">
      <c r="A247" s="10"/>
      <c r="B247" s="10"/>
      <c r="C247" s="10"/>
      <c r="D247" s="10"/>
      <c r="E247" s="10"/>
      <c r="F247" s="10" t="s">
        <v>864</v>
      </c>
      <c r="G247" s="24">
        <v>0</v>
      </c>
      <c r="H247" s="24">
        <v>0</v>
      </c>
      <c r="I247" s="24">
        <v>0</v>
      </c>
      <c r="J247" s="25">
        <v>0</v>
      </c>
      <c r="K247" s="24">
        <v>0</v>
      </c>
      <c r="L247" s="24">
        <v>0</v>
      </c>
    </row>
    <row r="248" ht="21.05" customHeight="1" spans="1:12">
      <c r="A248" s="10"/>
      <c r="B248" s="10"/>
      <c r="C248" s="10"/>
      <c r="D248" s="10"/>
      <c r="E248" s="10"/>
      <c r="F248" s="10" t="s">
        <v>898</v>
      </c>
      <c r="G248" s="24">
        <v>0</v>
      </c>
      <c r="H248" s="24">
        <v>0</v>
      </c>
      <c r="I248" s="24">
        <v>0</v>
      </c>
      <c r="J248" s="25">
        <v>0</v>
      </c>
      <c r="K248" s="24">
        <v>0</v>
      </c>
      <c r="L248" s="24">
        <v>0</v>
      </c>
    </row>
    <row r="249" ht="21.05" customHeight="1" spans="1:12">
      <c r="A249" s="10"/>
      <c r="B249" s="10"/>
      <c r="C249" s="10"/>
      <c r="D249" s="10" t="s">
        <v>907</v>
      </c>
      <c r="E249" s="10" t="s">
        <v>382</v>
      </c>
      <c r="F249" s="10" t="s">
        <v>898</v>
      </c>
      <c r="G249" s="24">
        <v>0</v>
      </c>
      <c r="H249" s="24">
        <v>0</v>
      </c>
      <c r="I249" s="24">
        <v>0</v>
      </c>
      <c r="J249" s="25">
        <v>0</v>
      </c>
      <c r="K249" s="24">
        <v>0</v>
      </c>
      <c r="L249" s="24">
        <v>0</v>
      </c>
    </row>
    <row r="250" ht="21.05" customHeight="1" spans="1:12">
      <c r="A250" s="10"/>
      <c r="B250" s="10"/>
      <c r="C250" s="10"/>
      <c r="D250" s="10" t="s">
        <v>383</v>
      </c>
      <c r="E250" s="10" t="s">
        <v>382</v>
      </c>
      <c r="F250" s="10" t="s">
        <v>852</v>
      </c>
      <c r="G250" s="24">
        <v>35.5</v>
      </c>
      <c r="H250" s="24">
        <v>1384</v>
      </c>
      <c r="I250" s="24">
        <v>29.5448</v>
      </c>
      <c r="J250" s="25">
        <v>5.9552</v>
      </c>
      <c r="K250" s="24">
        <v>1287.6477</v>
      </c>
      <c r="L250" s="24">
        <v>1287.6477</v>
      </c>
    </row>
    <row r="251" ht="21.05" customHeight="1" spans="1:12">
      <c r="A251" s="10"/>
      <c r="B251" s="10"/>
      <c r="C251" s="10"/>
      <c r="D251" s="10"/>
      <c r="E251" s="10"/>
      <c r="F251" s="10" t="s">
        <v>860</v>
      </c>
      <c r="G251" s="24">
        <v>0</v>
      </c>
      <c r="H251" s="24">
        <v>0</v>
      </c>
      <c r="I251" s="24">
        <v>0</v>
      </c>
      <c r="J251" s="25">
        <v>0</v>
      </c>
      <c r="K251" s="24">
        <v>0</v>
      </c>
      <c r="L251" s="24">
        <v>0</v>
      </c>
    </row>
    <row r="252" ht="21.05" customHeight="1" spans="1:12">
      <c r="A252" s="10"/>
      <c r="B252" s="10"/>
      <c r="C252" s="10"/>
      <c r="D252" s="10"/>
      <c r="E252" s="10"/>
      <c r="F252" s="10" t="s">
        <v>181</v>
      </c>
      <c r="G252" s="24">
        <v>0</v>
      </c>
      <c r="H252" s="24">
        <v>0</v>
      </c>
      <c r="I252" s="24">
        <v>0</v>
      </c>
      <c r="J252" s="25">
        <v>0</v>
      </c>
      <c r="K252" s="24">
        <v>0</v>
      </c>
      <c r="L252" s="24">
        <v>0</v>
      </c>
    </row>
    <row r="253" ht="21.05" customHeight="1" spans="1:12">
      <c r="A253" s="10"/>
      <c r="B253" s="10"/>
      <c r="C253" s="10"/>
      <c r="D253" s="10"/>
      <c r="E253" s="10"/>
      <c r="F253" s="10" t="s">
        <v>864</v>
      </c>
      <c r="G253" s="24">
        <v>0</v>
      </c>
      <c r="H253" s="24">
        <v>0</v>
      </c>
      <c r="I253" s="24">
        <v>0</v>
      </c>
      <c r="J253" s="25">
        <v>0</v>
      </c>
      <c r="K253" s="24">
        <v>0</v>
      </c>
      <c r="L253" s="24">
        <v>0</v>
      </c>
    </row>
    <row r="254" ht="21.05" customHeight="1" spans="1:12">
      <c r="A254" s="10"/>
      <c r="B254" s="10"/>
      <c r="C254" s="10"/>
      <c r="D254" s="10"/>
      <c r="E254" s="10"/>
      <c r="F254" s="10" t="s">
        <v>898</v>
      </c>
      <c r="G254" s="24">
        <v>0</v>
      </c>
      <c r="H254" s="24">
        <v>19.5</v>
      </c>
      <c r="I254" s="24">
        <v>0</v>
      </c>
      <c r="J254" s="25">
        <v>0</v>
      </c>
      <c r="K254" s="24">
        <v>17.6064</v>
      </c>
      <c r="L254" s="24">
        <v>17.6064</v>
      </c>
    </row>
    <row r="255" ht="21.05" customHeight="1" spans="1:12">
      <c r="A255" s="10"/>
      <c r="B255" s="10"/>
      <c r="C255" s="10"/>
      <c r="D255" s="10" t="s">
        <v>428</v>
      </c>
      <c r="E255" s="10" t="s">
        <v>382</v>
      </c>
      <c r="F255" s="10" t="s">
        <v>852</v>
      </c>
      <c r="G255" s="24">
        <v>0</v>
      </c>
      <c r="H255" s="24">
        <v>57</v>
      </c>
      <c r="I255" s="24">
        <v>0</v>
      </c>
      <c r="J255" s="25">
        <v>0</v>
      </c>
      <c r="K255" s="24">
        <v>54.8282</v>
      </c>
      <c r="L255" s="24">
        <v>54.8282</v>
      </c>
    </row>
    <row r="256" ht="21.05" customHeight="1" spans="1:12">
      <c r="A256" s="10"/>
      <c r="B256" s="10"/>
      <c r="C256" s="10" t="s">
        <v>429</v>
      </c>
      <c r="D256" s="10" t="s">
        <v>383</v>
      </c>
      <c r="E256" s="10" t="s">
        <v>382</v>
      </c>
      <c r="F256" s="10" t="s">
        <v>852</v>
      </c>
      <c r="G256" s="24">
        <v>20.8</v>
      </c>
      <c r="H256" s="24">
        <v>671.1</v>
      </c>
      <c r="I256" s="24">
        <v>20.7792</v>
      </c>
      <c r="J256" s="25">
        <v>0.0208</v>
      </c>
      <c r="K256" s="24">
        <v>669.8858</v>
      </c>
      <c r="L256" s="24">
        <v>669.8858</v>
      </c>
    </row>
    <row r="257" ht="21.05" customHeight="1" spans="1:12">
      <c r="A257" s="10"/>
      <c r="B257" s="10"/>
      <c r="C257" s="10"/>
      <c r="D257" s="10"/>
      <c r="E257" s="10"/>
      <c r="F257" s="10" t="s">
        <v>860</v>
      </c>
      <c r="G257" s="24">
        <v>0</v>
      </c>
      <c r="H257" s="24">
        <v>0</v>
      </c>
      <c r="I257" s="24">
        <v>0</v>
      </c>
      <c r="J257" s="25">
        <v>0</v>
      </c>
      <c r="K257" s="24">
        <v>0</v>
      </c>
      <c r="L257" s="24">
        <v>0</v>
      </c>
    </row>
    <row r="258" ht="21.05" customHeight="1" spans="1:12">
      <c r="A258" s="10"/>
      <c r="B258" s="10"/>
      <c r="C258" s="10"/>
      <c r="D258" s="10"/>
      <c r="E258" s="10"/>
      <c r="F258" s="10" t="s">
        <v>864</v>
      </c>
      <c r="G258" s="24">
        <v>0</v>
      </c>
      <c r="H258" s="24">
        <v>0</v>
      </c>
      <c r="I258" s="24">
        <v>0</v>
      </c>
      <c r="J258" s="25">
        <v>0</v>
      </c>
      <c r="K258" s="24">
        <v>0</v>
      </c>
      <c r="L258" s="24">
        <v>0</v>
      </c>
    </row>
    <row r="259" ht="21.05" customHeight="1" spans="1:12">
      <c r="A259" s="10"/>
      <c r="B259" s="10"/>
      <c r="C259" s="10"/>
      <c r="D259" s="10"/>
      <c r="E259" s="10"/>
      <c r="F259" s="10" t="s">
        <v>898</v>
      </c>
      <c r="G259" s="24">
        <v>0</v>
      </c>
      <c r="H259" s="24">
        <v>0</v>
      </c>
      <c r="I259" s="24">
        <v>0</v>
      </c>
      <c r="J259" s="25">
        <v>0</v>
      </c>
      <c r="K259" s="24">
        <v>0</v>
      </c>
      <c r="L259" s="24">
        <v>0</v>
      </c>
    </row>
    <row r="260" ht="21.05" customHeight="1" spans="1:12">
      <c r="A260" s="10"/>
      <c r="B260" s="10" t="s">
        <v>430</v>
      </c>
      <c r="C260" s="10" t="s">
        <v>431</v>
      </c>
      <c r="D260" s="10" t="s">
        <v>383</v>
      </c>
      <c r="E260" s="10" t="s">
        <v>382</v>
      </c>
      <c r="F260" s="10" t="s">
        <v>908</v>
      </c>
      <c r="G260" s="24">
        <v>0</v>
      </c>
      <c r="H260" s="24">
        <v>0</v>
      </c>
      <c r="I260" s="24">
        <v>0</v>
      </c>
      <c r="J260" s="25">
        <v>0</v>
      </c>
      <c r="K260" s="24">
        <v>0</v>
      </c>
      <c r="L260" s="24">
        <v>0</v>
      </c>
    </row>
    <row r="261" ht="21.05" customHeight="1" spans="1:12">
      <c r="A261" s="10"/>
      <c r="B261" s="10"/>
      <c r="C261" s="10"/>
      <c r="D261" s="10"/>
      <c r="E261" s="10"/>
      <c r="F261" s="10" t="s">
        <v>852</v>
      </c>
      <c r="G261" s="24">
        <v>73</v>
      </c>
      <c r="H261" s="24">
        <v>2083.9</v>
      </c>
      <c r="I261" s="24">
        <v>69.7852</v>
      </c>
      <c r="J261" s="25">
        <v>3.2148</v>
      </c>
      <c r="K261" s="24">
        <v>2020.297</v>
      </c>
      <c r="L261" s="24">
        <v>2020.297</v>
      </c>
    </row>
    <row r="262" ht="21.05" customHeight="1" spans="1:12">
      <c r="A262" s="10"/>
      <c r="B262" s="10"/>
      <c r="C262" s="10"/>
      <c r="D262" s="10"/>
      <c r="E262" s="10"/>
      <c r="F262" s="10" t="s">
        <v>877</v>
      </c>
      <c r="G262" s="24">
        <v>0</v>
      </c>
      <c r="H262" s="24">
        <v>0</v>
      </c>
      <c r="I262" s="24">
        <v>0</v>
      </c>
      <c r="J262" s="25">
        <v>0</v>
      </c>
      <c r="K262" s="24">
        <v>0</v>
      </c>
      <c r="L262" s="24">
        <v>0</v>
      </c>
    </row>
    <row r="263" ht="21.05" customHeight="1" spans="1:12">
      <c r="A263" s="10"/>
      <c r="B263" s="10"/>
      <c r="C263" s="10"/>
      <c r="D263" s="10"/>
      <c r="E263" s="10"/>
      <c r="F263" s="10" t="s">
        <v>879</v>
      </c>
      <c r="G263" s="24">
        <v>0</v>
      </c>
      <c r="H263" s="24">
        <v>0</v>
      </c>
      <c r="I263" s="24">
        <v>0</v>
      </c>
      <c r="J263" s="25">
        <v>0</v>
      </c>
      <c r="K263" s="24">
        <v>0</v>
      </c>
      <c r="L263" s="24">
        <v>0</v>
      </c>
    </row>
    <row r="264" ht="21.05" customHeight="1" spans="1:12">
      <c r="A264" s="10"/>
      <c r="B264" s="10"/>
      <c r="C264" s="10"/>
      <c r="D264" s="10"/>
      <c r="E264" s="10"/>
      <c r="F264" s="10" t="s">
        <v>860</v>
      </c>
      <c r="G264" s="24">
        <v>0</v>
      </c>
      <c r="H264" s="24">
        <v>0</v>
      </c>
      <c r="I264" s="24">
        <v>0</v>
      </c>
      <c r="J264" s="25">
        <v>0</v>
      </c>
      <c r="K264" s="24">
        <v>0</v>
      </c>
      <c r="L264" s="24">
        <v>0</v>
      </c>
    </row>
    <row r="265" ht="21.05" customHeight="1" spans="1:12">
      <c r="A265" s="10"/>
      <c r="B265" s="10"/>
      <c r="C265" s="10"/>
      <c r="D265" s="10"/>
      <c r="E265" s="10"/>
      <c r="F265" s="10" t="s">
        <v>902</v>
      </c>
      <c r="G265" s="24">
        <v>0</v>
      </c>
      <c r="H265" s="24">
        <v>0</v>
      </c>
      <c r="I265" s="24">
        <v>0</v>
      </c>
      <c r="J265" s="25">
        <v>0</v>
      </c>
      <c r="K265" s="24">
        <v>0</v>
      </c>
      <c r="L265" s="24">
        <v>0</v>
      </c>
    </row>
    <row r="266" ht="21.05" customHeight="1" spans="1:12">
      <c r="A266" s="10"/>
      <c r="B266" s="10"/>
      <c r="C266" s="10"/>
      <c r="D266" s="10"/>
      <c r="E266" s="10"/>
      <c r="F266" s="10" t="s">
        <v>906</v>
      </c>
      <c r="G266" s="24">
        <v>0</v>
      </c>
      <c r="H266" s="24">
        <v>0</v>
      </c>
      <c r="I266" s="24">
        <v>0</v>
      </c>
      <c r="J266" s="25">
        <v>0</v>
      </c>
      <c r="K266" s="24">
        <v>0</v>
      </c>
      <c r="L266" s="24">
        <v>0</v>
      </c>
    </row>
    <row r="267" ht="21.05" customHeight="1" spans="1:12">
      <c r="A267" s="10"/>
      <c r="B267" s="10"/>
      <c r="C267" s="10"/>
      <c r="D267" s="10"/>
      <c r="E267" s="10"/>
      <c r="F267" s="10" t="s">
        <v>864</v>
      </c>
      <c r="G267" s="24">
        <v>0.4</v>
      </c>
      <c r="H267" s="24">
        <v>30.4</v>
      </c>
      <c r="I267" s="24">
        <v>0.3824</v>
      </c>
      <c r="J267" s="25">
        <v>0.0176</v>
      </c>
      <c r="K267" s="24">
        <v>29.3662</v>
      </c>
      <c r="L267" s="24">
        <v>29.3662</v>
      </c>
    </row>
    <row r="268" ht="21.05" customHeight="1" spans="1:12">
      <c r="A268" s="10"/>
      <c r="B268" s="10"/>
      <c r="C268" s="10"/>
      <c r="D268" s="10"/>
      <c r="E268" s="10"/>
      <c r="F268" s="10" t="s">
        <v>898</v>
      </c>
      <c r="G268" s="24">
        <v>0.2</v>
      </c>
      <c r="H268" s="24">
        <v>93.06</v>
      </c>
      <c r="I268" s="24">
        <v>0.1912</v>
      </c>
      <c r="J268" s="25">
        <v>0.0088</v>
      </c>
      <c r="K268" s="24">
        <v>89.9274</v>
      </c>
      <c r="L268" s="24">
        <v>89.9274</v>
      </c>
    </row>
    <row r="269" ht="21.05" customHeight="1" spans="1:12">
      <c r="A269" s="10"/>
      <c r="B269" s="10"/>
      <c r="C269" s="10"/>
      <c r="D269" s="10" t="s">
        <v>433</v>
      </c>
      <c r="E269" s="10" t="s">
        <v>382</v>
      </c>
      <c r="F269" s="10" t="s">
        <v>909</v>
      </c>
      <c r="G269" s="24">
        <v>0</v>
      </c>
      <c r="H269" s="24">
        <v>0</v>
      </c>
      <c r="I269" s="24">
        <v>0</v>
      </c>
      <c r="J269" s="25">
        <v>0</v>
      </c>
      <c r="K269" s="24">
        <v>0</v>
      </c>
      <c r="L269" s="24">
        <v>0</v>
      </c>
    </row>
    <row r="270" ht="21.05" customHeight="1" spans="1:12">
      <c r="A270" s="10"/>
      <c r="B270" s="10"/>
      <c r="C270" s="10"/>
      <c r="D270" s="10"/>
      <c r="E270" s="10"/>
      <c r="F270" s="10" t="s">
        <v>910</v>
      </c>
      <c r="G270" s="24">
        <v>0</v>
      </c>
      <c r="H270" s="24">
        <v>0</v>
      </c>
      <c r="I270" s="24">
        <v>0</v>
      </c>
      <c r="J270" s="25">
        <v>0</v>
      </c>
      <c r="K270" s="24">
        <v>0</v>
      </c>
      <c r="L270" s="24">
        <v>0</v>
      </c>
    </row>
    <row r="271" ht="21.05" customHeight="1" spans="1:12">
      <c r="A271" s="10"/>
      <c r="B271" s="10"/>
      <c r="C271" s="10"/>
      <c r="D271" s="10"/>
      <c r="E271" s="10"/>
      <c r="F271" s="10" t="s">
        <v>861</v>
      </c>
      <c r="G271" s="24">
        <v>0</v>
      </c>
      <c r="H271" s="24">
        <v>0</v>
      </c>
      <c r="I271" s="24">
        <v>0</v>
      </c>
      <c r="J271" s="25">
        <v>0</v>
      </c>
      <c r="K271" s="24">
        <v>0</v>
      </c>
      <c r="L271" s="24">
        <v>0</v>
      </c>
    </row>
    <row r="272" ht="21.05" customHeight="1" spans="1:12">
      <c r="A272" s="10"/>
      <c r="B272" s="10"/>
      <c r="C272" s="10"/>
      <c r="D272" s="10"/>
      <c r="E272" s="10"/>
      <c r="F272" s="10" t="s">
        <v>906</v>
      </c>
      <c r="G272" s="24">
        <v>0</v>
      </c>
      <c r="H272" s="24">
        <v>0</v>
      </c>
      <c r="I272" s="24">
        <v>0</v>
      </c>
      <c r="J272" s="25">
        <v>0</v>
      </c>
      <c r="K272" s="24">
        <v>0</v>
      </c>
      <c r="L272" s="24">
        <v>0</v>
      </c>
    </row>
    <row r="273" ht="21.05" customHeight="1" spans="1:12">
      <c r="A273" s="10"/>
      <c r="B273" s="10"/>
      <c r="C273" s="10"/>
      <c r="D273" s="10"/>
      <c r="E273" s="10"/>
      <c r="F273" s="10" t="s">
        <v>911</v>
      </c>
      <c r="G273" s="24">
        <v>0</v>
      </c>
      <c r="H273" s="24">
        <v>0</v>
      </c>
      <c r="I273" s="24">
        <v>0</v>
      </c>
      <c r="J273" s="25">
        <v>0</v>
      </c>
      <c r="K273" s="24">
        <v>0</v>
      </c>
      <c r="L273" s="24">
        <v>0</v>
      </c>
    </row>
    <row r="274" ht="21.05" customHeight="1" spans="1:12">
      <c r="A274" s="10"/>
      <c r="B274" s="10"/>
      <c r="C274" s="10"/>
      <c r="D274" s="10"/>
      <c r="E274" s="10"/>
      <c r="F274" s="10" t="s">
        <v>864</v>
      </c>
      <c r="G274" s="24">
        <v>0</v>
      </c>
      <c r="H274" s="24">
        <v>0</v>
      </c>
      <c r="I274" s="24">
        <v>0</v>
      </c>
      <c r="J274" s="25">
        <v>0</v>
      </c>
      <c r="K274" s="24">
        <v>0</v>
      </c>
      <c r="L274" s="24">
        <v>0</v>
      </c>
    </row>
    <row r="275" ht="21.05" customHeight="1" spans="1:12">
      <c r="A275" s="10"/>
      <c r="B275" s="10"/>
      <c r="C275" s="10"/>
      <c r="D275" s="10"/>
      <c r="E275" s="10"/>
      <c r="F275" s="10" t="s">
        <v>898</v>
      </c>
      <c r="G275" s="24">
        <v>2.2</v>
      </c>
      <c r="H275" s="24">
        <v>27.6</v>
      </c>
      <c r="I275" s="24">
        <v>1.7883</v>
      </c>
      <c r="J275" s="25">
        <v>0.4117</v>
      </c>
      <c r="K275" s="24">
        <v>25.7276</v>
      </c>
      <c r="L275" s="24">
        <v>25.7276</v>
      </c>
    </row>
    <row r="276" ht="21.05" customHeight="1" spans="1:12">
      <c r="A276" s="10"/>
      <c r="B276" s="10"/>
      <c r="C276" s="10"/>
      <c r="D276" s="10"/>
      <c r="E276" s="10"/>
      <c r="F276" s="10" t="s">
        <v>912</v>
      </c>
      <c r="G276" s="24">
        <v>0</v>
      </c>
      <c r="H276" s="24">
        <v>0</v>
      </c>
      <c r="I276" s="24">
        <v>0</v>
      </c>
      <c r="J276" s="25">
        <v>0</v>
      </c>
      <c r="K276" s="24">
        <v>0</v>
      </c>
      <c r="L276" s="24">
        <v>0</v>
      </c>
    </row>
    <row r="277" ht="21.05" customHeight="1" spans="1:12">
      <c r="A277" s="10"/>
      <c r="B277" s="10" t="s">
        <v>435</v>
      </c>
      <c r="C277" s="10" t="s">
        <v>436</v>
      </c>
      <c r="D277" s="10" t="s">
        <v>383</v>
      </c>
      <c r="E277" s="10" t="s">
        <v>382</v>
      </c>
      <c r="F277" s="10" t="s">
        <v>852</v>
      </c>
      <c r="G277" s="24">
        <v>10.37</v>
      </c>
      <c r="H277" s="24">
        <v>330</v>
      </c>
      <c r="I277" s="24">
        <v>9.4799</v>
      </c>
      <c r="J277" s="25">
        <v>0.8901</v>
      </c>
      <c r="K277" s="24">
        <v>318.1076</v>
      </c>
      <c r="L277" s="24">
        <v>318.1076</v>
      </c>
    </row>
    <row r="278" ht="21.05" customHeight="1" spans="1:12">
      <c r="A278" s="10"/>
      <c r="B278" s="10"/>
      <c r="C278" s="10"/>
      <c r="D278" s="10"/>
      <c r="E278" s="10"/>
      <c r="F278" s="10" t="s">
        <v>864</v>
      </c>
      <c r="G278" s="24">
        <v>1.2</v>
      </c>
      <c r="H278" s="24">
        <v>19.8</v>
      </c>
      <c r="I278" s="24">
        <v>1.097</v>
      </c>
      <c r="J278" s="25">
        <v>0.103</v>
      </c>
      <c r="K278" s="24">
        <v>19.0032</v>
      </c>
      <c r="L278" s="24">
        <v>19.0032</v>
      </c>
    </row>
    <row r="279" ht="21.05" customHeight="1" spans="1:12">
      <c r="A279" s="10"/>
      <c r="B279" s="10" t="s">
        <v>438</v>
      </c>
      <c r="C279" s="10" t="s">
        <v>439</v>
      </c>
      <c r="D279" s="10" t="s">
        <v>440</v>
      </c>
      <c r="E279" s="10" t="s">
        <v>356</v>
      </c>
      <c r="F279" s="10" t="s">
        <v>852</v>
      </c>
      <c r="G279" s="24">
        <v>0</v>
      </c>
      <c r="H279" s="24">
        <v>0</v>
      </c>
      <c r="I279" s="24">
        <v>0</v>
      </c>
      <c r="J279" s="25">
        <v>0</v>
      </c>
      <c r="K279" s="24">
        <v>0</v>
      </c>
      <c r="L279" s="24">
        <v>0</v>
      </c>
    </row>
    <row r="280" ht="21.05" customHeight="1" spans="1:12">
      <c r="A280" s="10"/>
      <c r="B280" s="10"/>
      <c r="C280" s="10"/>
      <c r="D280" s="10"/>
      <c r="E280" s="10"/>
      <c r="F280" s="10" t="s">
        <v>864</v>
      </c>
      <c r="G280" s="24">
        <v>0.6</v>
      </c>
      <c r="H280" s="24">
        <v>20.05</v>
      </c>
      <c r="I280" s="24">
        <v>0.6002</v>
      </c>
      <c r="J280" s="25">
        <v>-0.0002</v>
      </c>
      <c r="K280" s="24">
        <v>19.8929</v>
      </c>
      <c r="L280" s="24">
        <v>19.8929</v>
      </c>
    </row>
    <row r="281" ht="21.05" customHeight="1" spans="1:12">
      <c r="A281" s="10"/>
      <c r="B281" s="10" t="s">
        <v>442</v>
      </c>
      <c r="C281" s="10" t="s">
        <v>443</v>
      </c>
      <c r="D281" s="10" t="s">
        <v>383</v>
      </c>
      <c r="E281" s="10" t="s">
        <v>382</v>
      </c>
      <c r="F281" s="10" t="s">
        <v>852</v>
      </c>
      <c r="G281" s="24">
        <v>3</v>
      </c>
      <c r="H281" s="24">
        <v>220</v>
      </c>
      <c r="I281" s="24">
        <v>2.9924</v>
      </c>
      <c r="J281" s="25">
        <v>0.0076</v>
      </c>
      <c r="K281" s="24">
        <v>218.0341</v>
      </c>
      <c r="L281" s="24">
        <v>218.0341</v>
      </c>
    </row>
    <row r="282" ht="21.05" customHeight="1" spans="1:12">
      <c r="A282" s="10"/>
      <c r="B282" s="10"/>
      <c r="C282" s="10"/>
      <c r="D282" s="10"/>
      <c r="E282" s="10"/>
      <c r="F282" s="10" t="s">
        <v>877</v>
      </c>
      <c r="G282" s="24">
        <v>0</v>
      </c>
      <c r="H282" s="24">
        <v>0</v>
      </c>
      <c r="I282" s="24">
        <v>0</v>
      </c>
      <c r="J282" s="25">
        <v>0</v>
      </c>
      <c r="K282" s="24">
        <v>0</v>
      </c>
      <c r="L282" s="24">
        <v>0</v>
      </c>
    </row>
    <row r="283" ht="21.05" customHeight="1" spans="1:12">
      <c r="A283" s="10"/>
      <c r="B283" s="10"/>
      <c r="C283" s="10"/>
      <c r="D283" s="10"/>
      <c r="E283" s="10"/>
      <c r="F283" s="10" t="s">
        <v>879</v>
      </c>
      <c r="G283" s="24">
        <v>0</v>
      </c>
      <c r="H283" s="24">
        <v>0</v>
      </c>
      <c r="I283" s="24">
        <v>0</v>
      </c>
      <c r="J283" s="25">
        <v>0</v>
      </c>
      <c r="K283" s="24">
        <v>0</v>
      </c>
      <c r="L283" s="24">
        <v>0</v>
      </c>
    </row>
    <row r="284" ht="21.05" customHeight="1" spans="1:12">
      <c r="A284" s="10"/>
      <c r="B284" s="10"/>
      <c r="C284" s="10"/>
      <c r="D284" s="10"/>
      <c r="E284" s="10"/>
      <c r="F284" s="10" t="s">
        <v>860</v>
      </c>
      <c r="G284" s="24">
        <v>0</v>
      </c>
      <c r="H284" s="24">
        <v>0</v>
      </c>
      <c r="I284" s="24">
        <v>0</v>
      </c>
      <c r="J284" s="25">
        <v>0</v>
      </c>
      <c r="K284" s="24">
        <v>0</v>
      </c>
      <c r="L284" s="24">
        <v>0</v>
      </c>
    </row>
    <row r="285" ht="21.05" customHeight="1" spans="1:12">
      <c r="A285" s="10"/>
      <c r="B285" s="10"/>
      <c r="C285" s="10"/>
      <c r="D285" s="10"/>
      <c r="E285" s="10"/>
      <c r="F285" s="10" t="s">
        <v>864</v>
      </c>
      <c r="G285" s="24">
        <v>0</v>
      </c>
      <c r="H285" s="24">
        <v>0</v>
      </c>
      <c r="I285" s="24">
        <v>0</v>
      </c>
      <c r="J285" s="25">
        <v>0</v>
      </c>
      <c r="K285" s="24">
        <v>0</v>
      </c>
      <c r="L285" s="24">
        <v>0</v>
      </c>
    </row>
    <row r="286" ht="21.05" customHeight="1" spans="1:12">
      <c r="A286" s="10"/>
      <c r="B286" s="10"/>
      <c r="C286" s="10"/>
      <c r="D286" s="10"/>
      <c r="E286" s="10"/>
      <c r="F286" s="10" t="s">
        <v>898</v>
      </c>
      <c r="G286" s="24">
        <v>0.8</v>
      </c>
      <c r="H286" s="24">
        <v>18.1</v>
      </c>
      <c r="I286" s="24">
        <v>0.798</v>
      </c>
      <c r="J286" s="25">
        <v>0.002</v>
      </c>
      <c r="K286" s="24">
        <v>18.0565</v>
      </c>
      <c r="L286" s="24">
        <v>18.0565</v>
      </c>
    </row>
    <row r="287" ht="21.05" customHeight="1" spans="1:12">
      <c r="A287" s="10"/>
      <c r="B287" s="10"/>
      <c r="C287" s="10"/>
      <c r="D287" s="10" t="s">
        <v>444</v>
      </c>
      <c r="E287" s="10" t="s">
        <v>382</v>
      </c>
      <c r="F287" s="10" t="s">
        <v>852</v>
      </c>
      <c r="G287" s="24">
        <v>18.9</v>
      </c>
      <c r="H287" s="24">
        <v>491.5</v>
      </c>
      <c r="I287" s="24">
        <v>15.51</v>
      </c>
      <c r="J287" s="25">
        <v>3.39</v>
      </c>
      <c r="K287" s="24">
        <v>447.707</v>
      </c>
      <c r="L287" s="24">
        <v>447.707</v>
      </c>
    </row>
    <row r="288" ht="21.05" customHeight="1" spans="1:12">
      <c r="A288" s="10"/>
      <c r="B288" s="10"/>
      <c r="C288" s="10" t="s">
        <v>90</v>
      </c>
      <c r="D288" s="10" t="s">
        <v>383</v>
      </c>
      <c r="E288" s="10" t="s">
        <v>382</v>
      </c>
      <c r="F288" s="10" t="s">
        <v>906</v>
      </c>
      <c r="G288" s="24">
        <v>0</v>
      </c>
      <c r="H288" s="24">
        <v>0</v>
      </c>
      <c r="I288" s="24">
        <v>0</v>
      </c>
      <c r="J288" s="25">
        <v>0</v>
      </c>
      <c r="K288" s="24">
        <v>0</v>
      </c>
      <c r="L288" s="24">
        <v>0</v>
      </c>
    </row>
    <row r="289" ht="21.05" customHeight="1" spans="1:12">
      <c r="A289" s="10"/>
      <c r="B289" s="10"/>
      <c r="C289" s="10"/>
      <c r="D289" s="10"/>
      <c r="E289" s="10"/>
      <c r="F289" s="10" t="s">
        <v>864</v>
      </c>
      <c r="G289" s="24">
        <v>0</v>
      </c>
      <c r="H289" s="24">
        <v>0</v>
      </c>
      <c r="I289" s="24">
        <v>0</v>
      </c>
      <c r="J289" s="25">
        <v>0</v>
      </c>
      <c r="K289" s="24">
        <v>0</v>
      </c>
      <c r="L289" s="24">
        <v>0</v>
      </c>
    </row>
    <row r="290" ht="21.05" customHeight="1" spans="1:12">
      <c r="A290" s="10"/>
      <c r="B290" s="10"/>
      <c r="C290" s="10"/>
      <c r="D290" s="10"/>
      <c r="E290" s="10"/>
      <c r="F290" s="10" t="s">
        <v>898</v>
      </c>
      <c r="G290" s="24">
        <v>2</v>
      </c>
      <c r="H290" s="24">
        <v>118</v>
      </c>
      <c r="I290" s="24">
        <v>1.7844</v>
      </c>
      <c r="J290" s="25">
        <v>0.2156</v>
      </c>
      <c r="K290" s="24">
        <v>101.8779</v>
      </c>
      <c r="L290" s="24">
        <v>101.8779</v>
      </c>
    </row>
    <row r="291" ht="21.05" customHeight="1" spans="1:12">
      <c r="A291" s="10"/>
      <c r="B291" s="10"/>
      <c r="C291" s="10" t="s">
        <v>447</v>
      </c>
      <c r="D291" s="10" t="s">
        <v>448</v>
      </c>
      <c r="E291" s="10" t="s">
        <v>382</v>
      </c>
      <c r="F291" s="10" t="s">
        <v>903</v>
      </c>
      <c r="G291" s="24">
        <v>0</v>
      </c>
      <c r="H291" s="24">
        <v>0</v>
      </c>
      <c r="I291" s="24">
        <v>0</v>
      </c>
      <c r="J291" s="25">
        <v>0</v>
      </c>
      <c r="K291" s="24">
        <v>0</v>
      </c>
      <c r="L291" s="24">
        <v>0</v>
      </c>
    </row>
    <row r="292" ht="21.05" customHeight="1" spans="1:12">
      <c r="A292" s="10"/>
      <c r="B292" s="10"/>
      <c r="C292" s="10"/>
      <c r="D292" s="10"/>
      <c r="E292" s="10"/>
      <c r="F292" s="10" t="s">
        <v>852</v>
      </c>
      <c r="G292" s="24">
        <v>0</v>
      </c>
      <c r="H292" s="24">
        <v>0</v>
      </c>
      <c r="I292" s="24">
        <v>0</v>
      </c>
      <c r="J292" s="25">
        <v>0</v>
      </c>
      <c r="K292" s="24">
        <v>0</v>
      </c>
      <c r="L292" s="24">
        <v>0</v>
      </c>
    </row>
    <row r="293" ht="21.05" customHeight="1" spans="1:12">
      <c r="A293" s="10"/>
      <c r="B293" s="10"/>
      <c r="C293" s="10"/>
      <c r="D293" s="10"/>
      <c r="E293" s="10"/>
      <c r="F293" s="10" t="s">
        <v>902</v>
      </c>
      <c r="G293" s="24">
        <v>0</v>
      </c>
      <c r="H293" s="24">
        <v>0</v>
      </c>
      <c r="I293" s="24">
        <v>0</v>
      </c>
      <c r="J293" s="25">
        <v>0</v>
      </c>
      <c r="K293" s="24">
        <v>0</v>
      </c>
      <c r="L293" s="24">
        <v>0</v>
      </c>
    </row>
    <row r="294" ht="21.05" customHeight="1" spans="1:12">
      <c r="A294" s="10"/>
      <c r="B294" s="10"/>
      <c r="C294" s="10"/>
      <c r="D294" s="10"/>
      <c r="E294" s="10"/>
      <c r="F294" s="10" t="s">
        <v>906</v>
      </c>
      <c r="G294" s="24">
        <v>0</v>
      </c>
      <c r="H294" s="24">
        <v>0</v>
      </c>
      <c r="I294" s="24">
        <v>0</v>
      </c>
      <c r="J294" s="25">
        <v>0</v>
      </c>
      <c r="K294" s="24">
        <v>0</v>
      </c>
      <c r="L294" s="24">
        <v>0</v>
      </c>
    </row>
    <row r="295" ht="21.05" customHeight="1" spans="1:12">
      <c r="A295" s="10"/>
      <c r="B295" s="10"/>
      <c r="C295" s="10"/>
      <c r="D295" s="10"/>
      <c r="E295" s="10"/>
      <c r="F295" s="10" t="s">
        <v>864</v>
      </c>
      <c r="G295" s="24">
        <v>4.2</v>
      </c>
      <c r="H295" s="24">
        <v>34.2</v>
      </c>
      <c r="I295" s="24">
        <v>4.1953</v>
      </c>
      <c r="J295" s="25">
        <v>0.0047</v>
      </c>
      <c r="K295" s="24">
        <v>33.7262</v>
      </c>
      <c r="L295" s="24">
        <v>33.7262</v>
      </c>
    </row>
    <row r="296" ht="21.05" customHeight="1" spans="1:12">
      <c r="A296" s="10"/>
      <c r="B296" s="10"/>
      <c r="C296" s="10"/>
      <c r="D296" s="10"/>
      <c r="E296" s="10"/>
      <c r="F296" s="10" t="s">
        <v>898</v>
      </c>
      <c r="G296" s="24">
        <v>0</v>
      </c>
      <c r="H296" s="24">
        <v>48</v>
      </c>
      <c r="I296" s="24">
        <v>0</v>
      </c>
      <c r="J296" s="25">
        <v>0</v>
      </c>
      <c r="K296" s="24">
        <v>45.3154</v>
      </c>
      <c r="L296" s="24">
        <v>45.3154</v>
      </c>
    </row>
    <row r="297" ht="21.05" customHeight="1" spans="1:12">
      <c r="A297" s="10"/>
      <c r="B297" s="10"/>
      <c r="C297" s="10"/>
      <c r="D297" s="10" t="s">
        <v>450</v>
      </c>
      <c r="E297" s="10" t="s">
        <v>382</v>
      </c>
      <c r="F297" s="10" t="s">
        <v>852</v>
      </c>
      <c r="G297" s="24">
        <v>150</v>
      </c>
      <c r="H297" s="24">
        <v>1960</v>
      </c>
      <c r="I297" s="24">
        <v>133.4077</v>
      </c>
      <c r="J297" s="25">
        <v>16.5923</v>
      </c>
      <c r="K297" s="24">
        <v>1968.9354</v>
      </c>
      <c r="L297" s="24">
        <v>1968.9354</v>
      </c>
    </row>
    <row r="298" ht="21.05" customHeight="1" spans="1:12">
      <c r="A298" s="10"/>
      <c r="B298" s="10"/>
      <c r="C298" s="10"/>
      <c r="D298" s="10" t="s">
        <v>452</v>
      </c>
      <c r="E298" s="10" t="s">
        <v>382</v>
      </c>
      <c r="F298" s="10" t="s">
        <v>852</v>
      </c>
      <c r="G298" s="24">
        <v>23.92</v>
      </c>
      <c r="H298" s="24">
        <v>679.37</v>
      </c>
      <c r="I298" s="24">
        <v>20.7531</v>
      </c>
      <c r="J298" s="25">
        <v>3.1669</v>
      </c>
      <c r="K298" s="24">
        <v>649.0274</v>
      </c>
      <c r="L298" s="24">
        <v>649.0274</v>
      </c>
    </row>
    <row r="299" ht="21.05" customHeight="1" spans="1:12">
      <c r="A299" s="10"/>
      <c r="B299" s="10" t="s">
        <v>454</v>
      </c>
      <c r="C299" s="10" t="s">
        <v>455</v>
      </c>
      <c r="D299" s="10" t="s">
        <v>366</v>
      </c>
      <c r="E299" s="10" t="s">
        <v>359</v>
      </c>
      <c r="F299" s="10" t="s">
        <v>852</v>
      </c>
      <c r="G299" s="24">
        <v>0</v>
      </c>
      <c r="H299" s="24">
        <v>14.2</v>
      </c>
      <c r="I299" s="24">
        <v>0</v>
      </c>
      <c r="J299" s="25">
        <v>0</v>
      </c>
      <c r="K299" s="24">
        <v>14.1141</v>
      </c>
      <c r="L299" s="24">
        <v>14.1141</v>
      </c>
    </row>
    <row r="300" ht="21.05" customHeight="1" spans="1:12">
      <c r="A300" s="10"/>
      <c r="B300" s="10"/>
      <c r="C300" s="10"/>
      <c r="D300" s="10"/>
      <c r="E300" s="10"/>
      <c r="F300" s="10" t="s">
        <v>864</v>
      </c>
      <c r="G300" s="24">
        <v>0</v>
      </c>
      <c r="H300" s="24">
        <v>93.3</v>
      </c>
      <c r="I300" s="24">
        <v>0</v>
      </c>
      <c r="J300" s="25">
        <v>0</v>
      </c>
      <c r="K300" s="24">
        <v>92.7313</v>
      </c>
      <c r="L300" s="24">
        <v>92.7313</v>
      </c>
    </row>
    <row r="301" ht="21.05" customHeight="1" spans="1:12">
      <c r="A301" s="10"/>
      <c r="B301" s="10"/>
      <c r="C301" s="10"/>
      <c r="D301" s="10" t="s">
        <v>456</v>
      </c>
      <c r="E301" s="10" t="s">
        <v>359</v>
      </c>
      <c r="F301" s="10" t="s">
        <v>852</v>
      </c>
      <c r="G301" s="24">
        <v>124.5</v>
      </c>
      <c r="H301" s="24">
        <v>3809.2</v>
      </c>
      <c r="I301" s="24">
        <v>122.7537</v>
      </c>
      <c r="J301" s="25">
        <v>1.7463</v>
      </c>
      <c r="K301" s="24">
        <v>3793.8336</v>
      </c>
      <c r="L301" s="24">
        <v>3793.8336</v>
      </c>
    </row>
    <row r="302" ht="21.05" customHeight="1" spans="1:12">
      <c r="A302" s="10"/>
      <c r="B302" s="10"/>
      <c r="C302" s="10" t="s">
        <v>458</v>
      </c>
      <c r="D302" s="10" t="s">
        <v>366</v>
      </c>
      <c r="E302" s="10" t="s">
        <v>359</v>
      </c>
      <c r="F302" s="10" t="s">
        <v>852</v>
      </c>
      <c r="G302" s="24">
        <v>0.87</v>
      </c>
      <c r="H302" s="24">
        <v>468.77</v>
      </c>
      <c r="I302" s="24">
        <v>0.867</v>
      </c>
      <c r="J302" s="25">
        <v>0.003</v>
      </c>
      <c r="K302" s="24">
        <v>455.6181</v>
      </c>
      <c r="L302" s="24">
        <v>455.6181</v>
      </c>
    </row>
    <row r="303" ht="21.05" customHeight="1" spans="1:12">
      <c r="A303" s="10"/>
      <c r="B303" s="10"/>
      <c r="C303" s="10"/>
      <c r="D303" s="10"/>
      <c r="E303" s="10"/>
      <c r="F303" s="10" t="s">
        <v>864</v>
      </c>
      <c r="G303" s="24">
        <v>1.13</v>
      </c>
      <c r="H303" s="24">
        <v>5.53</v>
      </c>
      <c r="I303" s="24">
        <v>1.1262</v>
      </c>
      <c r="J303" s="25">
        <v>0.0038</v>
      </c>
      <c r="K303" s="24">
        <v>5.5162</v>
      </c>
      <c r="L303" s="24">
        <v>5.5162</v>
      </c>
    </row>
    <row r="304" ht="21.05" customHeight="1" spans="1:12">
      <c r="A304" s="10"/>
      <c r="B304" s="10"/>
      <c r="C304" s="10"/>
      <c r="D304" s="10" t="s">
        <v>358</v>
      </c>
      <c r="E304" s="10" t="s">
        <v>359</v>
      </c>
      <c r="F304" s="10" t="s">
        <v>852</v>
      </c>
      <c r="G304" s="24">
        <v>10.4</v>
      </c>
      <c r="H304" s="24">
        <v>600.4</v>
      </c>
      <c r="I304" s="24">
        <v>10.3813</v>
      </c>
      <c r="J304" s="25">
        <v>0.0187</v>
      </c>
      <c r="K304" s="24">
        <v>599.3287</v>
      </c>
      <c r="L304" s="24">
        <v>599.3287</v>
      </c>
    </row>
    <row r="305" ht="21.05" customHeight="1" spans="1:12">
      <c r="A305" s="10"/>
      <c r="B305" s="10"/>
      <c r="C305" s="10"/>
      <c r="D305" s="10" t="s">
        <v>460</v>
      </c>
      <c r="E305" s="10" t="s">
        <v>359</v>
      </c>
      <c r="F305" s="10" t="s">
        <v>852</v>
      </c>
      <c r="G305" s="24">
        <v>2.6</v>
      </c>
      <c r="H305" s="24">
        <v>355.9</v>
      </c>
      <c r="I305" s="24">
        <v>2.595</v>
      </c>
      <c r="J305" s="25">
        <v>0.005</v>
      </c>
      <c r="K305" s="24">
        <v>348.369</v>
      </c>
      <c r="L305" s="24">
        <v>348.369</v>
      </c>
    </row>
    <row r="306" ht="21.05" customHeight="1" spans="1:12">
      <c r="A306" s="10"/>
      <c r="B306" s="10"/>
      <c r="C306" s="10" t="s">
        <v>461</v>
      </c>
      <c r="D306" s="10" t="s">
        <v>462</v>
      </c>
      <c r="E306" s="10" t="s">
        <v>359</v>
      </c>
      <c r="F306" s="10" t="s">
        <v>852</v>
      </c>
      <c r="G306" s="24">
        <v>27.9</v>
      </c>
      <c r="H306" s="24">
        <v>1477.1</v>
      </c>
      <c r="I306" s="24">
        <v>27.837</v>
      </c>
      <c r="J306" s="25">
        <v>0.063</v>
      </c>
      <c r="K306" s="24">
        <v>1435.2691</v>
      </c>
      <c r="L306" s="24">
        <v>1435.2691</v>
      </c>
    </row>
    <row r="307" ht="21.05" customHeight="1" spans="1:12">
      <c r="A307" s="10"/>
      <c r="B307" s="10"/>
      <c r="C307" s="10"/>
      <c r="D307" s="10"/>
      <c r="E307" s="10"/>
      <c r="F307" s="10" t="s">
        <v>864</v>
      </c>
      <c r="G307" s="24">
        <v>13</v>
      </c>
      <c r="H307" s="24">
        <v>195</v>
      </c>
      <c r="I307" s="24">
        <v>12.9706</v>
      </c>
      <c r="J307" s="25">
        <v>0.0294</v>
      </c>
      <c r="K307" s="24">
        <v>188.034</v>
      </c>
      <c r="L307" s="24">
        <v>188.034</v>
      </c>
    </row>
    <row r="308" ht="21.05" customHeight="1" spans="1:12">
      <c r="A308" s="10"/>
      <c r="B308" s="10"/>
      <c r="C308" s="10" t="s">
        <v>464</v>
      </c>
      <c r="D308" s="10" t="s">
        <v>465</v>
      </c>
      <c r="E308" s="10" t="s">
        <v>359</v>
      </c>
      <c r="F308" s="10" t="s">
        <v>852</v>
      </c>
      <c r="G308" s="24">
        <v>0</v>
      </c>
      <c r="H308" s="24">
        <v>0</v>
      </c>
      <c r="I308" s="24">
        <v>0</v>
      </c>
      <c r="J308" s="25">
        <v>0</v>
      </c>
      <c r="K308" s="24">
        <v>0</v>
      </c>
      <c r="L308" s="24">
        <v>0</v>
      </c>
    </row>
    <row r="309" ht="21.05" customHeight="1" spans="1:12">
      <c r="A309" s="10"/>
      <c r="B309" s="10"/>
      <c r="C309" s="10"/>
      <c r="D309" s="10"/>
      <c r="E309" s="10"/>
      <c r="F309" s="10" t="s">
        <v>904</v>
      </c>
      <c r="G309" s="24">
        <v>0</v>
      </c>
      <c r="H309" s="24">
        <v>0</v>
      </c>
      <c r="I309" s="24">
        <v>0</v>
      </c>
      <c r="J309" s="25">
        <v>0</v>
      </c>
      <c r="K309" s="24">
        <v>0</v>
      </c>
      <c r="L309" s="24">
        <v>0</v>
      </c>
    </row>
    <row r="310" ht="21.05" customHeight="1" spans="1:12">
      <c r="A310" s="10"/>
      <c r="B310" s="10"/>
      <c r="C310" s="10"/>
      <c r="D310" s="10"/>
      <c r="E310" s="10"/>
      <c r="F310" s="10" t="s">
        <v>913</v>
      </c>
      <c r="G310" s="24">
        <v>0</v>
      </c>
      <c r="H310" s="24">
        <v>0</v>
      </c>
      <c r="I310" s="24">
        <v>0</v>
      </c>
      <c r="J310" s="25">
        <v>0</v>
      </c>
      <c r="K310" s="24">
        <v>0</v>
      </c>
      <c r="L310" s="24">
        <v>0</v>
      </c>
    </row>
    <row r="311" ht="21.05" customHeight="1" spans="1:12">
      <c r="A311" s="10"/>
      <c r="B311" s="10"/>
      <c r="C311" s="10"/>
      <c r="D311" s="10"/>
      <c r="E311" s="10"/>
      <c r="F311" s="10" t="s">
        <v>914</v>
      </c>
      <c r="G311" s="24">
        <v>0</v>
      </c>
      <c r="H311" s="24">
        <v>0</v>
      </c>
      <c r="I311" s="24">
        <v>0</v>
      </c>
      <c r="J311" s="25">
        <v>0</v>
      </c>
      <c r="K311" s="24">
        <v>0</v>
      </c>
      <c r="L311" s="24">
        <v>0</v>
      </c>
    </row>
    <row r="312" ht="21.05" customHeight="1" spans="1:12">
      <c r="A312" s="10"/>
      <c r="B312" s="10"/>
      <c r="C312" s="10"/>
      <c r="D312" s="10"/>
      <c r="E312" s="10"/>
      <c r="F312" s="10" t="s">
        <v>864</v>
      </c>
      <c r="G312" s="24">
        <v>0</v>
      </c>
      <c r="H312" s="24">
        <v>0</v>
      </c>
      <c r="I312" s="24">
        <v>0</v>
      </c>
      <c r="J312" s="25">
        <v>0</v>
      </c>
      <c r="K312" s="24">
        <v>0</v>
      </c>
      <c r="L312" s="24">
        <v>0</v>
      </c>
    </row>
    <row r="313" ht="21.05" customHeight="1" spans="1:12">
      <c r="A313" s="10"/>
      <c r="B313" s="10"/>
      <c r="C313" s="10"/>
      <c r="D313" s="10" t="s">
        <v>366</v>
      </c>
      <c r="E313" s="10" t="s">
        <v>359</v>
      </c>
      <c r="F313" s="10" t="s">
        <v>864</v>
      </c>
      <c r="G313" s="24">
        <v>0</v>
      </c>
      <c r="H313" s="24">
        <v>0</v>
      </c>
      <c r="I313" s="24">
        <v>0</v>
      </c>
      <c r="J313" s="25">
        <v>0</v>
      </c>
      <c r="K313" s="24">
        <v>0</v>
      </c>
      <c r="L313" s="24">
        <v>0</v>
      </c>
    </row>
    <row r="314" ht="21.05" customHeight="1" spans="1:12">
      <c r="A314" s="10"/>
      <c r="B314" s="10"/>
      <c r="C314" s="10"/>
      <c r="D314" s="10" t="s">
        <v>466</v>
      </c>
      <c r="E314" s="10" t="s">
        <v>359</v>
      </c>
      <c r="F314" s="10" t="s">
        <v>852</v>
      </c>
      <c r="G314" s="24">
        <v>125</v>
      </c>
      <c r="H314" s="24">
        <v>3905</v>
      </c>
      <c r="I314" s="24">
        <v>124.166</v>
      </c>
      <c r="J314" s="25">
        <v>0.834</v>
      </c>
      <c r="K314" s="24">
        <v>3862.016</v>
      </c>
      <c r="L314" s="24">
        <v>3862.016</v>
      </c>
    </row>
    <row r="315" ht="21.05" customHeight="1" spans="1:12">
      <c r="A315" s="10"/>
      <c r="B315" s="10"/>
      <c r="C315" s="10"/>
      <c r="D315" s="10" t="s">
        <v>358</v>
      </c>
      <c r="E315" s="10" t="s">
        <v>359</v>
      </c>
      <c r="F315" s="10" t="s">
        <v>852</v>
      </c>
      <c r="G315" s="24">
        <v>100</v>
      </c>
      <c r="H315" s="24">
        <v>3388.2932</v>
      </c>
      <c r="I315" s="24">
        <v>94.671</v>
      </c>
      <c r="J315" s="25">
        <v>5.329</v>
      </c>
      <c r="K315" s="24">
        <v>3313.41</v>
      </c>
      <c r="L315" s="24">
        <v>3313.41</v>
      </c>
    </row>
    <row r="316" ht="21.05" customHeight="1" spans="1:12">
      <c r="A316" s="10"/>
      <c r="B316" s="10"/>
      <c r="C316" s="10"/>
      <c r="D316" s="10" t="s">
        <v>469</v>
      </c>
      <c r="E316" s="10" t="s">
        <v>359</v>
      </c>
      <c r="F316" s="10" t="s">
        <v>869</v>
      </c>
      <c r="G316" s="24">
        <v>3.6</v>
      </c>
      <c r="H316" s="24">
        <v>19.4</v>
      </c>
      <c r="I316" s="24">
        <v>3.2553</v>
      </c>
      <c r="J316" s="25">
        <v>0.3447</v>
      </c>
      <c r="K316" s="24">
        <v>18.3894</v>
      </c>
      <c r="L316" s="24">
        <v>18.3894</v>
      </c>
    </row>
    <row r="317" ht="21.05" customHeight="1" spans="1:12">
      <c r="A317" s="10"/>
      <c r="B317" s="10"/>
      <c r="C317" s="10"/>
      <c r="D317" s="10"/>
      <c r="E317" s="10"/>
      <c r="F317" s="10" t="s">
        <v>852</v>
      </c>
      <c r="G317" s="24">
        <v>2.877</v>
      </c>
      <c r="H317" s="24">
        <v>217.227</v>
      </c>
      <c r="I317" s="24">
        <v>2.6015</v>
      </c>
      <c r="J317" s="25">
        <v>0.2755</v>
      </c>
      <c r="K317" s="24">
        <v>210.7245</v>
      </c>
      <c r="L317" s="24">
        <v>210.7245</v>
      </c>
    </row>
    <row r="318" ht="21.05" customHeight="1" spans="1:12">
      <c r="A318" s="10"/>
      <c r="B318" s="10"/>
      <c r="C318" s="10"/>
      <c r="D318" s="10"/>
      <c r="E318" s="10"/>
      <c r="F318" s="10" t="s">
        <v>904</v>
      </c>
      <c r="G318" s="24">
        <v>2</v>
      </c>
      <c r="H318" s="24">
        <v>11</v>
      </c>
      <c r="I318" s="24">
        <v>1.8085</v>
      </c>
      <c r="J318" s="25">
        <v>0.1915</v>
      </c>
      <c r="K318" s="24">
        <v>10.387</v>
      </c>
      <c r="L318" s="24">
        <v>10.387</v>
      </c>
    </row>
    <row r="319" ht="21.05" customHeight="1" spans="1:12">
      <c r="A319" s="10"/>
      <c r="B319" s="10"/>
      <c r="C319" s="10"/>
      <c r="D319" s="10"/>
      <c r="E319" s="10"/>
      <c r="F319" s="10" t="s">
        <v>861</v>
      </c>
      <c r="G319" s="24">
        <v>0</v>
      </c>
      <c r="H319" s="24">
        <v>0</v>
      </c>
      <c r="I319" s="24">
        <v>0</v>
      </c>
      <c r="J319" s="25">
        <v>0</v>
      </c>
      <c r="K319" s="24">
        <v>0</v>
      </c>
      <c r="L319" s="24">
        <v>0</v>
      </c>
    </row>
    <row r="320" ht="21.05" customHeight="1" spans="1:12">
      <c r="A320" s="10"/>
      <c r="B320" s="10" t="s">
        <v>471</v>
      </c>
      <c r="C320" s="10" t="s">
        <v>472</v>
      </c>
      <c r="D320" s="10" t="s">
        <v>473</v>
      </c>
      <c r="E320" s="10" t="s">
        <v>359</v>
      </c>
      <c r="F320" s="10" t="s">
        <v>852</v>
      </c>
      <c r="G320" s="24">
        <v>4.2</v>
      </c>
      <c r="H320" s="24">
        <v>285.4</v>
      </c>
      <c r="I320" s="24">
        <v>4.194</v>
      </c>
      <c r="J320" s="25">
        <v>0.006</v>
      </c>
      <c r="K320" s="24">
        <v>283.561</v>
      </c>
      <c r="L320" s="24">
        <v>283.561</v>
      </c>
    </row>
    <row r="321" ht="21.05" customHeight="1" spans="1:12">
      <c r="A321" s="10"/>
      <c r="B321" s="10"/>
      <c r="C321" s="10"/>
      <c r="D321" s="10" t="s">
        <v>475</v>
      </c>
      <c r="E321" s="10" t="s">
        <v>359</v>
      </c>
      <c r="F321" s="10" t="s">
        <v>852</v>
      </c>
      <c r="G321" s="24">
        <v>0</v>
      </c>
      <c r="H321" s="24">
        <v>25.74</v>
      </c>
      <c r="I321" s="24">
        <v>0</v>
      </c>
      <c r="J321" s="25">
        <v>0</v>
      </c>
      <c r="K321" s="24">
        <v>25.6754</v>
      </c>
      <c r="L321" s="24">
        <v>25.6754</v>
      </c>
    </row>
    <row r="322" ht="21.05" customHeight="1" spans="1:12">
      <c r="A322" s="10"/>
      <c r="B322" s="10"/>
      <c r="C322" s="10" t="s">
        <v>476</v>
      </c>
      <c r="D322" s="10" t="s">
        <v>477</v>
      </c>
      <c r="E322" s="10" t="s">
        <v>359</v>
      </c>
      <c r="F322" s="10" t="s">
        <v>852</v>
      </c>
      <c r="G322" s="24">
        <v>0.53</v>
      </c>
      <c r="H322" s="24">
        <v>24.38</v>
      </c>
      <c r="I322" s="24">
        <v>0.529</v>
      </c>
      <c r="J322" s="25">
        <v>0.001</v>
      </c>
      <c r="K322" s="24">
        <v>24.3316</v>
      </c>
      <c r="L322" s="24">
        <v>24.3316</v>
      </c>
    </row>
    <row r="323" ht="21.05" customHeight="1" spans="1:12">
      <c r="A323" s="10"/>
      <c r="B323" s="10"/>
      <c r="C323" s="10"/>
      <c r="D323" s="10"/>
      <c r="E323" s="10"/>
      <c r="F323" s="10" t="s">
        <v>864</v>
      </c>
      <c r="G323" s="24">
        <v>0</v>
      </c>
      <c r="H323" s="24">
        <v>0</v>
      </c>
      <c r="I323" s="24">
        <v>0</v>
      </c>
      <c r="J323" s="25">
        <v>0</v>
      </c>
      <c r="K323" s="24">
        <v>0</v>
      </c>
      <c r="L323" s="24">
        <v>0</v>
      </c>
    </row>
    <row r="324" ht="21.05" customHeight="1" spans="1:12">
      <c r="A324" s="10"/>
      <c r="B324" s="10"/>
      <c r="C324" s="10" t="s">
        <v>478</v>
      </c>
      <c r="D324" s="10" t="s">
        <v>479</v>
      </c>
      <c r="E324" s="10" t="s">
        <v>359</v>
      </c>
      <c r="F324" s="10" t="s">
        <v>852</v>
      </c>
      <c r="G324" s="24">
        <v>5.5</v>
      </c>
      <c r="H324" s="24">
        <v>320.3</v>
      </c>
      <c r="I324" s="24">
        <v>5.4894</v>
      </c>
      <c r="J324" s="25">
        <v>0.0106</v>
      </c>
      <c r="K324" s="24">
        <v>314.3118</v>
      </c>
      <c r="L324" s="24">
        <v>314.3118</v>
      </c>
    </row>
    <row r="325" ht="21.05" customHeight="1" spans="1:12">
      <c r="A325" s="10"/>
      <c r="B325" s="10"/>
      <c r="C325" s="10" t="s">
        <v>480</v>
      </c>
      <c r="D325" s="10" t="s">
        <v>481</v>
      </c>
      <c r="E325" s="10" t="s">
        <v>359</v>
      </c>
      <c r="F325" s="10" t="s">
        <v>852</v>
      </c>
      <c r="G325" s="24">
        <v>1.275</v>
      </c>
      <c r="H325" s="24">
        <v>49.175</v>
      </c>
      <c r="I325" s="24">
        <v>1.2747</v>
      </c>
      <c r="J325" s="25">
        <v>0.0003</v>
      </c>
      <c r="K325" s="24">
        <v>49.1492</v>
      </c>
      <c r="L325" s="24">
        <v>49.1492</v>
      </c>
    </row>
    <row r="326" ht="21.05" customHeight="1" spans="1:12">
      <c r="A326" s="10"/>
      <c r="B326" s="10"/>
      <c r="C326" s="10"/>
      <c r="D326" s="10"/>
      <c r="E326" s="10"/>
      <c r="F326" s="10" t="s">
        <v>481</v>
      </c>
      <c r="G326" s="24">
        <v>0</v>
      </c>
      <c r="H326" s="24">
        <v>0</v>
      </c>
      <c r="I326" s="24">
        <v>0</v>
      </c>
      <c r="J326" s="25">
        <v>0</v>
      </c>
      <c r="K326" s="24">
        <v>0</v>
      </c>
      <c r="L326" s="24">
        <v>0</v>
      </c>
    </row>
    <row r="327" ht="21.05" customHeight="1" spans="1:12">
      <c r="A327" s="10"/>
      <c r="B327" s="10"/>
      <c r="C327" s="10"/>
      <c r="D327" s="10"/>
      <c r="E327" s="10"/>
      <c r="F327" s="10" t="s">
        <v>864</v>
      </c>
      <c r="G327" s="24">
        <v>0.2</v>
      </c>
      <c r="H327" s="24">
        <v>6.2</v>
      </c>
      <c r="I327" s="24">
        <v>0.1999</v>
      </c>
      <c r="J327" s="25">
        <v>0.0001</v>
      </c>
      <c r="K327" s="24">
        <v>6.1962</v>
      </c>
      <c r="L327" s="24">
        <v>6.1962</v>
      </c>
    </row>
    <row r="328" ht="21.05" customHeight="1" spans="1:12">
      <c r="A328" s="10"/>
      <c r="B328" s="10"/>
      <c r="C328" s="10" t="s">
        <v>483</v>
      </c>
      <c r="D328" s="10" t="s">
        <v>477</v>
      </c>
      <c r="E328" s="10" t="s">
        <v>359</v>
      </c>
      <c r="F328" s="10" t="s">
        <v>852</v>
      </c>
      <c r="G328" s="24">
        <v>1.25</v>
      </c>
      <c r="H328" s="24">
        <v>42.25</v>
      </c>
      <c r="I328" s="24">
        <v>1.2468</v>
      </c>
      <c r="J328" s="25">
        <v>0.0032</v>
      </c>
      <c r="K328" s="24">
        <v>42.1965</v>
      </c>
      <c r="L328" s="24">
        <v>42.1965</v>
      </c>
    </row>
    <row r="329" ht="21.05" customHeight="1" spans="1:12">
      <c r="A329" s="10"/>
      <c r="B329" s="10"/>
      <c r="C329" s="10"/>
      <c r="D329" s="10"/>
      <c r="E329" s="10"/>
      <c r="F329" s="10" t="s">
        <v>481</v>
      </c>
      <c r="G329" s="24">
        <v>0</v>
      </c>
      <c r="H329" s="24">
        <v>0</v>
      </c>
      <c r="I329" s="24">
        <v>0</v>
      </c>
      <c r="J329" s="25">
        <v>0</v>
      </c>
      <c r="K329" s="24">
        <v>0</v>
      </c>
      <c r="L329" s="24">
        <v>0</v>
      </c>
    </row>
    <row r="330" ht="21.05" customHeight="1" spans="1:12">
      <c r="A330" s="10"/>
      <c r="B330" s="10"/>
      <c r="C330" s="10"/>
      <c r="D330" s="10"/>
      <c r="E330" s="10"/>
      <c r="F330" s="10" t="s">
        <v>864</v>
      </c>
      <c r="G330" s="24">
        <v>0.05</v>
      </c>
      <c r="H330" s="24">
        <v>6.65</v>
      </c>
      <c r="I330" s="24">
        <v>0.0499</v>
      </c>
      <c r="J330" s="25">
        <v>0.0001</v>
      </c>
      <c r="K330" s="24">
        <v>6.6415</v>
      </c>
      <c r="L330" s="24">
        <v>6.6415</v>
      </c>
    </row>
    <row r="331" ht="21.05" customHeight="1" spans="1:12">
      <c r="A331" s="10"/>
      <c r="B331" s="10" t="s">
        <v>484</v>
      </c>
      <c r="C331" s="10" t="s">
        <v>485</v>
      </c>
      <c r="D331" s="10" t="s">
        <v>486</v>
      </c>
      <c r="E331" s="10" t="s">
        <v>356</v>
      </c>
      <c r="F331" s="10" t="s">
        <v>852</v>
      </c>
      <c r="G331" s="24">
        <v>0</v>
      </c>
      <c r="H331" s="24">
        <v>0</v>
      </c>
      <c r="I331" s="24">
        <v>0</v>
      </c>
      <c r="J331" s="25">
        <v>0</v>
      </c>
      <c r="K331" s="24">
        <v>0</v>
      </c>
      <c r="L331" s="24">
        <v>0</v>
      </c>
    </row>
    <row r="332" ht="21.05" customHeight="1" spans="1:12">
      <c r="A332" s="10"/>
      <c r="B332" s="10"/>
      <c r="C332" s="10"/>
      <c r="D332" s="10"/>
      <c r="E332" s="10"/>
      <c r="F332" s="10" t="s">
        <v>904</v>
      </c>
      <c r="G332" s="24">
        <v>0</v>
      </c>
      <c r="H332" s="24">
        <v>0</v>
      </c>
      <c r="I332" s="24">
        <v>0</v>
      </c>
      <c r="J332" s="25">
        <v>0</v>
      </c>
      <c r="K332" s="24">
        <v>0</v>
      </c>
      <c r="L332" s="24">
        <v>0</v>
      </c>
    </row>
    <row r="333" ht="21.05" customHeight="1" spans="1:12">
      <c r="A333" s="10"/>
      <c r="B333" s="10"/>
      <c r="C333" s="10"/>
      <c r="D333" s="10"/>
      <c r="E333" s="10"/>
      <c r="F333" s="10" t="s">
        <v>864</v>
      </c>
      <c r="G333" s="24">
        <v>0</v>
      </c>
      <c r="H333" s="24">
        <v>0</v>
      </c>
      <c r="I333" s="24">
        <v>0</v>
      </c>
      <c r="J333" s="25">
        <v>0</v>
      </c>
      <c r="K333" s="24">
        <v>0</v>
      </c>
      <c r="L333" s="24">
        <v>0</v>
      </c>
    </row>
    <row r="334" ht="21.05" customHeight="1" spans="1:12">
      <c r="A334" s="10"/>
      <c r="B334" s="10"/>
      <c r="C334" s="10"/>
      <c r="D334" s="10"/>
      <c r="E334" s="10"/>
      <c r="F334" s="10" t="s">
        <v>898</v>
      </c>
      <c r="G334" s="24">
        <v>1</v>
      </c>
      <c r="H334" s="24">
        <v>31</v>
      </c>
      <c r="I334" s="24">
        <v>0.9983</v>
      </c>
      <c r="J334" s="25">
        <v>0.0017</v>
      </c>
      <c r="K334" s="24">
        <v>30.9566</v>
      </c>
      <c r="L334" s="24">
        <v>30.9566</v>
      </c>
    </row>
    <row r="335" ht="21.05" customHeight="1" spans="1:12">
      <c r="A335" s="10"/>
      <c r="B335" s="10"/>
      <c r="C335" s="10"/>
      <c r="D335" s="10" t="s">
        <v>488</v>
      </c>
      <c r="E335" s="10" t="s">
        <v>356</v>
      </c>
      <c r="F335" s="10" t="s">
        <v>852</v>
      </c>
      <c r="G335" s="24">
        <v>0</v>
      </c>
      <c r="H335" s="24">
        <v>0</v>
      </c>
      <c r="I335" s="24">
        <v>0</v>
      </c>
      <c r="J335" s="25">
        <v>0</v>
      </c>
      <c r="K335" s="24">
        <v>0</v>
      </c>
      <c r="L335" s="24">
        <v>0</v>
      </c>
    </row>
    <row r="336" ht="21.05" customHeight="1" spans="1:12">
      <c r="A336" s="10"/>
      <c r="B336" s="10"/>
      <c r="C336" s="10"/>
      <c r="D336" s="10"/>
      <c r="E336" s="10"/>
      <c r="F336" s="10" t="s">
        <v>904</v>
      </c>
      <c r="G336" s="24">
        <v>0</v>
      </c>
      <c r="H336" s="24">
        <v>37.5</v>
      </c>
      <c r="I336" s="24">
        <v>0</v>
      </c>
      <c r="J336" s="25">
        <v>0</v>
      </c>
      <c r="K336" s="24">
        <v>33.5016</v>
      </c>
      <c r="L336" s="24">
        <v>33.5016</v>
      </c>
    </row>
    <row r="337" ht="21.05" customHeight="1" spans="1:12">
      <c r="A337" s="10"/>
      <c r="B337" s="10"/>
      <c r="C337" s="10"/>
      <c r="D337" s="10"/>
      <c r="E337" s="10"/>
      <c r="F337" s="10" t="s">
        <v>864</v>
      </c>
      <c r="G337" s="24">
        <v>0.1</v>
      </c>
      <c r="H337" s="24">
        <v>2.9</v>
      </c>
      <c r="I337" s="24">
        <v>0.1003</v>
      </c>
      <c r="J337" s="25">
        <v>-0.0003</v>
      </c>
      <c r="K337" s="24">
        <v>2.7364</v>
      </c>
      <c r="L337" s="24">
        <v>2.7364</v>
      </c>
    </row>
    <row r="338" ht="21.05" customHeight="1" spans="1:12">
      <c r="A338" s="10"/>
      <c r="B338" s="10"/>
      <c r="C338" s="10" t="s">
        <v>490</v>
      </c>
      <c r="D338" s="10" t="s">
        <v>491</v>
      </c>
      <c r="E338" s="10" t="s">
        <v>356</v>
      </c>
      <c r="F338" s="10" t="s">
        <v>852</v>
      </c>
      <c r="G338" s="24">
        <v>0</v>
      </c>
      <c r="H338" s="24">
        <v>0</v>
      </c>
      <c r="I338" s="24">
        <v>0</v>
      </c>
      <c r="J338" s="25">
        <v>0</v>
      </c>
      <c r="K338" s="24">
        <v>0</v>
      </c>
      <c r="L338" s="24">
        <v>0</v>
      </c>
    </row>
    <row r="339" ht="21.05" customHeight="1" spans="1:12">
      <c r="A339" s="10"/>
      <c r="B339" s="10"/>
      <c r="C339" s="10"/>
      <c r="D339" s="10"/>
      <c r="E339" s="10"/>
      <c r="F339" s="10" t="s">
        <v>898</v>
      </c>
      <c r="G339" s="24">
        <v>0</v>
      </c>
      <c r="H339" s="24">
        <v>0</v>
      </c>
      <c r="I339" s="24">
        <v>0</v>
      </c>
      <c r="J339" s="25">
        <v>0</v>
      </c>
      <c r="K339" s="24">
        <v>0</v>
      </c>
      <c r="L339" s="24">
        <v>0</v>
      </c>
    </row>
    <row r="340" ht="21.05" customHeight="1" spans="1:12">
      <c r="A340" s="10"/>
      <c r="B340" s="10"/>
      <c r="C340" s="10" t="s">
        <v>492</v>
      </c>
      <c r="D340" s="10" t="s">
        <v>493</v>
      </c>
      <c r="E340" s="10" t="s">
        <v>356</v>
      </c>
      <c r="F340" s="10" t="s">
        <v>852</v>
      </c>
      <c r="G340" s="24">
        <v>0</v>
      </c>
      <c r="H340" s="24">
        <v>0</v>
      </c>
      <c r="I340" s="24">
        <v>0</v>
      </c>
      <c r="J340" s="25">
        <v>0</v>
      </c>
      <c r="K340" s="24">
        <v>0</v>
      </c>
      <c r="L340" s="24">
        <v>0</v>
      </c>
    </row>
    <row r="341" ht="21.05" customHeight="1" spans="1:12">
      <c r="A341" s="10"/>
      <c r="B341" s="10"/>
      <c r="C341" s="10"/>
      <c r="D341" s="10" t="s">
        <v>494</v>
      </c>
      <c r="E341" s="10" t="s">
        <v>356</v>
      </c>
      <c r="F341" s="10" t="s">
        <v>903</v>
      </c>
      <c r="G341" s="24">
        <v>0</v>
      </c>
      <c r="H341" s="24">
        <v>0</v>
      </c>
      <c r="I341" s="24">
        <v>0</v>
      </c>
      <c r="J341" s="25">
        <v>0</v>
      </c>
      <c r="K341" s="24">
        <v>0</v>
      </c>
      <c r="L341" s="24">
        <v>0</v>
      </c>
    </row>
    <row r="342" ht="21.05" customHeight="1" spans="1:12">
      <c r="A342" s="10"/>
      <c r="B342" s="10"/>
      <c r="C342" s="10"/>
      <c r="D342" s="10"/>
      <c r="E342" s="10"/>
      <c r="F342" s="10" t="s">
        <v>852</v>
      </c>
      <c r="G342" s="24">
        <v>28</v>
      </c>
      <c r="H342" s="24">
        <v>677</v>
      </c>
      <c r="I342" s="24">
        <v>27.9388</v>
      </c>
      <c r="J342" s="25">
        <v>0.0612</v>
      </c>
      <c r="K342" s="24">
        <v>672.762</v>
      </c>
      <c r="L342" s="24">
        <v>672.762</v>
      </c>
    </row>
    <row r="343" ht="21.05" customHeight="1" spans="1:12">
      <c r="A343" s="10"/>
      <c r="B343" s="10"/>
      <c r="C343" s="10"/>
      <c r="D343" s="10"/>
      <c r="E343" s="10"/>
      <c r="F343" s="10" t="s">
        <v>915</v>
      </c>
      <c r="G343" s="24">
        <v>4.41</v>
      </c>
      <c r="H343" s="24">
        <v>139.54</v>
      </c>
      <c r="I343" s="24">
        <v>4.41</v>
      </c>
      <c r="J343" s="25">
        <v>0</v>
      </c>
      <c r="K343" s="24">
        <v>139.54</v>
      </c>
      <c r="L343" s="24">
        <v>139.54</v>
      </c>
    </row>
    <row r="344" ht="21.05" customHeight="1" spans="1:12">
      <c r="A344" s="10"/>
      <c r="B344" s="10"/>
      <c r="C344" s="10"/>
      <c r="D344" s="10"/>
      <c r="E344" s="10"/>
      <c r="F344" s="10" t="s">
        <v>916</v>
      </c>
      <c r="G344" s="24">
        <v>0.3</v>
      </c>
      <c r="H344" s="24">
        <v>9.3</v>
      </c>
      <c r="I344" s="24">
        <v>0.3</v>
      </c>
      <c r="J344" s="25">
        <v>0</v>
      </c>
      <c r="K344" s="24">
        <v>9.3</v>
      </c>
      <c r="L344" s="24">
        <v>9.3</v>
      </c>
    </row>
    <row r="345" ht="21.05" customHeight="1" spans="1:12">
      <c r="A345" s="10"/>
      <c r="B345" s="10" t="s">
        <v>495</v>
      </c>
      <c r="C345" s="10" t="s">
        <v>496</v>
      </c>
      <c r="D345" s="10" t="s">
        <v>497</v>
      </c>
      <c r="E345" s="10" t="s">
        <v>356</v>
      </c>
      <c r="F345" s="10" t="s">
        <v>852</v>
      </c>
      <c r="G345" s="24">
        <v>109</v>
      </c>
      <c r="H345" s="24">
        <v>3438.93</v>
      </c>
      <c r="I345" s="24">
        <v>103.6608</v>
      </c>
      <c r="J345" s="25">
        <v>5.3392</v>
      </c>
      <c r="K345" s="24">
        <v>3427.4612</v>
      </c>
      <c r="L345" s="24">
        <v>3427.4612</v>
      </c>
    </row>
    <row r="346" ht="21.05" customHeight="1" spans="1:12">
      <c r="A346" s="10"/>
      <c r="B346" s="10"/>
      <c r="C346" s="10"/>
      <c r="D346" s="10"/>
      <c r="E346" s="10"/>
      <c r="F346" s="10" t="s">
        <v>904</v>
      </c>
      <c r="G346" s="24">
        <v>0</v>
      </c>
      <c r="H346" s="24">
        <v>0</v>
      </c>
      <c r="I346" s="24">
        <v>0</v>
      </c>
      <c r="J346" s="25">
        <v>0</v>
      </c>
      <c r="K346" s="24">
        <v>0</v>
      </c>
      <c r="L346" s="24">
        <v>0</v>
      </c>
    </row>
    <row r="347" ht="21.05" customHeight="1" spans="1:12">
      <c r="A347" s="10"/>
      <c r="B347" s="10"/>
      <c r="C347" s="10"/>
      <c r="D347" s="10"/>
      <c r="E347" s="10"/>
      <c r="F347" s="10" t="s">
        <v>864</v>
      </c>
      <c r="G347" s="24">
        <v>0</v>
      </c>
      <c r="H347" s="24">
        <v>0.5</v>
      </c>
      <c r="I347" s="24">
        <v>0</v>
      </c>
      <c r="J347" s="25">
        <v>0</v>
      </c>
      <c r="K347" s="24">
        <v>0.5</v>
      </c>
      <c r="L347" s="24">
        <v>0.5</v>
      </c>
    </row>
    <row r="348" ht="21.05" customHeight="1" spans="1:12">
      <c r="A348" s="10"/>
      <c r="B348" s="10"/>
      <c r="C348" s="10"/>
      <c r="D348" s="10" t="s">
        <v>355</v>
      </c>
      <c r="E348" s="10" t="s">
        <v>356</v>
      </c>
      <c r="F348" s="10" t="s">
        <v>852</v>
      </c>
      <c r="G348" s="24">
        <v>29.7</v>
      </c>
      <c r="H348" s="24">
        <v>904.1</v>
      </c>
      <c r="I348" s="24">
        <v>25.8562</v>
      </c>
      <c r="J348" s="25">
        <v>3.8438</v>
      </c>
      <c r="K348" s="24">
        <v>864.8843</v>
      </c>
      <c r="L348" s="24">
        <v>864.8843</v>
      </c>
    </row>
    <row r="349" ht="21.05" customHeight="1" spans="1:12">
      <c r="A349" s="10"/>
      <c r="B349" s="10"/>
      <c r="C349" s="10"/>
      <c r="D349" s="10"/>
      <c r="E349" s="10"/>
      <c r="F349" s="10" t="s">
        <v>860</v>
      </c>
      <c r="G349" s="24">
        <v>0</v>
      </c>
      <c r="H349" s="24">
        <v>0</v>
      </c>
      <c r="I349" s="24">
        <v>0</v>
      </c>
      <c r="J349" s="25">
        <v>0</v>
      </c>
      <c r="K349" s="24">
        <v>0</v>
      </c>
      <c r="L349" s="24">
        <v>0</v>
      </c>
    </row>
    <row r="350" ht="21.05" customHeight="1" spans="1:12">
      <c r="A350" s="10"/>
      <c r="B350" s="10"/>
      <c r="C350" s="10"/>
      <c r="D350" s="10"/>
      <c r="E350" s="10"/>
      <c r="F350" s="10" t="s">
        <v>864</v>
      </c>
      <c r="G350" s="24">
        <v>0.16</v>
      </c>
      <c r="H350" s="24">
        <v>7.48</v>
      </c>
      <c r="I350" s="24">
        <v>0.1264</v>
      </c>
      <c r="J350" s="25">
        <v>0.0336</v>
      </c>
      <c r="K350" s="24">
        <v>6.9489</v>
      </c>
      <c r="L350" s="24">
        <v>6.9489</v>
      </c>
    </row>
    <row r="351" ht="21.05" customHeight="1" spans="1:12">
      <c r="A351" s="10"/>
      <c r="B351" s="10"/>
      <c r="C351" s="10"/>
      <c r="D351" s="10"/>
      <c r="E351" s="10"/>
      <c r="F351" s="10" t="s">
        <v>898</v>
      </c>
      <c r="G351" s="24">
        <v>0</v>
      </c>
      <c r="H351" s="24">
        <v>0</v>
      </c>
      <c r="I351" s="24">
        <v>0</v>
      </c>
      <c r="J351" s="25">
        <v>0</v>
      </c>
      <c r="K351" s="24">
        <v>0</v>
      </c>
      <c r="L351" s="24">
        <v>0</v>
      </c>
    </row>
    <row r="352" ht="21.05" customHeight="1" spans="1:12">
      <c r="A352" s="10"/>
      <c r="B352" s="10" t="s">
        <v>500</v>
      </c>
      <c r="C352" s="10" t="s">
        <v>501</v>
      </c>
      <c r="D352" s="10" t="s">
        <v>502</v>
      </c>
      <c r="E352" s="10" t="s">
        <v>356</v>
      </c>
      <c r="F352" s="10" t="s">
        <v>911</v>
      </c>
      <c r="G352" s="24">
        <v>0.3</v>
      </c>
      <c r="H352" s="24">
        <v>8.69</v>
      </c>
      <c r="I352" s="24">
        <v>0.1965</v>
      </c>
      <c r="J352" s="25">
        <v>0.1035</v>
      </c>
      <c r="K352" s="24">
        <v>8.0726</v>
      </c>
      <c r="L352" s="24">
        <v>8.0726</v>
      </c>
    </row>
    <row r="353" ht="21.05" customHeight="1" spans="1:12">
      <c r="A353" s="10" t="s">
        <v>114</v>
      </c>
      <c r="B353" s="10" t="s">
        <v>504</v>
      </c>
      <c r="C353" s="10" t="s">
        <v>505</v>
      </c>
      <c r="D353" s="10" t="s">
        <v>506</v>
      </c>
      <c r="E353" s="10" t="s">
        <v>296</v>
      </c>
      <c r="F353" s="10" t="s">
        <v>864</v>
      </c>
      <c r="G353" s="24">
        <v>0.37</v>
      </c>
      <c r="H353" s="24">
        <v>12.87</v>
      </c>
      <c r="I353" s="24">
        <v>0.4098</v>
      </c>
      <c r="J353" s="25">
        <v>-0.0398</v>
      </c>
      <c r="K353" s="24">
        <v>12.826</v>
      </c>
      <c r="L353" s="24">
        <v>12.826</v>
      </c>
    </row>
    <row r="354" ht="21.05" customHeight="1" spans="1:12">
      <c r="A354" s="10"/>
      <c r="B354" s="10"/>
      <c r="C354" s="10" t="s">
        <v>508</v>
      </c>
      <c r="D354" s="10" t="s">
        <v>509</v>
      </c>
      <c r="E354" s="10" t="s">
        <v>296</v>
      </c>
      <c r="F354" s="10" t="s">
        <v>852</v>
      </c>
      <c r="G354" s="24">
        <v>0</v>
      </c>
      <c r="H354" s="24">
        <v>0</v>
      </c>
      <c r="I354" s="24">
        <v>0</v>
      </c>
      <c r="J354" s="25">
        <v>0</v>
      </c>
      <c r="K354" s="24">
        <v>0</v>
      </c>
      <c r="L354" s="24">
        <v>0</v>
      </c>
    </row>
    <row r="355" ht="21.05" customHeight="1" spans="1:12">
      <c r="A355" s="10"/>
      <c r="B355" s="10"/>
      <c r="C355" s="10"/>
      <c r="D355" s="10"/>
      <c r="E355" s="10"/>
      <c r="F355" s="10" t="s">
        <v>864</v>
      </c>
      <c r="G355" s="24">
        <v>1.2</v>
      </c>
      <c r="H355" s="24">
        <v>74.8</v>
      </c>
      <c r="I355" s="24">
        <v>1.2322</v>
      </c>
      <c r="J355" s="25">
        <v>-0.0322</v>
      </c>
      <c r="K355" s="24">
        <v>78.028</v>
      </c>
      <c r="L355" s="24">
        <v>78.028</v>
      </c>
    </row>
    <row r="356" ht="21.05" customHeight="1" spans="1:12">
      <c r="A356" s="10"/>
      <c r="B356" s="10"/>
      <c r="C356" s="10"/>
      <c r="D356" s="10" t="s">
        <v>511</v>
      </c>
      <c r="E356" s="10" t="s">
        <v>296</v>
      </c>
      <c r="F356" s="10" t="s">
        <v>886</v>
      </c>
      <c r="G356" s="24">
        <v>0</v>
      </c>
      <c r="H356" s="24">
        <v>0</v>
      </c>
      <c r="I356" s="24">
        <v>0</v>
      </c>
      <c r="J356" s="25">
        <v>0</v>
      </c>
      <c r="K356" s="24">
        <v>0</v>
      </c>
      <c r="L356" s="24">
        <v>0</v>
      </c>
    </row>
    <row r="357" ht="21.05" customHeight="1" spans="1:12">
      <c r="A357" s="10"/>
      <c r="B357" s="10"/>
      <c r="C357" s="10"/>
      <c r="D357" s="10"/>
      <c r="E357" s="10"/>
      <c r="F357" s="10" t="s">
        <v>864</v>
      </c>
      <c r="G357" s="24">
        <v>0</v>
      </c>
      <c r="H357" s="24">
        <v>0</v>
      </c>
      <c r="I357" s="24">
        <v>0</v>
      </c>
      <c r="J357" s="25">
        <v>0</v>
      </c>
      <c r="K357" s="24">
        <v>0</v>
      </c>
      <c r="L357" s="24">
        <v>0</v>
      </c>
    </row>
    <row r="358" ht="21.05" customHeight="1" spans="1:12">
      <c r="A358" s="10"/>
      <c r="B358" s="10"/>
      <c r="C358" s="10" t="s">
        <v>512</v>
      </c>
      <c r="D358" s="10" t="s">
        <v>513</v>
      </c>
      <c r="E358" s="10" t="s">
        <v>296</v>
      </c>
      <c r="F358" s="10" t="s">
        <v>852</v>
      </c>
      <c r="G358" s="24">
        <v>0</v>
      </c>
      <c r="H358" s="24">
        <v>0</v>
      </c>
      <c r="I358" s="24">
        <v>0</v>
      </c>
      <c r="J358" s="25">
        <v>0</v>
      </c>
      <c r="K358" s="24">
        <v>0</v>
      </c>
      <c r="L358" s="24">
        <v>0</v>
      </c>
    </row>
    <row r="359" ht="21.05" customHeight="1" spans="1:12">
      <c r="A359" s="10"/>
      <c r="B359" s="10"/>
      <c r="C359" s="10"/>
      <c r="D359" s="10"/>
      <c r="E359" s="10"/>
      <c r="F359" s="10" t="s">
        <v>886</v>
      </c>
      <c r="G359" s="24">
        <v>0</v>
      </c>
      <c r="H359" s="24">
        <v>0</v>
      </c>
      <c r="I359" s="24">
        <v>0</v>
      </c>
      <c r="J359" s="25">
        <v>0</v>
      </c>
      <c r="K359" s="24">
        <v>0</v>
      </c>
      <c r="L359" s="24">
        <v>0</v>
      </c>
    </row>
    <row r="360" ht="21.05" customHeight="1" spans="1:12">
      <c r="A360" s="10"/>
      <c r="B360" s="10"/>
      <c r="C360" s="10"/>
      <c r="D360" s="10"/>
      <c r="E360" s="10"/>
      <c r="F360" s="10" t="s">
        <v>864</v>
      </c>
      <c r="G360" s="24">
        <v>0</v>
      </c>
      <c r="H360" s="24">
        <v>20.5</v>
      </c>
      <c r="I360" s="24">
        <v>0</v>
      </c>
      <c r="J360" s="25">
        <v>0</v>
      </c>
      <c r="K360" s="24">
        <v>10.5245</v>
      </c>
      <c r="L360" s="24">
        <v>10.5245</v>
      </c>
    </row>
    <row r="361" ht="21.05" customHeight="1" spans="1:12">
      <c r="A361" s="10"/>
      <c r="B361" s="10"/>
      <c r="C361" s="10"/>
      <c r="D361" s="10" t="s">
        <v>514</v>
      </c>
      <c r="E361" s="10" t="s">
        <v>296</v>
      </c>
      <c r="F361" s="10" t="s">
        <v>886</v>
      </c>
      <c r="G361" s="24">
        <v>0</v>
      </c>
      <c r="H361" s="24">
        <v>0</v>
      </c>
      <c r="I361" s="24">
        <v>0</v>
      </c>
      <c r="J361" s="25">
        <v>0</v>
      </c>
      <c r="K361" s="24">
        <v>0</v>
      </c>
      <c r="L361" s="24">
        <v>0</v>
      </c>
    </row>
    <row r="362" ht="21.05" customHeight="1" spans="1:12">
      <c r="A362" s="10"/>
      <c r="B362" s="10"/>
      <c r="C362" s="10"/>
      <c r="D362" s="10"/>
      <c r="E362" s="10"/>
      <c r="F362" s="10" t="s">
        <v>864</v>
      </c>
      <c r="G362" s="24">
        <v>1.4</v>
      </c>
      <c r="H362" s="24">
        <v>41.2</v>
      </c>
      <c r="I362" s="24">
        <v>1.197</v>
      </c>
      <c r="J362" s="25">
        <v>0.203</v>
      </c>
      <c r="K362" s="24">
        <v>40.671</v>
      </c>
      <c r="L362" s="24">
        <v>40.671</v>
      </c>
    </row>
    <row r="363" ht="21.05" customHeight="1" spans="1:12">
      <c r="A363" s="10"/>
      <c r="B363" s="10" t="s">
        <v>516</v>
      </c>
      <c r="C363" s="10" t="s">
        <v>517</v>
      </c>
      <c r="D363" s="10" t="s">
        <v>518</v>
      </c>
      <c r="E363" s="10" t="s">
        <v>296</v>
      </c>
      <c r="F363" s="10" t="s">
        <v>886</v>
      </c>
      <c r="G363" s="24">
        <v>0</v>
      </c>
      <c r="H363" s="24">
        <v>0</v>
      </c>
      <c r="I363" s="24">
        <v>0</v>
      </c>
      <c r="J363" s="25">
        <v>0</v>
      </c>
      <c r="K363" s="24">
        <v>0</v>
      </c>
      <c r="L363" s="24">
        <v>0</v>
      </c>
    </row>
    <row r="364" ht="21.05" customHeight="1" spans="1:12">
      <c r="A364" s="10"/>
      <c r="B364" s="10"/>
      <c r="C364" s="10"/>
      <c r="D364" s="10" t="s">
        <v>519</v>
      </c>
      <c r="E364" s="10" t="s">
        <v>296</v>
      </c>
      <c r="F364" s="10" t="s">
        <v>852</v>
      </c>
      <c r="G364" s="24">
        <v>0</v>
      </c>
      <c r="H364" s="24">
        <v>0</v>
      </c>
      <c r="I364" s="24">
        <v>0</v>
      </c>
      <c r="J364" s="25">
        <v>0</v>
      </c>
      <c r="K364" s="24">
        <v>0</v>
      </c>
      <c r="L364" s="24">
        <v>0</v>
      </c>
    </row>
    <row r="365" ht="21.05" customHeight="1" spans="1:12">
      <c r="A365" s="10"/>
      <c r="B365" s="10"/>
      <c r="C365" s="10" t="s">
        <v>520</v>
      </c>
      <c r="D365" s="10" t="s">
        <v>521</v>
      </c>
      <c r="E365" s="10" t="s">
        <v>296</v>
      </c>
      <c r="F365" s="10" t="s">
        <v>852</v>
      </c>
      <c r="G365" s="24">
        <v>0</v>
      </c>
      <c r="H365" s="24">
        <v>0</v>
      </c>
      <c r="I365" s="24">
        <v>0</v>
      </c>
      <c r="J365" s="25">
        <v>0</v>
      </c>
      <c r="K365" s="24">
        <v>0</v>
      </c>
      <c r="L365" s="24">
        <v>0</v>
      </c>
    </row>
    <row r="366" ht="21.05" customHeight="1" spans="1:12">
      <c r="A366" s="10"/>
      <c r="B366" s="10"/>
      <c r="C366" s="10"/>
      <c r="D366" s="10"/>
      <c r="E366" s="10"/>
      <c r="F366" s="10" t="s">
        <v>886</v>
      </c>
      <c r="G366" s="24">
        <v>0</v>
      </c>
      <c r="H366" s="24">
        <v>0</v>
      </c>
      <c r="I366" s="24">
        <v>0</v>
      </c>
      <c r="J366" s="25">
        <v>0</v>
      </c>
      <c r="K366" s="24">
        <v>0</v>
      </c>
      <c r="L366" s="24">
        <v>0</v>
      </c>
    </row>
    <row r="367" ht="21.05" customHeight="1" spans="1:12">
      <c r="A367" s="10"/>
      <c r="B367" s="10"/>
      <c r="C367" s="10"/>
      <c r="D367" s="10"/>
      <c r="E367" s="10"/>
      <c r="F367" s="10" t="s">
        <v>864</v>
      </c>
      <c r="G367" s="24">
        <v>1.3</v>
      </c>
      <c r="H367" s="24">
        <v>8.45</v>
      </c>
      <c r="I367" s="24">
        <v>1.4409</v>
      </c>
      <c r="J367" s="25">
        <v>-0.1409</v>
      </c>
      <c r="K367" s="24">
        <v>10.8242</v>
      </c>
      <c r="L367" s="24">
        <v>10.8242</v>
      </c>
    </row>
    <row r="368" ht="21.05" customHeight="1" spans="1:12">
      <c r="A368" s="10"/>
      <c r="B368" s="10"/>
      <c r="C368" s="10" t="s">
        <v>523</v>
      </c>
      <c r="D368" s="10" t="s">
        <v>524</v>
      </c>
      <c r="E368" s="10" t="s">
        <v>296</v>
      </c>
      <c r="F368" s="10" t="s">
        <v>852</v>
      </c>
      <c r="G368" s="24">
        <v>0</v>
      </c>
      <c r="H368" s="24">
        <v>0</v>
      </c>
      <c r="I368" s="24">
        <v>0</v>
      </c>
      <c r="J368" s="25">
        <v>0</v>
      </c>
      <c r="K368" s="24">
        <v>0</v>
      </c>
      <c r="L368" s="24">
        <v>0</v>
      </c>
    </row>
    <row r="369" ht="21.05" customHeight="1" spans="1:12">
      <c r="A369" s="10"/>
      <c r="B369" s="10"/>
      <c r="C369" s="10"/>
      <c r="D369" s="10"/>
      <c r="E369" s="10"/>
      <c r="F369" s="10" t="s">
        <v>886</v>
      </c>
      <c r="G369" s="24">
        <v>8</v>
      </c>
      <c r="H369" s="24">
        <v>191.8</v>
      </c>
      <c r="I369" s="24">
        <v>8.2019</v>
      </c>
      <c r="J369" s="25">
        <v>-0.2019</v>
      </c>
      <c r="K369" s="24">
        <v>195.5299</v>
      </c>
      <c r="L369" s="24">
        <v>195.5299</v>
      </c>
    </row>
    <row r="370" ht="21.05" customHeight="1" spans="1:12">
      <c r="A370" s="10"/>
      <c r="B370" s="10"/>
      <c r="C370" s="10"/>
      <c r="D370" s="10"/>
      <c r="E370" s="10"/>
      <c r="F370" s="10" t="s">
        <v>864</v>
      </c>
      <c r="G370" s="24">
        <v>7.5</v>
      </c>
      <c r="H370" s="24">
        <v>507.7</v>
      </c>
      <c r="I370" s="24">
        <v>7.6892</v>
      </c>
      <c r="J370" s="25">
        <v>-0.1892</v>
      </c>
      <c r="K370" s="24">
        <v>513.1679</v>
      </c>
      <c r="L370" s="24">
        <v>513.1679</v>
      </c>
    </row>
    <row r="371" ht="21.05" customHeight="1" spans="1:12">
      <c r="A371" s="10"/>
      <c r="B371" s="10"/>
      <c r="C371" s="10" t="s">
        <v>526</v>
      </c>
      <c r="D371" s="10" t="s">
        <v>527</v>
      </c>
      <c r="E371" s="10" t="s">
        <v>296</v>
      </c>
      <c r="F371" s="10" t="s">
        <v>852</v>
      </c>
      <c r="G371" s="24">
        <v>0</v>
      </c>
      <c r="H371" s="24">
        <v>0</v>
      </c>
      <c r="I371" s="24">
        <v>0</v>
      </c>
      <c r="J371" s="25">
        <v>0</v>
      </c>
      <c r="K371" s="24">
        <v>0</v>
      </c>
      <c r="L371" s="24">
        <v>0</v>
      </c>
    </row>
    <row r="372" ht="21.05" customHeight="1" spans="1:12">
      <c r="A372" s="10"/>
      <c r="B372" s="10"/>
      <c r="C372" s="10"/>
      <c r="D372" s="10"/>
      <c r="E372" s="10"/>
      <c r="F372" s="10" t="s">
        <v>886</v>
      </c>
      <c r="G372" s="24">
        <v>2</v>
      </c>
      <c r="H372" s="24">
        <v>65.5</v>
      </c>
      <c r="I372" s="24">
        <v>1.9517</v>
      </c>
      <c r="J372" s="25">
        <v>0.0483</v>
      </c>
      <c r="K372" s="24">
        <v>67.6636</v>
      </c>
      <c r="L372" s="24">
        <v>67.6636</v>
      </c>
    </row>
    <row r="373" ht="21.05" customHeight="1" spans="1:12">
      <c r="A373" s="10"/>
      <c r="B373" s="10"/>
      <c r="C373" s="10"/>
      <c r="D373" s="10"/>
      <c r="E373" s="10"/>
      <c r="F373" s="10" t="s">
        <v>864</v>
      </c>
      <c r="G373" s="24">
        <v>0</v>
      </c>
      <c r="H373" s="24">
        <v>58</v>
      </c>
      <c r="I373" s="24">
        <v>0</v>
      </c>
      <c r="J373" s="25">
        <v>0</v>
      </c>
      <c r="K373" s="24">
        <v>60.821</v>
      </c>
      <c r="L373" s="24">
        <v>60.821</v>
      </c>
    </row>
    <row r="374" ht="21.05" customHeight="1" spans="1:12">
      <c r="A374" s="10"/>
      <c r="B374" s="10"/>
      <c r="C374" s="10" t="s">
        <v>529</v>
      </c>
      <c r="D374" s="10" t="s">
        <v>530</v>
      </c>
      <c r="E374" s="10" t="s">
        <v>296</v>
      </c>
      <c r="F374" s="10" t="s">
        <v>886</v>
      </c>
      <c r="G374" s="24">
        <v>20</v>
      </c>
      <c r="H374" s="24">
        <v>1182</v>
      </c>
      <c r="I374" s="24">
        <v>26.1061</v>
      </c>
      <c r="J374" s="25">
        <v>-6.1061</v>
      </c>
      <c r="K374" s="24">
        <v>1364.7391</v>
      </c>
      <c r="L374" s="24">
        <v>1364.7391</v>
      </c>
    </row>
    <row r="375" ht="21.05" customHeight="1" spans="1:12">
      <c r="A375" s="10"/>
      <c r="B375" s="10"/>
      <c r="C375" s="10"/>
      <c r="D375" s="10"/>
      <c r="E375" s="10"/>
      <c r="F375" s="10" t="s">
        <v>864</v>
      </c>
      <c r="G375" s="24">
        <v>0</v>
      </c>
      <c r="H375" s="24">
        <v>0</v>
      </c>
      <c r="I375" s="24">
        <v>0</v>
      </c>
      <c r="J375" s="25">
        <v>0</v>
      </c>
      <c r="K375" s="24">
        <v>0</v>
      </c>
      <c r="L375" s="24">
        <v>0</v>
      </c>
    </row>
    <row r="376" ht="21.05" customHeight="1" spans="1:12">
      <c r="A376" s="10"/>
      <c r="B376" s="10"/>
      <c r="C376" s="10" t="s">
        <v>532</v>
      </c>
      <c r="D376" s="10" t="s">
        <v>533</v>
      </c>
      <c r="E376" s="10" t="s">
        <v>296</v>
      </c>
      <c r="F376" s="10" t="s">
        <v>852</v>
      </c>
      <c r="G376" s="24">
        <v>0</v>
      </c>
      <c r="H376" s="24">
        <v>0</v>
      </c>
      <c r="I376" s="24">
        <v>0</v>
      </c>
      <c r="J376" s="25">
        <v>0</v>
      </c>
      <c r="K376" s="24">
        <v>0</v>
      </c>
      <c r="L376" s="24">
        <v>0</v>
      </c>
    </row>
    <row r="377" ht="21.05" customHeight="1" spans="1:12">
      <c r="A377" s="10"/>
      <c r="B377" s="10"/>
      <c r="C377" s="10"/>
      <c r="D377" s="10"/>
      <c r="E377" s="10"/>
      <c r="F377" s="10" t="s">
        <v>886</v>
      </c>
      <c r="G377" s="24">
        <v>2.3</v>
      </c>
      <c r="H377" s="24">
        <v>72.1</v>
      </c>
      <c r="I377" s="24">
        <v>1.6546</v>
      </c>
      <c r="J377" s="25">
        <v>0.6454</v>
      </c>
      <c r="K377" s="24">
        <v>70.2134</v>
      </c>
      <c r="L377" s="24">
        <v>70.2134</v>
      </c>
    </row>
    <row r="378" ht="21.05" customHeight="1" spans="1:12">
      <c r="A378" s="10"/>
      <c r="B378" s="10"/>
      <c r="C378" s="10"/>
      <c r="D378" s="10"/>
      <c r="E378" s="10"/>
      <c r="F378" s="10" t="s">
        <v>864</v>
      </c>
      <c r="G378" s="24">
        <v>0</v>
      </c>
      <c r="H378" s="24">
        <v>79.4</v>
      </c>
      <c r="I378" s="24">
        <v>0</v>
      </c>
      <c r="J378" s="25">
        <v>0</v>
      </c>
      <c r="K378" s="24">
        <v>77.3422</v>
      </c>
      <c r="L378" s="24">
        <v>77.3422</v>
      </c>
    </row>
    <row r="379" ht="21.05" customHeight="1" spans="1:12">
      <c r="A379" s="10"/>
      <c r="B379" s="10"/>
      <c r="C379" s="10" t="s">
        <v>535</v>
      </c>
      <c r="D379" s="10" t="s">
        <v>536</v>
      </c>
      <c r="E379" s="10" t="s">
        <v>296</v>
      </c>
      <c r="F379" s="10" t="s">
        <v>852</v>
      </c>
      <c r="G379" s="24">
        <v>39</v>
      </c>
      <c r="H379" s="24">
        <v>1462.75</v>
      </c>
      <c r="I379" s="24">
        <v>41.5544</v>
      </c>
      <c r="J379" s="25">
        <v>-2.5544</v>
      </c>
      <c r="K379" s="24">
        <v>1506.1513</v>
      </c>
      <c r="L379" s="24">
        <v>1506.1513</v>
      </c>
    </row>
    <row r="380" ht="21.05" customHeight="1" spans="1:12">
      <c r="A380" s="10"/>
      <c r="B380" s="10"/>
      <c r="C380" s="10"/>
      <c r="D380" s="10"/>
      <c r="E380" s="10"/>
      <c r="F380" s="10" t="s">
        <v>886</v>
      </c>
      <c r="G380" s="24">
        <v>6</v>
      </c>
      <c r="H380" s="24">
        <v>141.2</v>
      </c>
      <c r="I380" s="24">
        <v>6.393</v>
      </c>
      <c r="J380" s="25">
        <v>-0.393</v>
      </c>
      <c r="K380" s="24">
        <v>145.1581</v>
      </c>
      <c r="L380" s="24">
        <v>145.1581</v>
      </c>
    </row>
    <row r="381" ht="21.05" customHeight="1" spans="1:12">
      <c r="A381" s="10"/>
      <c r="B381" s="10"/>
      <c r="C381" s="10"/>
      <c r="D381" s="10"/>
      <c r="E381" s="10"/>
      <c r="F381" s="10" t="s">
        <v>864</v>
      </c>
      <c r="G381" s="24">
        <v>0</v>
      </c>
      <c r="H381" s="24">
        <v>0</v>
      </c>
      <c r="I381" s="24">
        <v>0</v>
      </c>
      <c r="J381" s="25">
        <v>0</v>
      </c>
      <c r="K381" s="24">
        <v>0</v>
      </c>
      <c r="L381" s="24">
        <v>0</v>
      </c>
    </row>
    <row r="382" ht="21.05" customHeight="1" spans="1:12">
      <c r="A382" s="10"/>
      <c r="B382" s="10"/>
      <c r="C382" s="10" t="s">
        <v>538</v>
      </c>
      <c r="D382" s="10" t="s">
        <v>539</v>
      </c>
      <c r="E382" s="10" t="s">
        <v>296</v>
      </c>
      <c r="F382" s="10" t="s">
        <v>852</v>
      </c>
      <c r="G382" s="24">
        <v>0</v>
      </c>
      <c r="H382" s="24">
        <v>0</v>
      </c>
      <c r="I382" s="24">
        <v>0</v>
      </c>
      <c r="J382" s="25">
        <v>0</v>
      </c>
      <c r="K382" s="24">
        <v>0</v>
      </c>
      <c r="L382" s="24">
        <v>0</v>
      </c>
    </row>
    <row r="383" ht="21.05" customHeight="1" spans="1:12">
      <c r="A383" s="10"/>
      <c r="B383" s="10"/>
      <c r="C383" s="10"/>
      <c r="D383" s="10"/>
      <c r="E383" s="10"/>
      <c r="F383" s="10" t="s">
        <v>886</v>
      </c>
      <c r="G383" s="24">
        <v>22</v>
      </c>
      <c r="H383" s="24">
        <v>682</v>
      </c>
      <c r="I383" s="24">
        <v>25.3954</v>
      </c>
      <c r="J383" s="25">
        <v>-3.3954</v>
      </c>
      <c r="K383" s="24">
        <v>773.3332</v>
      </c>
      <c r="L383" s="24">
        <v>773.3332</v>
      </c>
    </row>
    <row r="384" ht="21.05" customHeight="1" spans="1:12">
      <c r="A384" s="10"/>
      <c r="B384" s="10"/>
      <c r="C384" s="10"/>
      <c r="D384" s="10"/>
      <c r="E384" s="10"/>
      <c r="F384" s="10" t="s">
        <v>864</v>
      </c>
      <c r="G384" s="24">
        <v>0</v>
      </c>
      <c r="H384" s="24">
        <v>0</v>
      </c>
      <c r="I384" s="24">
        <v>0</v>
      </c>
      <c r="J384" s="25">
        <v>0</v>
      </c>
      <c r="K384" s="24">
        <v>0</v>
      </c>
      <c r="L384" s="24">
        <v>0</v>
      </c>
    </row>
    <row r="385" ht="21.05" customHeight="1" spans="1:12">
      <c r="A385" s="10"/>
      <c r="B385" s="10"/>
      <c r="C385" s="10" t="s">
        <v>541</v>
      </c>
      <c r="D385" s="10" t="s">
        <v>542</v>
      </c>
      <c r="E385" s="10" t="s">
        <v>296</v>
      </c>
      <c r="F385" s="10" t="s">
        <v>852</v>
      </c>
      <c r="G385" s="24">
        <v>0</v>
      </c>
      <c r="H385" s="24">
        <v>0</v>
      </c>
      <c r="I385" s="24">
        <v>0</v>
      </c>
      <c r="J385" s="25">
        <v>0</v>
      </c>
      <c r="K385" s="24">
        <v>0</v>
      </c>
      <c r="L385" s="24">
        <v>0</v>
      </c>
    </row>
    <row r="386" ht="21.05" customHeight="1" spans="1:12">
      <c r="A386" s="10"/>
      <c r="B386" s="10"/>
      <c r="C386" s="10"/>
      <c r="D386" s="10"/>
      <c r="E386" s="10"/>
      <c r="F386" s="10" t="s">
        <v>886</v>
      </c>
      <c r="G386" s="24">
        <v>0</v>
      </c>
      <c r="H386" s="24">
        <v>0</v>
      </c>
      <c r="I386" s="24">
        <v>0</v>
      </c>
      <c r="J386" s="25">
        <v>0</v>
      </c>
      <c r="K386" s="24">
        <v>0</v>
      </c>
      <c r="L386" s="24">
        <v>0</v>
      </c>
    </row>
    <row r="387" ht="21.05" customHeight="1" spans="1:12">
      <c r="A387" s="10"/>
      <c r="B387" s="10"/>
      <c r="C387" s="10"/>
      <c r="D387" s="10"/>
      <c r="E387" s="10"/>
      <c r="F387" s="10" t="s">
        <v>864</v>
      </c>
      <c r="G387" s="24">
        <v>0.01</v>
      </c>
      <c r="H387" s="24">
        <v>1.31</v>
      </c>
      <c r="I387" s="24">
        <v>0.0083</v>
      </c>
      <c r="J387" s="25">
        <v>0.0017</v>
      </c>
      <c r="K387" s="24">
        <v>1.8343</v>
      </c>
      <c r="L387" s="24">
        <v>1.8343</v>
      </c>
    </row>
    <row r="388" ht="21.05" customHeight="1" spans="1:12">
      <c r="A388" s="10"/>
      <c r="B388" s="10" t="s">
        <v>544</v>
      </c>
      <c r="C388" s="10" t="s">
        <v>545</v>
      </c>
      <c r="D388" s="10" t="s">
        <v>307</v>
      </c>
      <c r="E388" s="10" t="s">
        <v>296</v>
      </c>
      <c r="F388" s="10" t="s">
        <v>852</v>
      </c>
      <c r="G388" s="24">
        <v>2.5</v>
      </c>
      <c r="H388" s="24">
        <v>263.3</v>
      </c>
      <c r="I388" s="24">
        <v>2.8138</v>
      </c>
      <c r="J388" s="25">
        <v>-0.3138</v>
      </c>
      <c r="K388" s="24">
        <v>256.5523</v>
      </c>
      <c r="L388" s="24">
        <v>256.5523</v>
      </c>
    </row>
    <row r="389" ht="21.05" customHeight="1" spans="1:12">
      <c r="A389" s="10"/>
      <c r="B389" s="10"/>
      <c r="C389" s="10"/>
      <c r="D389" s="10"/>
      <c r="E389" s="10"/>
      <c r="F389" s="10" t="s">
        <v>886</v>
      </c>
      <c r="G389" s="24">
        <v>0</v>
      </c>
      <c r="H389" s="24">
        <v>0</v>
      </c>
      <c r="I389" s="24">
        <v>0</v>
      </c>
      <c r="J389" s="25">
        <v>0</v>
      </c>
      <c r="K389" s="24">
        <v>0</v>
      </c>
      <c r="L389" s="24">
        <v>0</v>
      </c>
    </row>
    <row r="390" ht="21.05" customHeight="1" spans="1:12">
      <c r="A390" s="10"/>
      <c r="B390" s="10"/>
      <c r="C390" s="10"/>
      <c r="D390" s="10"/>
      <c r="E390" s="10"/>
      <c r="F390" s="10" t="s">
        <v>864</v>
      </c>
      <c r="G390" s="24">
        <v>0</v>
      </c>
      <c r="H390" s="24">
        <v>0</v>
      </c>
      <c r="I390" s="24">
        <v>0</v>
      </c>
      <c r="J390" s="25">
        <v>0</v>
      </c>
      <c r="K390" s="24">
        <v>0</v>
      </c>
      <c r="L390" s="24">
        <v>0</v>
      </c>
    </row>
    <row r="391" ht="21.05" customHeight="1" spans="1:12">
      <c r="A391" s="10"/>
      <c r="B391" s="10"/>
      <c r="C391" s="10" t="s">
        <v>547</v>
      </c>
      <c r="D391" s="10" t="s">
        <v>307</v>
      </c>
      <c r="E391" s="10" t="s">
        <v>296</v>
      </c>
      <c r="F391" s="10" t="s">
        <v>852</v>
      </c>
      <c r="G391" s="24">
        <v>1</v>
      </c>
      <c r="H391" s="24">
        <v>112.8</v>
      </c>
      <c r="I391" s="24">
        <v>1.1992</v>
      </c>
      <c r="J391" s="25">
        <v>-0.1992</v>
      </c>
      <c r="K391" s="24">
        <v>115.9762</v>
      </c>
      <c r="L391" s="24">
        <v>115.9762</v>
      </c>
    </row>
    <row r="392" ht="21.05" customHeight="1" spans="1:12">
      <c r="A392" s="10"/>
      <c r="B392" s="10"/>
      <c r="C392" s="10"/>
      <c r="D392" s="10"/>
      <c r="E392" s="10"/>
      <c r="F392" s="10" t="s">
        <v>886</v>
      </c>
      <c r="G392" s="24">
        <v>0</v>
      </c>
      <c r="H392" s="24">
        <v>0</v>
      </c>
      <c r="I392" s="24">
        <v>0</v>
      </c>
      <c r="J392" s="25">
        <v>0</v>
      </c>
      <c r="K392" s="24">
        <v>0</v>
      </c>
      <c r="L392" s="24">
        <v>0</v>
      </c>
    </row>
    <row r="393" ht="21.05" customHeight="1" spans="1:12">
      <c r="A393" s="10"/>
      <c r="B393" s="10"/>
      <c r="C393" s="10"/>
      <c r="D393" s="10"/>
      <c r="E393" s="10"/>
      <c r="F393" s="10" t="s">
        <v>864</v>
      </c>
      <c r="G393" s="24">
        <v>0</v>
      </c>
      <c r="H393" s="24">
        <v>0</v>
      </c>
      <c r="I393" s="24">
        <v>0</v>
      </c>
      <c r="J393" s="25">
        <v>0</v>
      </c>
      <c r="K393" s="24">
        <v>0</v>
      </c>
      <c r="L393" s="24">
        <v>0</v>
      </c>
    </row>
    <row r="394" ht="21.05" customHeight="1" spans="1:12">
      <c r="A394" s="10"/>
      <c r="B394" s="10"/>
      <c r="C394" s="10" t="s">
        <v>549</v>
      </c>
      <c r="D394" s="10" t="s">
        <v>307</v>
      </c>
      <c r="E394" s="10" t="s">
        <v>296</v>
      </c>
      <c r="F394" s="10" t="s">
        <v>852</v>
      </c>
      <c r="G394" s="24">
        <v>3.8</v>
      </c>
      <c r="H394" s="24">
        <v>1012.2</v>
      </c>
      <c r="I394" s="24">
        <v>3.5616</v>
      </c>
      <c r="J394" s="25">
        <v>0.2384</v>
      </c>
      <c r="K394" s="24">
        <v>1000.3327</v>
      </c>
      <c r="L394" s="24">
        <v>1000.3327</v>
      </c>
    </row>
    <row r="395" ht="21.05" customHeight="1" spans="1:12">
      <c r="A395" s="10"/>
      <c r="B395" s="10"/>
      <c r="C395" s="10"/>
      <c r="D395" s="10"/>
      <c r="E395" s="10"/>
      <c r="F395" s="10" t="s">
        <v>886</v>
      </c>
      <c r="G395" s="24">
        <v>0</v>
      </c>
      <c r="H395" s="24">
        <v>0</v>
      </c>
      <c r="I395" s="24">
        <v>0</v>
      </c>
      <c r="J395" s="25">
        <v>0</v>
      </c>
      <c r="K395" s="24">
        <v>0</v>
      </c>
      <c r="L395" s="24">
        <v>0</v>
      </c>
    </row>
    <row r="396" ht="21.05" customHeight="1" spans="1:12">
      <c r="A396" s="10"/>
      <c r="B396" s="10"/>
      <c r="C396" s="10"/>
      <c r="D396" s="10"/>
      <c r="E396" s="10"/>
      <c r="F396" s="10" t="s">
        <v>864</v>
      </c>
      <c r="G396" s="24">
        <v>0</v>
      </c>
      <c r="H396" s="24">
        <v>0</v>
      </c>
      <c r="I396" s="24">
        <v>0</v>
      </c>
      <c r="J396" s="25">
        <v>0</v>
      </c>
      <c r="K396" s="24">
        <v>0</v>
      </c>
      <c r="L396" s="24">
        <v>0</v>
      </c>
    </row>
    <row r="397" ht="21.05" customHeight="1" spans="1:12">
      <c r="A397" s="10" t="s">
        <v>551</v>
      </c>
      <c r="B397" s="10" t="s">
        <v>552</v>
      </c>
      <c r="C397" s="10" t="s">
        <v>553</v>
      </c>
      <c r="D397" s="10" t="s">
        <v>554</v>
      </c>
      <c r="E397" s="10" t="s">
        <v>555</v>
      </c>
      <c r="F397" s="10" t="s">
        <v>917</v>
      </c>
      <c r="G397" s="24">
        <v>4.4</v>
      </c>
      <c r="H397" s="24">
        <v>147.9</v>
      </c>
      <c r="I397" s="24">
        <v>4.153</v>
      </c>
      <c r="J397" s="25">
        <v>0.247</v>
      </c>
      <c r="K397" s="24">
        <v>145.216</v>
      </c>
      <c r="L397" s="24">
        <v>145.216</v>
      </c>
    </row>
    <row r="398" ht="21.05" customHeight="1" spans="1:12">
      <c r="A398" s="10"/>
      <c r="B398" s="10"/>
      <c r="C398" s="10" t="s">
        <v>557</v>
      </c>
      <c r="D398" s="10" t="s">
        <v>558</v>
      </c>
      <c r="E398" s="10" t="s">
        <v>555</v>
      </c>
      <c r="F398" s="10" t="s">
        <v>918</v>
      </c>
      <c r="G398" s="24">
        <v>0</v>
      </c>
      <c r="H398" s="24">
        <v>0</v>
      </c>
      <c r="I398" s="24">
        <v>0</v>
      </c>
      <c r="J398" s="25">
        <v>0</v>
      </c>
      <c r="K398" s="24">
        <v>0</v>
      </c>
      <c r="L398" s="24">
        <v>0</v>
      </c>
    </row>
    <row r="399" ht="21.05" customHeight="1" spans="1:12">
      <c r="A399" s="10"/>
      <c r="B399" s="10"/>
      <c r="C399" s="10"/>
      <c r="D399" s="10" t="s">
        <v>559</v>
      </c>
      <c r="E399" s="10" t="s">
        <v>555</v>
      </c>
      <c r="F399" s="10" t="s">
        <v>917</v>
      </c>
      <c r="G399" s="24">
        <v>19</v>
      </c>
      <c r="H399" s="24">
        <v>675.8</v>
      </c>
      <c r="I399" s="24">
        <v>17.7824</v>
      </c>
      <c r="J399" s="25">
        <v>1.2176</v>
      </c>
      <c r="K399" s="24">
        <v>639.3504</v>
      </c>
      <c r="L399" s="24">
        <v>639.3504</v>
      </c>
    </row>
    <row r="400" ht="21.05" customHeight="1" spans="1:12">
      <c r="A400" s="10"/>
      <c r="B400" s="10"/>
      <c r="C400" s="10" t="s">
        <v>483</v>
      </c>
      <c r="D400" s="10" t="s">
        <v>561</v>
      </c>
      <c r="E400" s="10" t="s">
        <v>555</v>
      </c>
      <c r="F400" s="10" t="s">
        <v>917</v>
      </c>
      <c r="G400" s="24">
        <v>11</v>
      </c>
      <c r="H400" s="24">
        <v>347.6</v>
      </c>
      <c r="I400" s="24">
        <v>9.6608</v>
      </c>
      <c r="J400" s="25">
        <v>1.3392</v>
      </c>
      <c r="K400" s="24">
        <v>317.6588</v>
      </c>
      <c r="L400" s="24">
        <v>317.6588</v>
      </c>
    </row>
    <row r="401" ht="21.05" customHeight="1" spans="1:12">
      <c r="A401" s="10"/>
      <c r="B401" s="10" t="s">
        <v>131</v>
      </c>
      <c r="C401" s="10" t="s">
        <v>563</v>
      </c>
      <c r="D401" s="10" t="s">
        <v>564</v>
      </c>
      <c r="E401" s="10" t="s">
        <v>565</v>
      </c>
      <c r="F401" s="10" t="s">
        <v>919</v>
      </c>
      <c r="G401" s="24">
        <v>0</v>
      </c>
      <c r="H401" s="24">
        <v>0</v>
      </c>
      <c r="I401" s="24">
        <v>0</v>
      </c>
      <c r="J401" s="25">
        <v>0</v>
      </c>
      <c r="K401" s="24">
        <v>0</v>
      </c>
      <c r="L401" s="24">
        <v>0</v>
      </c>
    </row>
    <row r="402" ht="21.05" customHeight="1" spans="1:12">
      <c r="A402" s="10"/>
      <c r="B402" s="10"/>
      <c r="C402" s="10"/>
      <c r="D402" s="10"/>
      <c r="E402" s="10"/>
      <c r="F402" s="10" t="s">
        <v>901</v>
      </c>
      <c r="G402" s="24">
        <v>0</v>
      </c>
      <c r="H402" s="24">
        <v>0</v>
      </c>
      <c r="I402" s="24">
        <v>0</v>
      </c>
      <c r="J402" s="25">
        <v>0</v>
      </c>
      <c r="K402" s="24">
        <v>0</v>
      </c>
      <c r="L402" s="24">
        <v>0</v>
      </c>
    </row>
    <row r="403" ht="21.05" customHeight="1" spans="1:12">
      <c r="A403" s="10"/>
      <c r="B403" s="10"/>
      <c r="C403" s="10"/>
      <c r="D403" s="10"/>
      <c r="E403" s="10"/>
      <c r="F403" s="10" t="s">
        <v>920</v>
      </c>
      <c r="G403" s="24">
        <v>0</v>
      </c>
      <c r="H403" s="24">
        <v>0</v>
      </c>
      <c r="I403" s="24">
        <v>0</v>
      </c>
      <c r="J403" s="25">
        <v>0</v>
      </c>
      <c r="K403" s="24">
        <v>0</v>
      </c>
      <c r="L403" s="24">
        <v>0</v>
      </c>
    </row>
    <row r="404" ht="21.05" customHeight="1" spans="1:12">
      <c r="A404" s="10"/>
      <c r="B404" s="10"/>
      <c r="C404" s="10"/>
      <c r="D404" s="10"/>
      <c r="E404" s="10"/>
      <c r="F404" s="10" t="s">
        <v>921</v>
      </c>
      <c r="G404" s="24">
        <v>0</v>
      </c>
      <c r="H404" s="24">
        <v>0</v>
      </c>
      <c r="I404" s="24">
        <v>0</v>
      </c>
      <c r="J404" s="25">
        <v>0</v>
      </c>
      <c r="K404" s="24">
        <v>0</v>
      </c>
      <c r="L404" s="24">
        <v>0</v>
      </c>
    </row>
    <row r="405" ht="21.05" customHeight="1" spans="1:12">
      <c r="A405" s="10"/>
      <c r="B405" s="10" t="s">
        <v>130</v>
      </c>
      <c r="C405" s="10" t="s">
        <v>566</v>
      </c>
      <c r="D405" s="10" t="s">
        <v>355</v>
      </c>
      <c r="E405" s="10" t="s">
        <v>356</v>
      </c>
      <c r="F405" s="10" t="s">
        <v>922</v>
      </c>
      <c r="G405" s="24">
        <v>0</v>
      </c>
      <c r="H405" s="24">
        <v>0</v>
      </c>
      <c r="I405" s="24">
        <v>0</v>
      </c>
      <c r="J405" s="25">
        <v>0</v>
      </c>
      <c r="K405" s="24">
        <v>0</v>
      </c>
      <c r="L405" s="24">
        <v>0</v>
      </c>
    </row>
    <row r="406" ht="21.05" customHeight="1" spans="1:12">
      <c r="A406" s="10"/>
      <c r="B406" s="10"/>
      <c r="C406" s="10"/>
      <c r="D406" s="10"/>
      <c r="E406" s="10"/>
      <c r="F406" s="10" t="s">
        <v>891</v>
      </c>
      <c r="G406" s="24">
        <v>0</v>
      </c>
      <c r="H406" s="24">
        <v>0</v>
      </c>
      <c r="I406" s="24">
        <v>0</v>
      </c>
      <c r="J406" s="25">
        <v>0</v>
      </c>
      <c r="K406" s="24">
        <v>0</v>
      </c>
      <c r="L406" s="24">
        <v>0</v>
      </c>
    </row>
    <row r="407" ht="21.05" customHeight="1" spans="1:12">
      <c r="A407" s="10"/>
      <c r="B407" s="10"/>
      <c r="C407" s="10"/>
      <c r="D407" s="10"/>
      <c r="E407" s="10"/>
      <c r="F407" s="10" t="s">
        <v>923</v>
      </c>
      <c r="G407" s="24">
        <v>0</v>
      </c>
      <c r="H407" s="24">
        <v>0</v>
      </c>
      <c r="I407" s="24">
        <v>0</v>
      </c>
      <c r="J407" s="25">
        <v>0</v>
      </c>
      <c r="K407" s="24">
        <v>0</v>
      </c>
      <c r="L407" s="24">
        <v>0</v>
      </c>
    </row>
    <row r="408" ht="21.05" customHeight="1" spans="1:12">
      <c r="A408" s="10"/>
      <c r="B408" s="10"/>
      <c r="C408" s="10"/>
      <c r="D408" s="10"/>
      <c r="E408" s="10"/>
      <c r="F408" s="10" t="s">
        <v>852</v>
      </c>
      <c r="G408" s="24">
        <v>63.2</v>
      </c>
      <c r="H408" s="24">
        <v>3060.86</v>
      </c>
      <c r="I408" s="24">
        <v>63.2317</v>
      </c>
      <c r="J408" s="25">
        <v>-0.0317</v>
      </c>
      <c r="K408" s="24">
        <v>3036.9833</v>
      </c>
      <c r="L408" s="24">
        <v>3036.9833</v>
      </c>
    </row>
    <row r="409" ht="21.05" customHeight="1" spans="1:12">
      <c r="A409" s="10"/>
      <c r="B409" s="10"/>
      <c r="C409" s="10"/>
      <c r="D409" s="10"/>
      <c r="E409" s="10"/>
      <c r="F409" s="10" t="s">
        <v>904</v>
      </c>
      <c r="G409" s="24">
        <v>0</v>
      </c>
      <c r="H409" s="24">
        <v>400</v>
      </c>
      <c r="I409" s="24">
        <v>0</v>
      </c>
      <c r="J409" s="25">
        <v>0</v>
      </c>
      <c r="K409" s="24">
        <v>391.4454</v>
      </c>
      <c r="L409" s="24">
        <v>391.4454</v>
      </c>
    </row>
    <row r="410" ht="21.05" customHeight="1" spans="1:12">
      <c r="A410" s="10"/>
      <c r="B410" s="10"/>
      <c r="C410" s="10"/>
      <c r="D410" s="10"/>
      <c r="E410" s="10"/>
      <c r="F410" s="10" t="s">
        <v>879</v>
      </c>
      <c r="G410" s="24">
        <v>0</v>
      </c>
      <c r="H410" s="24">
        <v>0</v>
      </c>
      <c r="I410" s="24">
        <v>0</v>
      </c>
      <c r="J410" s="25">
        <v>0</v>
      </c>
      <c r="K410" s="24">
        <v>0</v>
      </c>
      <c r="L410" s="24">
        <v>0</v>
      </c>
    </row>
    <row r="411" ht="21.05" customHeight="1" spans="1:12">
      <c r="A411" s="10"/>
      <c r="B411" s="10"/>
      <c r="C411" s="10"/>
      <c r="D411" s="10"/>
      <c r="E411" s="10"/>
      <c r="F411" s="10" t="s">
        <v>902</v>
      </c>
      <c r="G411" s="24">
        <v>18</v>
      </c>
      <c r="H411" s="24">
        <v>245.5</v>
      </c>
      <c r="I411" s="24">
        <v>18.0011</v>
      </c>
      <c r="J411" s="25">
        <v>-0.0011</v>
      </c>
      <c r="K411" s="24">
        <v>245.8209</v>
      </c>
      <c r="L411" s="24">
        <v>245.8209</v>
      </c>
    </row>
    <row r="412" ht="21.05" customHeight="1" spans="1:12">
      <c r="A412" s="10"/>
      <c r="B412" s="10"/>
      <c r="C412" s="10"/>
      <c r="D412" s="10"/>
      <c r="E412" s="10"/>
      <c r="F412" s="10" t="s">
        <v>924</v>
      </c>
      <c r="G412" s="24">
        <v>0</v>
      </c>
      <c r="H412" s="24">
        <v>0</v>
      </c>
      <c r="I412" s="24">
        <v>0</v>
      </c>
      <c r="J412" s="25">
        <v>0</v>
      </c>
      <c r="K412" s="24">
        <v>0</v>
      </c>
      <c r="L412" s="24">
        <v>0</v>
      </c>
    </row>
    <row r="413" ht="21.05" customHeight="1" spans="1:12">
      <c r="A413" s="10"/>
      <c r="B413" s="10"/>
      <c r="C413" s="10"/>
      <c r="D413" s="10"/>
      <c r="E413" s="10"/>
      <c r="F413" s="10" t="s">
        <v>864</v>
      </c>
      <c r="G413" s="24">
        <v>0</v>
      </c>
      <c r="H413" s="24">
        <v>159.5</v>
      </c>
      <c r="I413" s="24">
        <v>0</v>
      </c>
      <c r="J413" s="25">
        <v>0</v>
      </c>
      <c r="K413" s="24">
        <v>157.9842</v>
      </c>
      <c r="L413" s="24">
        <v>157.9842</v>
      </c>
    </row>
    <row r="414" ht="21.05" customHeight="1" spans="1:12">
      <c r="A414" s="10"/>
      <c r="B414" s="10"/>
      <c r="C414" s="10" t="s">
        <v>567</v>
      </c>
      <c r="D414" s="10" t="s">
        <v>568</v>
      </c>
      <c r="E414" s="10" t="s">
        <v>555</v>
      </c>
      <c r="F414" s="10" t="s">
        <v>925</v>
      </c>
      <c r="G414" s="24">
        <v>0</v>
      </c>
      <c r="H414" s="24">
        <v>0</v>
      </c>
      <c r="I414" s="24">
        <v>0</v>
      </c>
      <c r="J414" s="25">
        <v>0</v>
      </c>
      <c r="K414" s="24">
        <v>0</v>
      </c>
      <c r="L414" s="24">
        <v>0</v>
      </c>
    </row>
    <row r="415" ht="21.05" customHeight="1" spans="1:12">
      <c r="A415" s="10"/>
      <c r="B415" s="10"/>
      <c r="C415" s="10"/>
      <c r="D415" s="10"/>
      <c r="E415" s="10"/>
      <c r="F415" s="10" t="s">
        <v>917</v>
      </c>
      <c r="G415" s="24">
        <v>0.65</v>
      </c>
      <c r="H415" s="24">
        <v>20.15</v>
      </c>
      <c r="I415" s="24">
        <v>0.6477</v>
      </c>
      <c r="J415" s="25">
        <v>0.0023</v>
      </c>
      <c r="K415" s="24">
        <v>20.0862</v>
      </c>
      <c r="L415" s="24">
        <v>20.0862</v>
      </c>
    </row>
    <row r="416" ht="21.05" customHeight="1" spans="1:12">
      <c r="A416" s="10"/>
      <c r="B416" s="10"/>
      <c r="C416" s="10" t="s">
        <v>570</v>
      </c>
      <c r="D416" s="10" t="s">
        <v>571</v>
      </c>
      <c r="E416" s="10" t="s">
        <v>555</v>
      </c>
      <c r="F416" s="10" t="s">
        <v>917</v>
      </c>
      <c r="G416" s="24">
        <v>7.8</v>
      </c>
      <c r="H416" s="24">
        <v>327.3</v>
      </c>
      <c r="I416" s="24">
        <v>7.798</v>
      </c>
      <c r="J416" s="25">
        <v>0.002</v>
      </c>
      <c r="K416" s="24">
        <v>327.3124</v>
      </c>
      <c r="L416" s="24">
        <v>327.3124</v>
      </c>
    </row>
    <row r="417" ht="21.05" customHeight="1" spans="1:12">
      <c r="A417" s="10"/>
      <c r="B417" s="10"/>
      <c r="C417" s="10" t="s">
        <v>572</v>
      </c>
      <c r="D417" s="10" t="s">
        <v>355</v>
      </c>
      <c r="E417" s="10" t="s">
        <v>356</v>
      </c>
      <c r="F417" s="10" t="s">
        <v>869</v>
      </c>
      <c r="G417" s="24">
        <v>0</v>
      </c>
      <c r="H417" s="24">
        <v>0</v>
      </c>
      <c r="I417" s="24">
        <v>0</v>
      </c>
      <c r="J417" s="25">
        <v>0</v>
      </c>
      <c r="K417" s="24">
        <v>0</v>
      </c>
      <c r="L417" s="24">
        <v>0</v>
      </c>
    </row>
    <row r="418" ht="21.05" customHeight="1" spans="1:12">
      <c r="A418" s="10"/>
      <c r="B418" s="10"/>
      <c r="C418" s="10"/>
      <c r="D418" s="10"/>
      <c r="E418" s="10"/>
      <c r="F418" s="10" t="s">
        <v>852</v>
      </c>
      <c r="G418" s="24">
        <v>38</v>
      </c>
      <c r="H418" s="24">
        <v>1963.1</v>
      </c>
      <c r="I418" s="24">
        <v>37.0461</v>
      </c>
      <c r="J418" s="25">
        <v>0.9539</v>
      </c>
      <c r="K418" s="24">
        <v>1914.8788</v>
      </c>
      <c r="L418" s="24">
        <v>1914.8788</v>
      </c>
    </row>
    <row r="419" ht="21.05" customHeight="1" spans="1:12">
      <c r="A419" s="10"/>
      <c r="B419" s="10"/>
      <c r="C419" s="10"/>
      <c r="D419" s="10"/>
      <c r="E419" s="10"/>
      <c r="F419" s="10" t="s">
        <v>879</v>
      </c>
      <c r="G419" s="24">
        <v>0</v>
      </c>
      <c r="H419" s="24">
        <v>0</v>
      </c>
      <c r="I419" s="24">
        <v>0</v>
      </c>
      <c r="J419" s="25">
        <v>0</v>
      </c>
      <c r="K419" s="24">
        <v>0</v>
      </c>
      <c r="L419" s="24">
        <v>0</v>
      </c>
    </row>
    <row r="420" ht="21.05" customHeight="1" spans="1:12">
      <c r="A420" s="10"/>
      <c r="B420" s="10"/>
      <c r="C420" s="10"/>
      <c r="D420" s="10"/>
      <c r="E420" s="10"/>
      <c r="F420" s="10" t="s">
        <v>860</v>
      </c>
      <c r="G420" s="24">
        <v>0</v>
      </c>
      <c r="H420" s="24">
        <v>0</v>
      </c>
      <c r="I420" s="24">
        <v>0</v>
      </c>
      <c r="J420" s="25">
        <v>0</v>
      </c>
      <c r="K420" s="24">
        <v>0</v>
      </c>
      <c r="L420" s="24">
        <v>0</v>
      </c>
    </row>
    <row r="421" ht="21.05" customHeight="1" spans="1:12">
      <c r="A421" s="10"/>
      <c r="B421" s="10"/>
      <c r="C421" s="10"/>
      <c r="D421" s="10"/>
      <c r="E421" s="10"/>
      <c r="F421" s="10" t="s">
        <v>861</v>
      </c>
      <c r="G421" s="24">
        <v>0</v>
      </c>
      <c r="H421" s="24">
        <v>0</v>
      </c>
      <c r="I421" s="24">
        <v>0</v>
      </c>
      <c r="J421" s="25">
        <v>0</v>
      </c>
      <c r="K421" s="24">
        <v>0</v>
      </c>
      <c r="L421" s="24">
        <v>0</v>
      </c>
    </row>
    <row r="422" ht="21.05" customHeight="1" spans="1:12">
      <c r="A422" s="10"/>
      <c r="B422" s="10"/>
      <c r="C422" s="10"/>
      <c r="D422" s="10"/>
      <c r="E422" s="10"/>
      <c r="F422" s="10" t="s">
        <v>926</v>
      </c>
      <c r="G422" s="24">
        <v>0</v>
      </c>
      <c r="H422" s="24">
        <v>0</v>
      </c>
      <c r="I422" s="24">
        <v>0</v>
      </c>
      <c r="J422" s="25">
        <v>0</v>
      </c>
      <c r="K422" s="24">
        <v>0</v>
      </c>
      <c r="L422" s="24">
        <v>0</v>
      </c>
    </row>
    <row r="423" ht="21.05" customHeight="1" spans="1:12">
      <c r="A423" s="10"/>
      <c r="B423" s="10"/>
      <c r="C423" s="10"/>
      <c r="D423" s="10"/>
      <c r="E423" s="10"/>
      <c r="F423" s="10" t="s">
        <v>864</v>
      </c>
      <c r="G423" s="24">
        <v>2</v>
      </c>
      <c r="H423" s="24">
        <v>64.4</v>
      </c>
      <c r="I423" s="24">
        <v>1.9231</v>
      </c>
      <c r="J423" s="25">
        <v>0.0769</v>
      </c>
      <c r="K423" s="24">
        <v>61.9188</v>
      </c>
      <c r="L423" s="24">
        <v>61.9188</v>
      </c>
    </row>
    <row r="424" ht="21.05" customHeight="1" spans="1:12">
      <c r="A424" s="10"/>
      <c r="B424" s="10"/>
      <c r="C424" s="10"/>
      <c r="D424" s="10"/>
      <c r="E424" s="10"/>
      <c r="F424" s="10" t="s">
        <v>898</v>
      </c>
      <c r="G424" s="24">
        <v>17</v>
      </c>
      <c r="H424" s="24">
        <v>479.3</v>
      </c>
      <c r="I424" s="24">
        <v>16.3465</v>
      </c>
      <c r="J424" s="25">
        <v>0.6535</v>
      </c>
      <c r="K424" s="24">
        <v>460.2127</v>
      </c>
      <c r="L424" s="24">
        <v>460.2127</v>
      </c>
    </row>
    <row r="425" ht="21.05" customHeight="1" spans="1:12">
      <c r="A425" s="10"/>
      <c r="B425" s="10"/>
      <c r="C425" s="10"/>
      <c r="D425" s="10"/>
      <c r="E425" s="10"/>
      <c r="F425" s="10" t="s">
        <v>927</v>
      </c>
      <c r="G425" s="24">
        <v>0</v>
      </c>
      <c r="H425" s="24">
        <v>0</v>
      </c>
      <c r="I425" s="24">
        <v>0</v>
      </c>
      <c r="J425" s="25">
        <v>0</v>
      </c>
      <c r="K425" s="24">
        <v>0</v>
      </c>
      <c r="L425" s="24">
        <v>0</v>
      </c>
    </row>
    <row r="426" ht="21.05" customHeight="1" spans="1:12">
      <c r="A426" s="10"/>
      <c r="B426" s="10"/>
      <c r="C426" s="10" t="s">
        <v>574</v>
      </c>
      <c r="D426" s="10" t="s">
        <v>575</v>
      </c>
      <c r="E426" s="10" t="s">
        <v>555</v>
      </c>
      <c r="F426" s="10" t="s">
        <v>890</v>
      </c>
      <c r="G426" s="24">
        <v>0</v>
      </c>
      <c r="H426" s="24">
        <v>0</v>
      </c>
      <c r="I426" s="24">
        <v>0</v>
      </c>
      <c r="J426" s="25">
        <v>0</v>
      </c>
      <c r="K426" s="24">
        <v>0</v>
      </c>
      <c r="L426" s="24">
        <v>0</v>
      </c>
    </row>
    <row r="427" ht="21.05" customHeight="1" spans="1:12">
      <c r="A427" s="10"/>
      <c r="B427" s="10"/>
      <c r="C427" s="10"/>
      <c r="D427" s="10"/>
      <c r="E427" s="10"/>
      <c r="F427" s="10" t="s">
        <v>853</v>
      </c>
      <c r="G427" s="24">
        <v>0</v>
      </c>
      <c r="H427" s="24">
        <v>0</v>
      </c>
      <c r="I427" s="24">
        <v>0</v>
      </c>
      <c r="J427" s="25">
        <v>0</v>
      </c>
      <c r="K427" s="24">
        <v>0</v>
      </c>
      <c r="L427" s="24">
        <v>0</v>
      </c>
    </row>
    <row r="428" ht="21.05" customHeight="1" spans="1:12">
      <c r="A428" s="10"/>
      <c r="B428" s="10"/>
      <c r="C428" s="10"/>
      <c r="D428" s="10"/>
      <c r="E428" s="10"/>
      <c r="F428" s="10" t="s">
        <v>928</v>
      </c>
      <c r="G428" s="24">
        <v>0</v>
      </c>
      <c r="H428" s="24">
        <v>0</v>
      </c>
      <c r="I428" s="24">
        <v>0</v>
      </c>
      <c r="J428" s="25">
        <v>0</v>
      </c>
      <c r="K428" s="24">
        <v>0</v>
      </c>
      <c r="L428" s="24">
        <v>0</v>
      </c>
    </row>
    <row r="429" ht="21.05" customHeight="1" spans="1:12">
      <c r="A429" s="10"/>
      <c r="B429" s="10"/>
      <c r="C429" s="10"/>
      <c r="D429" s="10"/>
      <c r="E429" s="10"/>
      <c r="F429" s="10" t="s">
        <v>917</v>
      </c>
      <c r="G429" s="24">
        <v>7</v>
      </c>
      <c r="H429" s="24">
        <v>248.5</v>
      </c>
      <c r="I429" s="24">
        <v>6.3016</v>
      </c>
      <c r="J429" s="25">
        <v>0.6984</v>
      </c>
      <c r="K429" s="24">
        <v>240.9368</v>
      </c>
      <c r="L429" s="24">
        <v>240.9368</v>
      </c>
    </row>
    <row r="430" ht="21.05" customHeight="1" spans="1:12">
      <c r="A430" s="10"/>
      <c r="B430" s="10"/>
      <c r="C430" s="10" t="s">
        <v>577</v>
      </c>
      <c r="D430" s="10" t="s">
        <v>578</v>
      </c>
      <c r="E430" s="10" t="s">
        <v>579</v>
      </c>
      <c r="F430" s="10" t="s">
        <v>929</v>
      </c>
      <c r="G430" s="24">
        <v>0</v>
      </c>
      <c r="H430" s="24">
        <v>0</v>
      </c>
      <c r="I430" s="24">
        <v>0</v>
      </c>
      <c r="J430" s="25">
        <v>0</v>
      </c>
      <c r="K430" s="24">
        <v>0</v>
      </c>
      <c r="L430" s="24">
        <v>0</v>
      </c>
    </row>
    <row r="431" ht="21.05" customHeight="1" spans="1:12">
      <c r="A431" s="10"/>
      <c r="B431" s="10"/>
      <c r="C431" s="10"/>
      <c r="D431" s="10"/>
      <c r="E431" s="10"/>
      <c r="F431" s="10" t="s">
        <v>917</v>
      </c>
      <c r="G431" s="24">
        <v>6.2</v>
      </c>
      <c r="H431" s="24">
        <v>192.2</v>
      </c>
      <c r="I431" s="24">
        <v>6.2018</v>
      </c>
      <c r="J431" s="25">
        <v>-0.0018</v>
      </c>
      <c r="K431" s="24">
        <v>192.2034</v>
      </c>
      <c r="L431" s="24">
        <v>192.2034</v>
      </c>
    </row>
    <row r="432" ht="21.05" customHeight="1" spans="1:12">
      <c r="A432" s="10"/>
      <c r="B432" s="10"/>
      <c r="C432" s="10"/>
      <c r="D432" s="10"/>
      <c r="E432" s="10"/>
      <c r="F432" s="10" t="s">
        <v>862</v>
      </c>
      <c r="G432" s="24">
        <v>0</v>
      </c>
      <c r="H432" s="24">
        <v>0</v>
      </c>
      <c r="I432" s="24">
        <v>0</v>
      </c>
      <c r="J432" s="25">
        <v>0</v>
      </c>
      <c r="K432" s="24">
        <v>0</v>
      </c>
      <c r="L432" s="24">
        <v>0</v>
      </c>
    </row>
    <row r="433" ht="21.05" customHeight="1" spans="1:12">
      <c r="A433" s="10"/>
      <c r="B433" s="10"/>
      <c r="C433" s="10"/>
      <c r="D433" s="10"/>
      <c r="E433" s="10"/>
      <c r="F433" s="10" t="s">
        <v>578</v>
      </c>
      <c r="G433" s="24">
        <v>0</v>
      </c>
      <c r="H433" s="24">
        <v>0</v>
      </c>
      <c r="I433" s="24">
        <v>0</v>
      </c>
      <c r="J433" s="25">
        <v>0</v>
      </c>
      <c r="K433" s="24">
        <v>0</v>
      </c>
      <c r="L433" s="24">
        <v>0</v>
      </c>
    </row>
    <row r="434" ht="21.05" customHeight="1" spans="1:12">
      <c r="A434" s="10"/>
      <c r="B434" s="10"/>
      <c r="C434" s="10" t="s">
        <v>580</v>
      </c>
      <c r="D434" s="10" t="s">
        <v>355</v>
      </c>
      <c r="E434" s="10" t="s">
        <v>356</v>
      </c>
      <c r="F434" s="10" t="s">
        <v>852</v>
      </c>
      <c r="G434" s="24">
        <v>30</v>
      </c>
      <c r="H434" s="24">
        <v>1051</v>
      </c>
      <c r="I434" s="24">
        <v>20.0752</v>
      </c>
      <c r="J434" s="25">
        <v>9.9248</v>
      </c>
      <c r="K434" s="24">
        <v>975.3857</v>
      </c>
      <c r="L434" s="24">
        <v>975.3857</v>
      </c>
    </row>
    <row r="435" ht="21.05" customHeight="1" spans="1:12">
      <c r="A435" s="10"/>
      <c r="B435" s="10"/>
      <c r="C435" s="10"/>
      <c r="D435" s="10"/>
      <c r="E435" s="10"/>
      <c r="F435" s="10" t="s">
        <v>904</v>
      </c>
      <c r="G435" s="24">
        <v>0</v>
      </c>
      <c r="H435" s="24">
        <v>0</v>
      </c>
      <c r="I435" s="24">
        <v>0</v>
      </c>
      <c r="J435" s="25">
        <v>0</v>
      </c>
      <c r="K435" s="24">
        <v>0</v>
      </c>
      <c r="L435" s="24">
        <v>0</v>
      </c>
    </row>
    <row r="436" ht="21.05" customHeight="1" spans="1:12">
      <c r="A436" s="10"/>
      <c r="B436" s="10"/>
      <c r="C436" s="10"/>
      <c r="D436" s="10"/>
      <c r="E436" s="10"/>
      <c r="F436" s="10" t="s">
        <v>860</v>
      </c>
      <c r="G436" s="24">
        <v>0</v>
      </c>
      <c r="H436" s="24">
        <v>0</v>
      </c>
      <c r="I436" s="24">
        <v>0</v>
      </c>
      <c r="J436" s="25">
        <v>0</v>
      </c>
      <c r="K436" s="24">
        <v>0</v>
      </c>
      <c r="L436" s="24">
        <v>0</v>
      </c>
    </row>
    <row r="437" ht="21.05" customHeight="1" spans="1:12">
      <c r="A437" s="10"/>
      <c r="B437" s="10"/>
      <c r="C437" s="10"/>
      <c r="D437" s="10"/>
      <c r="E437" s="10"/>
      <c r="F437" s="10" t="s">
        <v>864</v>
      </c>
      <c r="G437" s="24">
        <v>0</v>
      </c>
      <c r="H437" s="24">
        <v>2</v>
      </c>
      <c r="I437" s="24">
        <v>0</v>
      </c>
      <c r="J437" s="25">
        <v>0</v>
      </c>
      <c r="K437" s="24">
        <v>1.9921</v>
      </c>
      <c r="L437" s="24">
        <v>1.9921</v>
      </c>
    </row>
    <row r="438" ht="21.05" customHeight="1" spans="1:12">
      <c r="A438" s="10"/>
      <c r="B438" s="10"/>
      <c r="C438" s="10"/>
      <c r="D438" s="10"/>
      <c r="E438" s="10"/>
      <c r="F438" s="10" t="s">
        <v>898</v>
      </c>
      <c r="G438" s="24">
        <v>0</v>
      </c>
      <c r="H438" s="24">
        <v>0</v>
      </c>
      <c r="I438" s="24">
        <v>0</v>
      </c>
      <c r="J438" s="25">
        <v>0</v>
      </c>
      <c r="K438" s="24">
        <v>0</v>
      </c>
      <c r="L438" s="24">
        <v>0</v>
      </c>
    </row>
    <row r="439" ht="21.05" customHeight="1" spans="1:12">
      <c r="A439" s="10"/>
      <c r="B439" s="10"/>
      <c r="C439" s="10" t="s">
        <v>582</v>
      </c>
      <c r="D439" s="10" t="s">
        <v>583</v>
      </c>
      <c r="E439" s="10" t="s">
        <v>579</v>
      </c>
      <c r="F439" s="10" t="s">
        <v>917</v>
      </c>
      <c r="G439" s="24">
        <v>4.8</v>
      </c>
      <c r="H439" s="24">
        <v>150.8</v>
      </c>
      <c r="I439" s="24">
        <v>4.8024</v>
      </c>
      <c r="J439" s="25">
        <v>-0.0024</v>
      </c>
      <c r="K439" s="24">
        <v>150.8693</v>
      </c>
      <c r="L439" s="24">
        <v>150.8693</v>
      </c>
    </row>
    <row r="440" ht="21.05" customHeight="1" spans="1:12">
      <c r="A440" s="10"/>
      <c r="B440" s="10"/>
      <c r="C440" s="10" t="s">
        <v>585</v>
      </c>
      <c r="D440" s="10" t="s">
        <v>126</v>
      </c>
      <c r="E440" s="10" t="s">
        <v>586</v>
      </c>
      <c r="F440" s="10" t="s">
        <v>901</v>
      </c>
      <c r="G440" s="24">
        <v>0</v>
      </c>
      <c r="H440" s="24">
        <v>0</v>
      </c>
      <c r="I440" s="24">
        <v>0</v>
      </c>
      <c r="J440" s="25">
        <v>0</v>
      </c>
      <c r="K440" s="24">
        <v>0</v>
      </c>
      <c r="L440" s="24">
        <v>0</v>
      </c>
    </row>
    <row r="441" ht="21.05" customHeight="1" spans="1:12">
      <c r="A441" s="10"/>
      <c r="B441" s="10"/>
      <c r="C441" s="10" t="s">
        <v>587</v>
      </c>
      <c r="D441" s="10" t="s">
        <v>355</v>
      </c>
      <c r="E441" s="10" t="s">
        <v>356</v>
      </c>
      <c r="F441" s="10" t="s">
        <v>904</v>
      </c>
      <c r="G441" s="24">
        <v>0</v>
      </c>
      <c r="H441" s="24">
        <v>0</v>
      </c>
      <c r="I441" s="24">
        <v>0</v>
      </c>
      <c r="J441" s="25">
        <v>0</v>
      </c>
      <c r="K441" s="24">
        <v>0</v>
      </c>
      <c r="L441" s="24">
        <v>0</v>
      </c>
    </row>
    <row r="442" ht="21.05" customHeight="1" spans="1:12">
      <c r="A442" s="10"/>
      <c r="B442" s="10"/>
      <c r="C442" s="10"/>
      <c r="D442" s="10"/>
      <c r="E442" s="10"/>
      <c r="F442" s="10" t="s">
        <v>915</v>
      </c>
      <c r="G442" s="24">
        <v>0</v>
      </c>
      <c r="H442" s="24">
        <v>0</v>
      </c>
      <c r="I442" s="24">
        <v>0</v>
      </c>
      <c r="J442" s="25">
        <v>0</v>
      </c>
      <c r="K442" s="24">
        <v>0</v>
      </c>
      <c r="L442" s="24">
        <v>0</v>
      </c>
    </row>
    <row r="443" ht="21.05" customHeight="1" spans="1:12">
      <c r="A443" s="10"/>
      <c r="B443" s="10"/>
      <c r="C443" s="10"/>
      <c r="D443" s="10"/>
      <c r="E443" s="10"/>
      <c r="F443" s="10" t="s">
        <v>864</v>
      </c>
      <c r="G443" s="24">
        <v>0</v>
      </c>
      <c r="H443" s="24">
        <v>35</v>
      </c>
      <c r="I443" s="24">
        <v>0</v>
      </c>
      <c r="J443" s="25">
        <v>0</v>
      </c>
      <c r="K443" s="24">
        <v>34.9813</v>
      </c>
      <c r="L443" s="24">
        <v>34.9813</v>
      </c>
    </row>
    <row r="444" ht="21.05" customHeight="1" spans="1:12">
      <c r="A444" s="10"/>
      <c r="B444" s="10"/>
      <c r="C444" s="10"/>
      <c r="D444" s="10"/>
      <c r="E444" s="10"/>
      <c r="F444" s="10" t="s">
        <v>898</v>
      </c>
      <c r="G444" s="24">
        <v>0</v>
      </c>
      <c r="H444" s="24">
        <v>216</v>
      </c>
      <c r="I444" s="24">
        <v>0</v>
      </c>
      <c r="J444" s="25">
        <v>0</v>
      </c>
      <c r="K444" s="24">
        <v>215.9209</v>
      </c>
      <c r="L444" s="24">
        <v>215.9209</v>
      </c>
    </row>
    <row r="445" ht="21.05" customHeight="1" spans="1:12">
      <c r="A445" s="10"/>
      <c r="B445" s="10"/>
      <c r="C445" s="10" t="s">
        <v>588</v>
      </c>
      <c r="D445" s="10" t="s">
        <v>126</v>
      </c>
      <c r="E445" s="10" t="s">
        <v>565</v>
      </c>
      <c r="F445" s="10" t="s">
        <v>901</v>
      </c>
      <c r="G445" s="24">
        <v>0</v>
      </c>
      <c r="H445" s="24">
        <v>0</v>
      </c>
      <c r="I445" s="24">
        <v>0</v>
      </c>
      <c r="J445" s="25">
        <v>0</v>
      </c>
      <c r="K445" s="24">
        <v>0</v>
      </c>
      <c r="L445" s="24">
        <v>0</v>
      </c>
    </row>
    <row r="446" ht="21.05" customHeight="1" spans="1:12">
      <c r="A446" s="10"/>
      <c r="B446" s="10"/>
      <c r="C446" s="10" t="s">
        <v>589</v>
      </c>
      <c r="D446" s="10" t="s">
        <v>590</v>
      </c>
      <c r="E446" s="10" t="s">
        <v>565</v>
      </c>
      <c r="F446" s="10" t="s">
        <v>901</v>
      </c>
      <c r="G446" s="24">
        <v>0</v>
      </c>
      <c r="H446" s="24">
        <v>0</v>
      </c>
      <c r="I446" s="24">
        <v>139.3956</v>
      </c>
      <c r="J446" s="25">
        <v>-139.3956</v>
      </c>
      <c r="K446" s="24">
        <v>1438.9843</v>
      </c>
      <c r="L446" s="24">
        <v>1438.9843</v>
      </c>
    </row>
    <row r="447" ht="21.05" customHeight="1" spans="1:12">
      <c r="A447" s="10"/>
      <c r="B447" s="10"/>
      <c r="C447" s="10"/>
      <c r="D447" s="10" t="s">
        <v>126</v>
      </c>
      <c r="E447" s="10" t="s">
        <v>565</v>
      </c>
      <c r="F447" s="10" t="s">
        <v>901</v>
      </c>
      <c r="G447" s="24">
        <v>0</v>
      </c>
      <c r="H447" s="24">
        <v>0</v>
      </c>
      <c r="I447" s="24">
        <v>0</v>
      </c>
      <c r="J447" s="25">
        <v>0</v>
      </c>
      <c r="K447" s="24">
        <v>0</v>
      </c>
      <c r="L447" s="24">
        <v>0</v>
      </c>
    </row>
    <row r="448" ht="21.05" customHeight="1" spans="1:12">
      <c r="A448" s="10"/>
      <c r="B448" s="10"/>
      <c r="C448" s="10" t="s">
        <v>592</v>
      </c>
      <c r="D448" s="10" t="s">
        <v>355</v>
      </c>
      <c r="E448" s="10" t="s">
        <v>356</v>
      </c>
      <c r="F448" s="10" t="s">
        <v>869</v>
      </c>
      <c r="G448" s="24">
        <v>0</v>
      </c>
      <c r="H448" s="24">
        <v>0</v>
      </c>
      <c r="I448" s="24">
        <v>0</v>
      </c>
      <c r="J448" s="25">
        <v>0</v>
      </c>
      <c r="K448" s="24">
        <v>0</v>
      </c>
      <c r="L448" s="24">
        <v>0</v>
      </c>
    </row>
    <row r="449" ht="21.05" customHeight="1" spans="1:12">
      <c r="A449" s="10"/>
      <c r="B449" s="10"/>
      <c r="C449" s="10"/>
      <c r="D449" s="10"/>
      <c r="E449" s="10"/>
      <c r="F449" s="10" t="s">
        <v>852</v>
      </c>
      <c r="G449" s="24">
        <v>87.05</v>
      </c>
      <c r="H449" s="24">
        <v>5544.5</v>
      </c>
      <c r="I449" s="24">
        <v>84.3514</v>
      </c>
      <c r="J449" s="25">
        <v>2.6986</v>
      </c>
      <c r="K449" s="24">
        <v>5487.8789</v>
      </c>
      <c r="L449" s="24">
        <v>5487.8789</v>
      </c>
    </row>
    <row r="450" ht="21.05" customHeight="1" spans="1:12">
      <c r="A450" s="10"/>
      <c r="B450" s="10"/>
      <c r="C450" s="10"/>
      <c r="D450" s="10"/>
      <c r="E450" s="10"/>
      <c r="F450" s="10" t="s">
        <v>904</v>
      </c>
      <c r="G450" s="24">
        <v>0</v>
      </c>
      <c r="H450" s="24">
        <v>80</v>
      </c>
      <c r="I450" s="24">
        <v>0</v>
      </c>
      <c r="J450" s="25">
        <v>0</v>
      </c>
      <c r="K450" s="24">
        <v>77.7607</v>
      </c>
      <c r="L450" s="24">
        <v>77.7607</v>
      </c>
    </row>
    <row r="451" ht="21.05" customHeight="1" spans="1:12">
      <c r="A451" s="10"/>
      <c r="B451" s="10"/>
      <c r="C451" s="10"/>
      <c r="D451" s="10"/>
      <c r="E451" s="10"/>
      <c r="F451" s="10" t="s">
        <v>915</v>
      </c>
      <c r="G451" s="24">
        <v>0</v>
      </c>
      <c r="H451" s="24">
        <v>0</v>
      </c>
      <c r="I451" s="24">
        <v>0</v>
      </c>
      <c r="J451" s="25">
        <v>0</v>
      </c>
      <c r="K451" s="24">
        <v>0</v>
      </c>
      <c r="L451" s="24">
        <v>0</v>
      </c>
    </row>
    <row r="452" ht="21.05" customHeight="1" spans="1:12">
      <c r="A452" s="10"/>
      <c r="B452" s="10"/>
      <c r="C452" s="10"/>
      <c r="D452" s="10"/>
      <c r="E452" s="10"/>
      <c r="F452" s="10" t="s">
        <v>860</v>
      </c>
      <c r="G452" s="24">
        <v>0</v>
      </c>
      <c r="H452" s="24">
        <v>0</v>
      </c>
      <c r="I452" s="24">
        <v>0</v>
      </c>
      <c r="J452" s="25">
        <v>0</v>
      </c>
      <c r="K452" s="24">
        <v>0</v>
      </c>
      <c r="L452" s="24">
        <v>0</v>
      </c>
    </row>
    <row r="453" ht="21.05" customHeight="1" spans="1:12">
      <c r="A453" s="10"/>
      <c r="B453" s="10"/>
      <c r="C453" s="10"/>
      <c r="D453" s="10"/>
      <c r="E453" s="10"/>
      <c r="F453" s="10" t="s">
        <v>902</v>
      </c>
      <c r="G453" s="24">
        <v>0</v>
      </c>
      <c r="H453" s="24">
        <v>0</v>
      </c>
      <c r="I453" s="24">
        <v>0</v>
      </c>
      <c r="J453" s="25">
        <v>0</v>
      </c>
      <c r="K453" s="24">
        <v>0</v>
      </c>
      <c r="L453" s="24">
        <v>0</v>
      </c>
    </row>
    <row r="454" ht="21.05" customHeight="1" spans="1:12">
      <c r="A454" s="10"/>
      <c r="B454" s="10"/>
      <c r="C454" s="10"/>
      <c r="D454" s="10"/>
      <c r="E454" s="10"/>
      <c r="F454" s="10" t="s">
        <v>930</v>
      </c>
      <c r="G454" s="24">
        <v>0</v>
      </c>
      <c r="H454" s="24">
        <v>0</v>
      </c>
      <c r="I454" s="24">
        <v>0</v>
      </c>
      <c r="J454" s="25">
        <v>0</v>
      </c>
      <c r="K454" s="24">
        <v>0</v>
      </c>
      <c r="L454" s="24">
        <v>0</v>
      </c>
    </row>
    <row r="455" ht="21.05" customHeight="1" spans="1:12">
      <c r="A455" s="10"/>
      <c r="B455" s="10"/>
      <c r="C455" s="10"/>
      <c r="D455" s="10"/>
      <c r="E455" s="10"/>
      <c r="F455" s="10" t="s">
        <v>931</v>
      </c>
      <c r="G455" s="24">
        <v>0</v>
      </c>
      <c r="H455" s="24">
        <v>0</v>
      </c>
      <c r="I455" s="24">
        <v>0</v>
      </c>
      <c r="J455" s="25">
        <v>0</v>
      </c>
      <c r="K455" s="24">
        <v>0</v>
      </c>
      <c r="L455" s="24">
        <v>0</v>
      </c>
    </row>
    <row r="456" ht="21.05" customHeight="1" spans="1:12">
      <c r="A456" s="10"/>
      <c r="B456" s="10"/>
      <c r="C456" s="10"/>
      <c r="D456" s="10"/>
      <c r="E456" s="10"/>
      <c r="F456" s="10" t="s">
        <v>864</v>
      </c>
      <c r="G456" s="24">
        <v>9.6</v>
      </c>
      <c r="H456" s="24">
        <v>287.3</v>
      </c>
      <c r="I456" s="24">
        <v>9.1205</v>
      </c>
      <c r="J456" s="25">
        <v>0.4795</v>
      </c>
      <c r="K456" s="24">
        <v>279.1589</v>
      </c>
      <c r="L456" s="24">
        <v>279.1589</v>
      </c>
    </row>
    <row r="457" ht="21.05" customHeight="1" spans="1:12">
      <c r="A457" s="10"/>
      <c r="B457" s="10"/>
      <c r="C457" s="10"/>
      <c r="D457" s="10"/>
      <c r="E457" s="10"/>
      <c r="F457" s="10" t="s">
        <v>898</v>
      </c>
      <c r="G457" s="24">
        <v>0</v>
      </c>
      <c r="H457" s="24">
        <v>0</v>
      </c>
      <c r="I457" s="24">
        <v>0</v>
      </c>
      <c r="J457" s="25">
        <v>0</v>
      </c>
      <c r="K457" s="24">
        <v>0</v>
      </c>
      <c r="L457" s="24">
        <v>0</v>
      </c>
    </row>
    <row r="458" ht="21.05" customHeight="1" spans="1:12">
      <c r="A458" s="10"/>
      <c r="B458" s="10"/>
      <c r="C458" s="10" t="s">
        <v>594</v>
      </c>
      <c r="D458" s="10" t="s">
        <v>595</v>
      </c>
      <c r="E458" s="10" t="s">
        <v>555</v>
      </c>
      <c r="F458" s="10" t="s">
        <v>917</v>
      </c>
      <c r="G458" s="24">
        <v>13.5</v>
      </c>
      <c r="H458" s="24">
        <v>387.8</v>
      </c>
      <c r="I458" s="24">
        <v>11.2688</v>
      </c>
      <c r="J458" s="25">
        <v>2.2312</v>
      </c>
      <c r="K458" s="24">
        <v>357.4296</v>
      </c>
      <c r="L458" s="24">
        <v>357.4296</v>
      </c>
    </row>
    <row r="459" ht="21.05" customHeight="1" spans="1:12">
      <c r="A459" s="10"/>
      <c r="B459" s="10"/>
      <c r="C459" s="10" t="s">
        <v>66</v>
      </c>
      <c r="D459" s="10" t="s">
        <v>597</v>
      </c>
      <c r="E459" s="10" t="s">
        <v>356</v>
      </c>
      <c r="F459" s="10" t="s">
        <v>932</v>
      </c>
      <c r="G459" s="24">
        <v>0</v>
      </c>
      <c r="H459" s="24">
        <v>0</v>
      </c>
      <c r="I459" s="24">
        <v>0</v>
      </c>
      <c r="J459" s="25">
        <v>0</v>
      </c>
      <c r="K459" s="24">
        <v>0</v>
      </c>
      <c r="L459" s="24">
        <v>0</v>
      </c>
    </row>
    <row r="460" ht="21.05" customHeight="1" spans="1:12">
      <c r="A460" s="10"/>
      <c r="B460" s="10"/>
      <c r="C460" s="10"/>
      <c r="D460" s="10"/>
      <c r="E460" s="10"/>
      <c r="F460" s="10" t="s">
        <v>852</v>
      </c>
      <c r="G460" s="24">
        <v>47.16</v>
      </c>
      <c r="H460" s="24">
        <v>2635.12</v>
      </c>
      <c r="I460" s="24">
        <v>47.1776</v>
      </c>
      <c r="J460" s="25">
        <v>-0.0176</v>
      </c>
      <c r="K460" s="24">
        <v>2613.5616</v>
      </c>
      <c r="L460" s="24">
        <v>2613.5616</v>
      </c>
    </row>
    <row r="461" ht="21.05" customHeight="1" spans="1:12">
      <c r="A461" s="10"/>
      <c r="B461" s="10"/>
      <c r="C461" s="10"/>
      <c r="D461" s="10"/>
      <c r="E461" s="10"/>
      <c r="F461" s="10" t="s">
        <v>864</v>
      </c>
      <c r="G461" s="24">
        <v>0</v>
      </c>
      <c r="H461" s="24">
        <v>0</v>
      </c>
      <c r="I461" s="24">
        <v>0</v>
      </c>
      <c r="J461" s="25">
        <v>0</v>
      </c>
      <c r="K461" s="24">
        <v>0</v>
      </c>
      <c r="L461" s="24">
        <v>0</v>
      </c>
    </row>
    <row r="462" ht="21.05" customHeight="1" spans="1:12">
      <c r="A462" s="10"/>
      <c r="B462" s="10"/>
      <c r="C462" s="10"/>
      <c r="D462" s="10" t="s">
        <v>355</v>
      </c>
      <c r="E462" s="10" t="s">
        <v>356</v>
      </c>
      <c r="F462" s="10" t="s">
        <v>932</v>
      </c>
      <c r="G462" s="24">
        <v>0</v>
      </c>
      <c r="H462" s="24">
        <v>0</v>
      </c>
      <c r="I462" s="24">
        <v>0</v>
      </c>
      <c r="J462" s="25">
        <v>0</v>
      </c>
      <c r="K462" s="24">
        <v>0</v>
      </c>
      <c r="L462" s="24">
        <v>0</v>
      </c>
    </row>
    <row r="463" ht="21.05" customHeight="1" spans="1:12">
      <c r="A463" s="10"/>
      <c r="B463" s="10"/>
      <c r="C463" s="10"/>
      <c r="D463" s="10"/>
      <c r="E463" s="10"/>
      <c r="F463" s="10" t="s">
        <v>852</v>
      </c>
      <c r="G463" s="24">
        <v>50</v>
      </c>
      <c r="H463" s="24">
        <v>4857.4</v>
      </c>
      <c r="I463" s="24">
        <v>50.0188</v>
      </c>
      <c r="J463" s="25">
        <v>-0.0188</v>
      </c>
      <c r="K463" s="24">
        <v>4793.8</v>
      </c>
      <c r="L463" s="24">
        <v>4793.8</v>
      </c>
    </row>
    <row r="464" ht="21.05" customHeight="1" spans="1:12">
      <c r="A464" s="10"/>
      <c r="B464" s="10"/>
      <c r="C464" s="10"/>
      <c r="D464" s="10"/>
      <c r="E464" s="10"/>
      <c r="F464" s="10" t="s">
        <v>860</v>
      </c>
      <c r="G464" s="24">
        <v>0</v>
      </c>
      <c r="H464" s="24">
        <v>0</v>
      </c>
      <c r="I464" s="24">
        <v>0</v>
      </c>
      <c r="J464" s="25">
        <v>0</v>
      </c>
      <c r="K464" s="24">
        <v>0</v>
      </c>
      <c r="L464" s="24">
        <v>0</v>
      </c>
    </row>
    <row r="465" ht="21.05" customHeight="1" spans="1:12">
      <c r="A465" s="10"/>
      <c r="B465" s="10"/>
      <c r="C465" s="10"/>
      <c r="D465" s="10"/>
      <c r="E465" s="10"/>
      <c r="F465" s="10" t="s">
        <v>864</v>
      </c>
      <c r="G465" s="24">
        <v>0</v>
      </c>
      <c r="H465" s="24">
        <v>0</v>
      </c>
      <c r="I465" s="24">
        <v>0</v>
      </c>
      <c r="J465" s="25">
        <v>0</v>
      </c>
      <c r="K465" s="24">
        <v>0</v>
      </c>
      <c r="L465" s="24">
        <v>0</v>
      </c>
    </row>
    <row r="466" ht="21.05" customHeight="1" spans="1:12">
      <c r="A466" s="10"/>
      <c r="B466" s="10"/>
      <c r="C466" s="10"/>
      <c r="D466" s="10"/>
      <c r="E466" s="10"/>
      <c r="F466" s="10" t="s">
        <v>898</v>
      </c>
      <c r="G466" s="24">
        <v>0</v>
      </c>
      <c r="H466" s="24">
        <v>0</v>
      </c>
      <c r="I466" s="24">
        <v>0</v>
      </c>
      <c r="J466" s="25">
        <v>0</v>
      </c>
      <c r="K466" s="24">
        <v>0</v>
      </c>
      <c r="L466" s="24">
        <v>0</v>
      </c>
    </row>
    <row r="467" ht="21.05" customHeight="1" spans="1:12">
      <c r="A467" s="10"/>
      <c r="B467" s="10"/>
      <c r="C467" s="10" t="s">
        <v>461</v>
      </c>
      <c r="D467" s="10" t="s">
        <v>598</v>
      </c>
      <c r="E467" s="10" t="s">
        <v>579</v>
      </c>
      <c r="F467" s="10" t="s">
        <v>917</v>
      </c>
      <c r="G467" s="24">
        <v>1.35</v>
      </c>
      <c r="H467" s="24">
        <v>35.05</v>
      </c>
      <c r="I467" s="24">
        <v>1.3491</v>
      </c>
      <c r="J467" s="25">
        <v>0.0009</v>
      </c>
      <c r="K467" s="24">
        <v>34.9963</v>
      </c>
      <c r="L467" s="24">
        <v>34.9963</v>
      </c>
    </row>
    <row r="468" ht="21.05" customHeight="1" spans="1:12">
      <c r="A468" s="10"/>
      <c r="B468" s="10"/>
      <c r="C468" s="10" t="s">
        <v>563</v>
      </c>
      <c r="D468" s="10" t="s">
        <v>126</v>
      </c>
      <c r="E468" s="10" t="s">
        <v>565</v>
      </c>
      <c r="F468" s="10" t="s">
        <v>901</v>
      </c>
      <c r="G468" s="24">
        <v>0</v>
      </c>
      <c r="H468" s="24">
        <v>0</v>
      </c>
      <c r="I468" s="24">
        <v>0</v>
      </c>
      <c r="J468" s="25">
        <v>0</v>
      </c>
      <c r="K468" s="24">
        <v>0</v>
      </c>
      <c r="L468" s="24">
        <v>0</v>
      </c>
    </row>
    <row r="469" ht="21.05" customHeight="1" spans="1:12">
      <c r="A469" s="10"/>
      <c r="B469" s="10"/>
      <c r="C469" s="10" t="s">
        <v>600</v>
      </c>
      <c r="D469" s="10" t="s">
        <v>601</v>
      </c>
      <c r="E469" s="10" t="s">
        <v>586</v>
      </c>
      <c r="F469" s="10" t="s">
        <v>933</v>
      </c>
      <c r="G469" s="24">
        <v>0</v>
      </c>
      <c r="H469" s="24">
        <v>0</v>
      </c>
      <c r="I469" s="24">
        <v>0</v>
      </c>
      <c r="J469" s="25">
        <v>0</v>
      </c>
      <c r="K469" s="24">
        <v>0</v>
      </c>
      <c r="L469" s="24">
        <v>0</v>
      </c>
    </row>
    <row r="470" ht="21.05" customHeight="1" spans="1:12">
      <c r="A470" s="10"/>
      <c r="B470" s="10"/>
      <c r="C470" s="10"/>
      <c r="D470" s="10"/>
      <c r="E470" s="10"/>
      <c r="F470" s="10" t="s">
        <v>901</v>
      </c>
      <c r="G470" s="24">
        <v>60</v>
      </c>
      <c r="H470" s="24">
        <v>2666</v>
      </c>
      <c r="I470" s="24">
        <v>59.6999</v>
      </c>
      <c r="J470" s="25">
        <v>0.3001</v>
      </c>
      <c r="K470" s="24">
        <v>2661.0823</v>
      </c>
      <c r="L470" s="24">
        <v>2661.0823</v>
      </c>
    </row>
    <row r="471" ht="21.05" customHeight="1" spans="1:12">
      <c r="A471" s="10"/>
      <c r="B471" s="10"/>
      <c r="C471" s="10"/>
      <c r="D471" s="10" t="s">
        <v>602</v>
      </c>
      <c r="E471" s="10" t="s">
        <v>586</v>
      </c>
      <c r="F471" s="10" t="s">
        <v>901</v>
      </c>
      <c r="G471" s="24">
        <v>0</v>
      </c>
      <c r="H471" s="24">
        <v>2993</v>
      </c>
      <c r="I471" s="24">
        <v>0</v>
      </c>
      <c r="J471" s="25">
        <v>0</v>
      </c>
      <c r="K471" s="24">
        <v>2828.8128</v>
      </c>
      <c r="L471" s="24">
        <v>2828.8128</v>
      </c>
    </row>
    <row r="472" ht="21.05" customHeight="1" spans="1:12">
      <c r="A472" s="10"/>
      <c r="B472" s="10"/>
      <c r="C472" s="10"/>
      <c r="D472" s="10"/>
      <c r="E472" s="10"/>
      <c r="F472" s="10" t="s">
        <v>934</v>
      </c>
      <c r="G472" s="24">
        <v>0</v>
      </c>
      <c r="H472" s="24">
        <v>0</v>
      </c>
      <c r="I472" s="24">
        <v>0</v>
      </c>
      <c r="J472" s="25">
        <v>0</v>
      </c>
      <c r="K472" s="24">
        <v>0</v>
      </c>
      <c r="L472" s="24">
        <v>0</v>
      </c>
    </row>
    <row r="473" ht="21.05" customHeight="1" spans="1:12">
      <c r="A473" s="10"/>
      <c r="B473" s="10"/>
      <c r="C473" s="10"/>
      <c r="D473" s="10"/>
      <c r="E473" s="10"/>
      <c r="F473" s="10" t="s">
        <v>935</v>
      </c>
      <c r="G473" s="24">
        <v>0</v>
      </c>
      <c r="H473" s="24">
        <v>0</v>
      </c>
      <c r="I473" s="24">
        <v>0</v>
      </c>
      <c r="J473" s="25">
        <v>0</v>
      </c>
      <c r="K473" s="24">
        <v>0</v>
      </c>
      <c r="L473" s="24">
        <v>0</v>
      </c>
    </row>
    <row r="474" ht="21.05" customHeight="1" spans="1:12">
      <c r="A474" s="10"/>
      <c r="B474" s="10"/>
      <c r="C474" s="10"/>
      <c r="D474" s="10"/>
      <c r="E474" s="10"/>
      <c r="F474" s="10" t="s">
        <v>864</v>
      </c>
      <c r="G474" s="24">
        <v>0</v>
      </c>
      <c r="H474" s="24">
        <v>366</v>
      </c>
      <c r="I474" s="24">
        <v>0</v>
      </c>
      <c r="J474" s="25">
        <v>0</v>
      </c>
      <c r="K474" s="24">
        <v>337.1396</v>
      </c>
      <c r="L474" s="24">
        <v>337.1396</v>
      </c>
    </row>
    <row r="475" ht="21.05" customHeight="1" spans="1:12">
      <c r="A475" s="10"/>
      <c r="B475" s="10"/>
      <c r="C475" s="10"/>
      <c r="D475" s="10" t="s">
        <v>603</v>
      </c>
      <c r="E475" s="10" t="s">
        <v>586</v>
      </c>
      <c r="F475" s="10" t="s">
        <v>891</v>
      </c>
      <c r="G475" s="24">
        <v>0</v>
      </c>
      <c r="H475" s="24">
        <v>0</v>
      </c>
      <c r="I475" s="24">
        <v>0</v>
      </c>
      <c r="J475" s="25">
        <v>0</v>
      </c>
      <c r="K475" s="24">
        <v>0</v>
      </c>
      <c r="L475" s="24">
        <v>0</v>
      </c>
    </row>
    <row r="476" ht="21.05" customHeight="1" spans="1:12">
      <c r="A476" s="10"/>
      <c r="B476" s="10"/>
      <c r="C476" s="10"/>
      <c r="D476" s="10"/>
      <c r="E476" s="10"/>
      <c r="F476" s="10" t="s">
        <v>934</v>
      </c>
      <c r="G476" s="24">
        <v>0</v>
      </c>
      <c r="H476" s="24">
        <v>0</v>
      </c>
      <c r="I476" s="24">
        <v>0</v>
      </c>
      <c r="J476" s="25">
        <v>0</v>
      </c>
      <c r="K476" s="24">
        <v>0</v>
      </c>
      <c r="L476" s="24">
        <v>0</v>
      </c>
    </row>
    <row r="477" ht="21.05" customHeight="1" spans="1:12">
      <c r="A477" s="10"/>
      <c r="B477" s="10"/>
      <c r="C477" s="10"/>
      <c r="D477" s="10"/>
      <c r="E477" s="10"/>
      <c r="F477" s="10" t="s">
        <v>864</v>
      </c>
      <c r="G477" s="24">
        <v>35</v>
      </c>
      <c r="H477" s="24">
        <v>830</v>
      </c>
      <c r="I477" s="24">
        <v>35.016</v>
      </c>
      <c r="J477" s="25">
        <v>-0.016</v>
      </c>
      <c r="K477" s="24">
        <v>832.6698</v>
      </c>
      <c r="L477" s="24">
        <v>832.6698</v>
      </c>
    </row>
    <row r="478" ht="21.05" customHeight="1" spans="1:12">
      <c r="A478" s="10"/>
      <c r="B478" s="10"/>
      <c r="C478" s="10"/>
      <c r="D478" s="10" t="s">
        <v>936</v>
      </c>
      <c r="E478" s="10" t="s">
        <v>586</v>
      </c>
      <c r="F478" s="10" t="s">
        <v>933</v>
      </c>
      <c r="G478" s="24">
        <v>0</v>
      </c>
      <c r="H478" s="24">
        <v>0</v>
      </c>
      <c r="I478" s="24">
        <v>0</v>
      </c>
      <c r="J478" s="25">
        <v>0</v>
      </c>
      <c r="K478" s="24">
        <v>0</v>
      </c>
      <c r="L478" s="24">
        <v>0</v>
      </c>
    </row>
    <row r="479" ht="21.05" customHeight="1" spans="1:12">
      <c r="A479" s="10"/>
      <c r="B479" s="10"/>
      <c r="C479" s="10"/>
      <c r="D479" s="10" t="s">
        <v>126</v>
      </c>
      <c r="E479" s="10" t="s">
        <v>586</v>
      </c>
      <c r="F479" s="10" t="s">
        <v>901</v>
      </c>
      <c r="G479" s="24">
        <v>0</v>
      </c>
      <c r="H479" s="24">
        <v>0</v>
      </c>
      <c r="I479" s="24">
        <v>0</v>
      </c>
      <c r="J479" s="25">
        <v>0</v>
      </c>
      <c r="K479" s="24">
        <v>0</v>
      </c>
      <c r="L479" s="24">
        <v>0</v>
      </c>
    </row>
    <row r="480" ht="21.05" customHeight="1" spans="1:12">
      <c r="A480" s="10"/>
      <c r="B480" s="10"/>
      <c r="C480" s="10" t="s">
        <v>604</v>
      </c>
      <c r="D480" s="10" t="s">
        <v>606</v>
      </c>
      <c r="E480" s="10" t="s">
        <v>555</v>
      </c>
      <c r="F480" s="10" t="s">
        <v>854</v>
      </c>
      <c r="G480" s="24">
        <v>0</v>
      </c>
      <c r="H480" s="24">
        <v>0</v>
      </c>
      <c r="I480" s="24">
        <v>0</v>
      </c>
      <c r="J480" s="25">
        <v>0</v>
      </c>
      <c r="K480" s="24">
        <v>0</v>
      </c>
      <c r="L480" s="24">
        <v>0</v>
      </c>
    </row>
    <row r="481" ht="21.05" customHeight="1" spans="1:12">
      <c r="A481" s="10"/>
      <c r="B481" s="10"/>
      <c r="C481" s="10"/>
      <c r="D481" s="10"/>
      <c r="E481" s="10"/>
      <c r="F481" s="10" t="s">
        <v>869</v>
      </c>
      <c r="G481" s="24">
        <v>0</v>
      </c>
      <c r="H481" s="24">
        <v>0</v>
      </c>
      <c r="I481" s="24">
        <v>0</v>
      </c>
      <c r="J481" s="25">
        <v>0</v>
      </c>
      <c r="K481" s="24">
        <v>0</v>
      </c>
      <c r="L481" s="24">
        <v>0</v>
      </c>
    </row>
    <row r="482" ht="21.05" customHeight="1" spans="1:12">
      <c r="A482" s="10"/>
      <c r="B482" s="10"/>
      <c r="C482" s="10"/>
      <c r="D482" s="10"/>
      <c r="E482" s="10"/>
      <c r="F482" s="10" t="s">
        <v>853</v>
      </c>
      <c r="G482" s="24">
        <v>0</v>
      </c>
      <c r="H482" s="24">
        <v>0</v>
      </c>
      <c r="I482" s="24">
        <v>0</v>
      </c>
      <c r="J482" s="25">
        <v>0</v>
      </c>
      <c r="K482" s="24">
        <v>0</v>
      </c>
      <c r="L482" s="24">
        <v>0</v>
      </c>
    </row>
    <row r="483" ht="21.05" customHeight="1" spans="1:12">
      <c r="A483" s="10"/>
      <c r="B483" s="10"/>
      <c r="C483" s="10"/>
      <c r="D483" s="10"/>
      <c r="E483" s="10"/>
      <c r="F483" s="10" t="s">
        <v>857</v>
      </c>
      <c r="G483" s="24">
        <v>0</v>
      </c>
      <c r="H483" s="24">
        <v>0</v>
      </c>
      <c r="I483" s="24">
        <v>0</v>
      </c>
      <c r="J483" s="25">
        <v>0</v>
      </c>
      <c r="K483" s="24">
        <v>0</v>
      </c>
      <c r="L483" s="24">
        <v>0</v>
      </c>
    </row>
    <row r="484" ht="21.05" customHeight="1" spans="1:12">
      <c r="A484" s="10"/>
      <c r="B484" s="10"/>
      <c r="C484" s="10"/>
      <c r="D484" s="10"/>
      <c r="E484" s="10"/>
      <c r="F484" s="10" t="s">
        <v>937</v>
      </c>
      <c r="G484" s="24">
        <v>0</v>
      </c>
      <c r="H484" s="24">
        <v>0</v>
      </c>
      <c r="I484" s="24">
        <v>0</v>
      </c>
      <c r="J484" s="25">
        <v>0</v>
      </c>
      <c r="K484" s="24">
        <v>0</v>
      </c>
      <c r="L484" s="24">
        <v>0</v>
      </c>
    </row>
    <row r="485" ht="21.05" customHeight="1" spans="1:12">
      <c r="A485" s="10"/>
      <c r="B485" s="10"/>
      <c r="C485" s="10"/>
      <c r="D485" s="10"/>
      <c r="E485" s="10"/>
      <c r="F485" s="10" t="s">
        <v>861</v>
      </c>
      <c r="G485" s="24">
        <v>0</v>
      </c>
      <c r="H485" s="24">
        <v>0</v>
      </c>
      <c r="I485" s="24">
        <v>0</v>
      </c>
      <c r="J485" s="25">
        <v>0</v>
      </c>
      <c r="K485" s="24">
        <v>0</v>
      </c>
      <c r="L485" s="24">
        <v>0</v>
      </c>
    </row>
    <row r="486" ht="21.05" customHeight="1" spans="1:12">
      <c r="A486" s="10"/>
      <c r="B486" s="10"/>
      <c r="C486" s="10"/>
      <c r="D486" s="10"/>
      <c r="E486" s="10"/>
      <c r="F486" s="10" t="s">
        <v>917</v>
      </c>
      <c r="G486" s="24">
        <v>103.3</v>
      </c>
      <c r="H486" s="24">
        <v>3760.4</v>
      </c>
      <c r="I486" s="24">
        <v>103.1372</v>
      </c>
      <c r="J486" s="25">
        <v>0.1628</v>
      </c>
      <c r="K486" s="24">
        <v>3754.8219</v>
      </c>
      <c r="L486" s="24">
        <v>3754.8219</v>
      </c>
    </row>
    <row r="487" ht="21.05" customHeight="1" spans="1:12">
      <c r="A487" s="10"/>
      <c r="B487" s="10"/>
      <c r="C487" s="10"/>
      <c r="D487" s="10"/>
      <c r="E487" s="10"/>
      <c r="F487" s="10" t="s">
        <v>862</v>
      </c>
      <c r="G487" s="24">
        <v>1.8</v>
      </c>
      <c r="H487" s="24">
        <v>56.4</v>
      </c>
      <c r="I487" s="24">
        <v>1.7972</v>
      </c>
      <c r="J487" s="25">
        <v>0.0028</v>
      </c>
      <c r="K487" s="24">
        <v>56.3183</v>
      </c>
      <c r="L487" s="24">
        <v>56.3183</v>
      </c>
    </row>
    <row r="488" ht="21.05" customHeight="1" spans="1:12">
      <c r="A488" s="10"/>
      <c r="B488" s="10"/>
      <c r="C488" s="10" t="s">
        <v>607</v>
      </c>
      <c r="D488" s="10" t="s">
        <v>608</v>
      </c>
      <c r="E488" s="10" t="s">
        <v>555</v>
      </c>
      <c r="F488" s="10" t="s">
        <v>891</v>
      </c>
      <c r="G488" s="24">
        <v>0</v>
      </c>
      <c r="H488" s="24">
        <v>0</v>
      </c>
      <c r="I488" s="24">
        <v>0</v>
      </c>
      <c r="J488" s="25">
        <v>0</v>
      </c>
      <c r="K488" s="24">
        <v>0</v>
      </c>
      <c r="L488" s="24">
        <v>0</v>
      </c>
    </row>
    <row r="489" ht="21.05" customHeight="1" spans="1:12">
      <c r="A489" s="10"/>
      <c r="B489" s="10"/>
      <c r="C489" s="10"/>
      <c r="D489" s="10"/>
      <c r="E489" s="10"/>
      <c r="F489" s="10" t="s">
        <v>917</v>
      </c>
      <c r="G489" s="24">
        <v>9</v>
      </c>
      <c r="H489" s="24">
        <v>329.5</v>
      </c>
      <c r="I489" s="24">
        <v>8.23</v>
      </c>
      <c r="J489" s="25">
        <v>0.77</v>
      </c>
      <c r="K489" s="24">
        <v>310.2554</v>
      </c>
      <c r="L489" s="24">
        <v>310.2554</v>
      </c>
    </row>
    <row r="490" ht="21.05" customHeight="1" spans="1:12">
      <c r="A490" s="10"/>
      <c r="B490" s="10"/>
      <c r="C490" s="10"/>
      <c r="D490" s="10"/>
      <c r="E490" s="10"/>
      <c r="F490" s="10" t="s">
        <v>608</v>
      </c>
      <c r="G490" s="24">
        <v>0</v>
      </c>
      <c r="H490" s="24">
        <v>0</v>
      </c>
      <c r="I490" s="24">
        <v>0</v>
      </c>
      <c r="J490" s="25">
        <v>0</v>
      </c>
      <c r="K490" s="24">
        <v>0</v>
      </c>
      <c r="L490" s="24">
        <v>0</v>
      </c>
    </row>
    <row r="491" ht="21.05" customHeight="1" spans="1:12">
      <c r="A491" s="10"/>
      <c r="B491" s="10"/>
      <c r="C491" s="10" t="s">
        <v>610</v>
      </c>
      <c r="D491" s="10" t="s">
        <v>355</v>
      </c>
      <c r="E491" s="10" t="s">
        <v>356</v>
      </c>
      <c r="F491" s="10" t="s">
        <v>852</v>
      </c>
      <c r="G491" s="24">
        <v>1.2</v>
      </c>
      <c r="H491" s="24">
        <v>150.2</v>
      </c>
      <c r="I491" s="24">
        <v>1.2014</v>
      </c>
      <c r="J491" s="25">
        <v>-0.0014</v>
      </c>
      <c r="K491" s="24">
        <v>149.9426</v>
      </c>
      <c r="L491" s="24">
        <v>149.9426</v>
      </c>
    </row>
    <row r="492" ht="21.05" customHeight="1" spans="1:12">
      <c r="A492" s="10"/>
      <c r="B492" s="10"/>
      <c r="C492" s="10"/>
      <c r="D492" s="10"/>
      <c r="E492" s="10"/>
      <c r="F492" s="10" t="s">
        <v>864</v>
      </c>
      <c r="G492" s="24">
        <v>4.8</v>
      </c>
      <c r="H492" s="24">
        <v>18.3</v>
      </c>
      <c r="I492" s="24">
        <v>4.8058</v>
      </c>
      <c r="J492" s="25">
        <v>-0.0058</v>
      </c>
      <c r="K492" s="24">
        <v>18.1246</v>
      </c>
      <c r="L492" s="24">
        <v>18.1246</v>
      </c>
    </row>
    <row r="493" ht="21.05" customHeight="1" spans="1:12">
      <c r="A493" s="10"/>
      <c r="B493" s="10"/>
      <c r="C493" s="10" t="s">
        <v>612</v>
      </c>
      <c r="D493" s="10" t="s">
        <v>613</v>
      </c>
      <c r="E493" s="10" t="s">
        <v>555</v>
      </c>
      <c r="F493" s="10" t="s">
        <v>869</v>
      </c>
      <c r="G493" s="24">
        <v>0</v>
      </c>
      <c r="H493" s="24">
        <v>0</v>
      </c>
      <c r="I493" s="24">
        <v>0</v>
      </c>
      <c r="J493" s="25">
        <v>0</v>
      </c>
      <c r="K493" s="24">
        <v>0</v>
      </c>
      <c r="L493" s="24">
        <v>0</v>
      </c>
    </row>
    <row r="494" ht="21.05" customHeight="1" spans="1:12">
      <c r="A494" s="10"/>
      <c r="B494" s="10"/>
      <c r="C494" s="10"/>
      <c r="D494" s="10"/>
      <c r="E494" s="10"/>
      <c r="F494" s="10" t="s">
        <v>929</v>
      </c>
      <c r="G494" s="24">
        <v>0</v>
      </c>
      <c r="H494" s="24">
        <v>0</v>
      </c>
      <c r="I494" s="24">
        <v>0</v>
      </c>
      <c r="J494" s="25">
        <v>0</v>
      </c>
      <c r="K494" s="24">
        <v>0</v>
      </c>
      <c r="L494" s="24">
        <v>0</v>
      </c>
    </row>
    <row r="495" ht="21.05" customHeight="1" spans="1:12">
      <c r="A495" s="10"/>
      <c r="B495" s="10"/>
      <c r="C495" s="10"/>
      <c r="D495" s="10"/>
      <c r="E495" s="10"/>
      <c r="F495" s="10" t="s">
        <v>917</v>
      </c>
      <c r="G495" s="24">
        <v>1.9</v>
      </c>
      <c r="H495" s="24">
        <v>81.6</v>
      </c>
      <c r="I495" s="24">
        <v>1.9003</v>
      </c>
      <c r="J495" s="25">
        <v>-0.0003</v>
      </c>
      <c r="K495" s="24">
        <v>81.6527</v>
      </c>
      <c r="L495" s="24">
        <v>81.6527</v>
      </c>
    </row>
    <row r="496" ht="21.05" customHeight="1" spans="1:12">
      <c r="A496" s="10"/>
      <c r="B496" s="10"/>
      <c r="C496" s="10" t="s">
        <v>614</v>
      </c>
      <c r="D496" s="10" t="s">
        <v>615</v>
      </c>
      <c r="E496" s="10" t="s">
        <v>616</v>
      </c>
      <c r="F496" s="10" t="s">
        <v>869</v>
      </c>
      <c r="G496" s="24">
        <v>0</v>
      </c>
      <c r="H496" s="24">
        <v>0</v>
      </c>
      <c r="I496" s="24">
        <v>0</v>
      </c>
      <c r="J496" s="25">
        <v>0</v>
      </c>
      <c r="K496" s="24">
        <v>0</v>
      </c>
      <c r="L496" s="24">
        <v>0</v>
      </c>
    </row>
    <row r="497" ht="21.05" customHeight="1" spans="1:12">
      <c r="A497" s="10"/>
      <c r="B497" s="10"/>
      <c r="C497" s="10"/>
      <c r="D497" s="10"/>
      <c r="E497" s="10"/>
      <c r="F497" s="10" t="s">
        <v>917</v>
      </c>
      <c r="G497" s="24">
        <v>70</v>
      </c>
      <c r="H497" s="24">
        <v>1064.0353</v>
      </c>
      <c r="I497" s="24">
        <v>69.9935</v>
      </c>
      <c r="J497" s="25">
        <v>0.0065</v>
      </c>
      <c r="K497" s="24">
        <v>1063.9733</v>
      </c>
      <c r="L497" s="24">
        <v>1063.9733</v>
      </c>
    </row>
    <row r="498" ht="21.05" customHeight="1" spans="1:12">
      <c r="A498" s="10"/>
      <c r="B498" s="10"/>
      <c r="C498" s="10"/>
      <c r="D498" s="10"/>
      <c r="E498" s="10"/>
      <c r="F498" s="10" t="s">
        <v>864</v>
      </c>
      <c r="G498" s="24">
        <v>34</v>
      </c>
      <c r="H498" s="24">
        <v>1291</v>
      </c>
      <c r="I498" s="24">
        <v>33.9969</v>
      </c>
      <c r="J498" s="25">
        <v>0.0031</v>
      </c>
      <c r="K498" s="24">
        <v>1290.8687</v>
      </c>
      <c r="L498" s="24">
        <v>1290.8687</v>
      </c>
    </row>
    <row r="499" ht="21.05" customHeight="1" spans="1:12">
      <c r="A499" s="10"/>
      <c r="B499" s="10"/>
      <c r="C499" s="10" t="s">
        <v>617</v>
      </c>
      <c r="D499" s="10" t="s">
        <v>355</v>
      </c>
      <c r="E499" s="10" t="s">
        <v>356</v>
      </c>
      <c r="F499" s="10" t="s">
        <v>932</v>
      </c>
      <c r="G499" s="24">
        <v>0</v>
      </c>
      <c r="H499" s="24">
        <v>0</v>
      </c>
      <c r="I499" s="24">
        <v>0</v>
      </c>
      <c r="J499" s="25">
        <v>0</v>
      </c>
      <c r="K499" s="24">
        <v>0</v>
      </c>
      <c r="L499" s="24">
        <v>0</v>
      </c>
    </row>
    <row r="500" ht="21.05" customHeight="1" spans="1:12">
      <c r="A500" s="10"/>
      <c r="B500" s="10"/>
      <c r="C500" s="10"/>
      <c r="D500" s="10"/>
      <c r="E500" s="10"/>
      <c r="F500" s="10" t="s">
        <v>852</v>
      </c>
      <c r="G500" s="24">
        <v>0</v>
      </c>
      <c r="H500" s="24">
        <v>29.55</v>
      </c>
      <c r="I500" s="24">
        <v>0</v>
      </c>
      <c r="J500" s="25">
        <v>0</v>
      </c>
      <c r="K500" s="24">
        <v>9.9281</v>
      </c>
      <c r="L500" s="24">
        <v>9.9281</v>
      </c>
    </row>
    <row r="501" ht="21.05" customHeight="1" spans="1:12">
      <c r="A501" s="10"/>
      <c r="B501" s="10"/>
      <c r="C501" s="10" t="s">
        <v>618</v>
      </c>
      <c r="D501" s="10" t="s">
        <v>126</v>
      </c>
      <c r="E501" s="10" t="s">
        <v>586</v>
      </c>
      <c r="F501" s="10" t="s">
        <v>901</v>
      </c>
      <c r="G501" s="24">
        <v>0</v>
      </c>
      <c r="H501" s="24">
        <v>0</v>
      </c>
      <c r="I501" s="24">
        <v>0</v>
      </c>
      <c r="J501" s="25">
        <v>0</v>
      </c>
      <c r="K501" s="24">
        <v>0</v>
      </c>
      <c r="L501" s="24">
        <v>0</v>
      </c>
    </row>
    <row r="502" ht="21.05" customHeight="1" spans="1:12">
      <c r="A502" s="10"/>
      <c r="B502" s="10"/>
      <c r="C502" s="10" t="s">
        <v>619</v>
      </c>
      <c r="D502" s="10" t="s">
        <v>355</v>
      </c>
      <c r="E502" s="10" t="s">
        <v>356</v>
      </c>
      <c r="F502" s="10" t="s">
        <v>891</v>
      </c>
      <c r="G502" s="24">
        <v>0</v>
      </c>
      <c r="H502" s="24">
        <v>0</v>
      </c>
      <c r="I502" s="24">
        <v>0</v>
      </c>
      <c r="J502" s="25">
        <v>0</v>
      </c>
      <c r="K502" s="24">
        <v>0</v>
      </c>
      <c r="L502" s="24">
        <v>0</v>
      </c>
    </row>
    <row r="503" ht="21.05" customHeight="1" spans="1:12">
      <c r="A503" s="10"/>
      <c r="B503" s="10"/>
      <c r="C503" s="10"/>
      <c r="D503" s="10"/>
      <c r="E503" s="10"/>
      <c r="F503" s="10" t="s">
        <v>869</v>
      </c>
      <c r="G503" s="24">
        <v>0</v>
      </c>
      <c r="H503" s="24">
        <v>0</v>
      </c>
      <c r="I503" s="24">
        <v>0</v>
      </c>
      <c r="J503" s="25">
        <v>0</v>
      </c>
      <c r="K503" s="24">
        <v>0</v>
      </c>
      <c r="L503" s="24">
        <v>0</v>
      </c>
    </row>
    <row r="504" ht="21.05" customHeight="1" spans="1:12">
      <c r="A504" s="10"/>
      <c r="B504" s="10"/>
      <c r="C504" s="10"/>
      <c r="D504" s="10"/>
      <c r="E504" s="10"/>
      <c r="F504" s="10" t="s">
        <v>852</v>
      </c>
      <c r="G504" s="24">
        <v>103</v>
      </c>
      <c r="H504" s="24">
        <v>1249.9</v>
      </c>
      <c r="I504" s="24">
        <v>102.8141</v>
      </c>
      <c r="J504" s="25">
        <v>0.1859</v>
      </c>
      <c r="K504" s="24">
        <v>1185.8112</v>
      </c>
      <c r="L504" s="24">
        <v>1185.8112</v>
      </c>
    </row>
    <row r="505" ht="21.05" customHeight="1" spans="1:12">
      <c r="A505" s="10"/>
      <c r="B505" s="10"/>
      <c r="C505" s="10"/>
      <c r="D505" s="10"/>
      <c r="E505" s="10"/>
      <c r="F505" s="10" t="s">
        <v>904</v>
      </c>
      <c r="G505" s="24">
        <v>21.7</v>
      </c>
      <c r="H505" s="24">
        <v>811.7</v>
      </c>
      <c r="I505" s="24">
        <v>21.6609</v>
      </c>
      <c r="J505" s="25">
        <v>0.0391</v>
      </c>
      <c r="K505" s="24">
        <v>767.5595</v>
      </c>
      <c r="L505" s="24">
        <v>767.5595</v>
      </c>
    </row>
    <row r="506" ht="21.05" customHeight="1" spans="1:12">
      <c r="A506" s="10"/>
      <c r="B506" s="10"/>
      <c r="C506" s="10"/>
      <c r="D506" s="10"/>
      <c r="E506" s="10"/>
      <c r="F506" s="10" t="s">
        <v>915</v>
      </c>
      <c r="G506" s="24">
        <v>9</v>
      </c>
      <c r="H506" s="24">
        <v>290.1</v>
      </c>
      <c r="I506" s="24">
        <v>8.9838</v>
      </c>
      <c r="J506" s="25">
        <v>0.0162</v>
      </c>
      <c r="K506" s="24">
        <v>274.3554</v>
      </c>
      <c r="L506" s="24">
        <v>274.3554</v>
      </c>
    </row>
    <row r="507" ht="21.05" customHeight="1" spans="1:12">
      <c r="A507" s="10"/>
      <c r="B507" s="10"/>
      <c r="C507" s="10"/>
      <c r="D507" s="10"/>
      <c r="E507" s="10"/>
      <c r="F507" s="10" t="s">
        <v>879</v>
      </c>
      <c r="G507" s="24">
        <v>0</v>
      </c>
      <c r="H507" s="24">
        <v>0</v>
      </c>
      <c r="I507" s="24">
        <v>0</v>
      </c>
      <c r="J507" s="25">
        <v>0</v>
      </c>
      <c r="K507" s="24">
        <v>0</v>
      </c>
      <c r="L507" s="24">
        <v>0</v>
      </c>
    </row>
    <row r="508" ht="21.05" customHeight="1" spans="1:12">
      <c r="A508" s="10"/>
      <c r="B508" s="10"/>
      <c r="C508" s="10"/>
      <c r="D508" s="10"/>
      <c r="E508" s="10"/>
      <c r="F508" s="10" t="s">
        <v>860</v>
      </c>
      <c r="G508" s="24">
        <v>0</v>
      </c>
      <c r="H508" s="24">
        <v>0</v>
      </c>
      <c r="I508" s="24">
        <v>0</v>
      </c>
      <c r="J508" s="25">
        <v>0</v>
      </c>
      <c r="K508" s="24">
        <v>0</v>
      </c>
      <c r="L508" s="24">
        <v>0</v>
      </c>
    </row>
    <row r="509" ht="21.05" customHeight="1" spans="1:12">
      <c r="A509" s="10"/>
      <c r="B509" s="10"/>
      <c r="C509" s="10"/>
      <c r="D509" s="10"/>
      <c r="E509" s="10"/>
      <c r="F509" s="10" t="s">
        <v>938</v>
      </c>
      <c r="G509" s="24">
        <v>0</v>
      </c>
      <c r="H509" s="24">
        <v>0</v>
      </c>
      <c r="I509" s="24">
        <v>0</v>
      </c>
      <c r="J509" s="25">
        <v>0</v>
      </c>
      <c r="K509" s="24">
        <v>0</v>
      </c>
      <c r="L509" s="24">
        <v>0</v>
      </c>
    </row>
    <row r="510" ht="21.05" customHeight="1" spans="1:12">
      <c r="A510" s="10"/>
      <c r="B510" s="10"/>
      <c r="C510" s="10"/>
      <c r="D510" s="10"/>
      <c r="E510" s="10"/>
      <c r="F510" s="10" t="s">
        <v>864</v>
      </c>
      <c r="G510" s="24">
        <v>10</v>
      </c>
      <c r="H510" s="24">
        <v>569.8</v>
      </c>
      <c r="I510" s="24">
        <v>9.982</v>
      </c>
      <c r="J510" s="25">
        <v>0.018</v>
      </c>
      <c r="K510" s="24">
        <v>553.3011</v>
      </c>
      <c r="L510" s="24">
        <v>553.3011</v>
      </c>
    </row>
    <row r="511" ht="21.05" customHeight="1" spans="1:12">
      <c r="A511" s="10"/>
      <c r="B511" s="10"/>
      <c r="C511" s="10"/>
      <c r="D511" s="10"/>
      <c r="E511" s="10"/>
      <c r="F511" s="10" t="s">
        <v>898</v>
      </c>
      <c r="G511" s="24">
        <v>4</v>
      </c>
      <c r="H511" s="24">
        <v>326</v>
      </c>
      <c r="I511" s="24">
        <v>3.9928</v>
      </c>
      <c r="J511" s="25">
        <v>0.0072</v>
      </c>
      <c r="K511" s="24">
        <v>300.9664</v>
      </c>
      <c r="L511" s="24">
        <v>300.9664</v>
      </c>
    </row>
    <row r="512" ht="21.05" customHeight="1" spans="1:12">
      <c r="A512" s="10"/>
      <c r="B512" s="10" t="s">
        <v>620</v>
      </c>
      <c r="C512" s="10" t="s">
        <v>621</v>
      </c>
      <c r="D512" s="10" t="s">
        <v>622</v>
      </c>
      <c r="E512" s="10" t="s">
        <v>565</v>
      </c>
      <c r="F512" s="10" t="s">
        <v>902</v>
      </c>
      <c r="G512" s="24">
        <v>0</v>
      </c>
      <c r="H512" s="24">
        <v>0</v>
      </c>
      <c r="I512" s="24">
        <v>0</v>
      </c>
      <c r="J512" s="25">
        <v>0</v>
      </c>
      <c r="K512" s="24">
        <v>0</v>
      </c>
      <c r="L512" s="24">
        <v>0</v>
      </c>
    </row>
    <row r="513" ht="21.05" customHeight="1" spans="1:12">
      <c r="A513" s="10"/>
      <c r="B513" s="10"/>
      <c r="C513" s="10"/>
      <c r="D513" s="10"/>
      <c r="E513" s="10"/>
      <c r="F513" s="10" t="s">
        <v>938</v>
      </c>
      <c r="G513" s="24">
        <v>0</v>
      </c>
      <c r="H513" s="24">
        <v>0</v>
      </c>
      <c r="I513" s="24">
        <v>0</v>
      </c>
      <c r="J513" s="25">
        <v>0</v>
      </c>
      <c r="K513" s="24">
        <v>0</v>
      </c>
      <c r="L513" s="24">
        <v>0</v>
      </c>
    </row>
    <row r="514" ht="21.05" customHeight="1" spans="1:12">
      <c r="A514" s="10"/>
      <c r="B514" s="10" t="s">
        <v>623</v>
      </c>
      <c r="C514" s="10" t="s">
        <v>624</v>
      </c>
      <c r="D514" s="10" t="s">
        <v>625</v>
      </c>
      <c r="E514" s="10" t="s">
        <v>555</v>
      </c>
      <c r="F514" s="10" t="s">
        <v>917</v>
      </c>
      <c r="G514" s="24">
        <v>66</v>
      </c>
      <c r="H514" s="24">
        <v>2215.1</v>
      </c>
      <c r="I514" s="24">
        <v>57.731</v>
      </c>
      <c r="J514" s="25">
        <v>8.269</v>
      </c>
      <c r="K514" s="24">
        <v>2091.4752</v>
      </c>
      <c r="L514" s="24">
        <v>2091.4752</v>
      </c>
    </row>
    <row r="515" ht="21.05" customHeight="1" spans="1:12">
      <c r="A515" s="10"/>
      <c r="B515" s="10"/>
      <c r="C515" s="10"/>
      <c r="D515" s="10"/>
      <c r="E515" s="10"/>
      <c r="F515" s="10" t="s">
        <v>862</v>
      </c>
      <c r="G515" s="24">
        <v>0</v>
      </c>
      <c r="H515" s="24">
        <v>0</v>
      </c>
      <c r="I515" s="24">
        <v>0</v>
      </c>
      <c r="J515" s="25">
        <v>0</v>
      </c>
      <c r="K515" s="24">
        <v>0</v>
      </c>
      <c r="L515" s="24">
        <v>0</v>
      </c>
    </row>
    <row r="516" ht="21.05" customHeight="1" spans="1:12">
      <c r="A516" s="10"/>
      <c r="B516" s="10" t="s">
        <v>627</v>
      </c>
      <c r="C516" s="10" t="s">
        <v>628</v>
      </c>
      <c r="D516" s="10" t="s">
        <v>629</v>
      </c>
      <c r="E516" s="10" t="s">
        <v>555</v>
      </c>
      <c r="F516" s="10" t="s">
        <v>917</v>
      </c>
      <c r="G516" s="24">
        <v>6.2</v>
      </c>
      <c r="H516" s="24">
        <v>232.04</v>
      </c>
      <c r="I516" s="24">
        <v>5.6307</v>
      </c>
      <c r="J516" s="25">
        <v>0.5693</v>
      </c>
      <c r="K516" s="24">
        <v>227.185</v>
      </c>
      <c r="L516" s="24">
        <v>227.185</v>
      </c>
    </row>
    <row r="517" ht="21.05" customHeight="1" spans="1:12">
      <c r="A517" s="10" t="s">
        <v>13</v>
      </c>
      <c r="B517" s="10" t="s">
        <v>635</v>
      </c>
      <c r="C517" s="10" t="s">
        <v>636</v>
      </c>
      <c r="D517" s="10" t="s">
        <v>637</v>
      </c>
      <c r="E517" s="10" t="s">
        <v>382</v>
      </c>
      <c r="F517" s="10" t="s">
        <v>856</v>
      </c>
      <c r="G517" s="24">
        <v>0</v>
      </c>
      <c r="H517" s="24">
        <v>0</v>
      </c>
      <c r="I517" s="24">
        <v>0</v>
      </c>
      <c r="J517" s="25">
        <v>0</v>
      </c>
      <c r="K517" s="24">
        <v>0</v>
      </c>
      <c r="L517" s="24">
        <v>0</v>
      </c>
    </row>
    <row r="518" ht="21.05" customHeight="1" spans="1:12">
      <c r="A518" s="10"/>
      <c r="B518" s="10"/>
      <c r="C518" s="10"/>
      <c r="D518" s="10"/>
      <c r="E518" s="10"/>
      <c r="F518" s="10" t="s">
        <v>879</v>
      </c>
      <c r="G518" s="24">
        <v>0</v>
      </c>
      <c r="H518" s="24">
        <v>0</v>
      </c>
      <c r="I518" s="24">
        <v>0</v>
      </c>
      <c r="J518" s="25">
        <v>0</v>
      </c>
      <c r="K518" s="24">
        <v>0</v>
      </c>
      <c r="L518" s="24">
        <v>0</v>
      </c>
    </row>
    <row r="519" ht="21.05" customHeight="1" spans="1:12">
      <c r="A519" s="10"/>
      <c r="B519" s="10"/>
      <c r="C519" s="10"/>
      <c r="D519" s="10"/>
      <c r="E519" s="10"/>
      <c r="F519" s="10" t="s">
        <v>906</v>
      </c>
      <c r="G519" s="24">
        <v>0</v>
      </c>
      <c r="H519" s="24">
        <v>0</v>
      </c>
      <c r="I519" s="24">
        <v>0</v>
      </c>
      <c r="J519" s="25">
        <v>0</v>
      </c>
      <c r="K519" s="24">
        <v>0</v>
      </c>
      <c r="L519" s="24">
        <v>0</v>
      </c>
    </row>
    <row r="520" ht="21.05" customHeight="1" spans="1:12">
      <c r="A520" s="10"/>
      <c r="B520" s="10"/>
      <c r="C520" s="10"/>
      <c r="D520" s="10"/>
      <c r="E520" s="10"/>
      <c r="F520" s="10" t="s">
        <v>864</v>
      </c>
      <c r="G520" s="24">
        <v>0</v>
      </c>
      <c r="H520" s="24">
        <v>11.8</v>
      </c>
      <c r="I520" s="24">
        <v>0</v>
      </c>
      <c r="J520" s="25">
        <v>0</v>
      </c>
      <c r="K520" s="24">
        <v>11.4979</v>
      </c>
      <c r="L520" s="24">
        <v>11.4979</v>
      </c>
    </row>
    <row r="521" ht="21.05" customHeight="1" spans="1:12">
      <c r="A521" s="10"/>
      <c r="B521" s="10"/>
      <c r="C521" s="10"/>
      <c r="D521" s="10" t="s">
        <v>383</v>
      </c>
      <c r="E521" s="10" t="s">
        <v>382</v>
      </c>
      <c r="F521" s="10" t="s">
        <v>908</v>
      </c>
      <c r="G521" s="24">
        <v>0</v>
      </c>
      <c r="H521" s="24">
        <v>0</v>
      </c>
      <c r="I521" s="24">
        <v>0</v>
      </c>
      <c r="J521" s="25">
        <v>0</v>
      </c>
      <c r="K521" s="24">
        <v>0</v>
      </c>
      <c r="L521" s="24">
        <v>0</v>
      </c>
    </row>
    <row r="522" ht="21.05" customHeight="1" spans="1:12">
      <c r="A522" s="10"/>
      <c r="B522" s="10"/>
      <c r="C522" s="10"/>
      <c r="D522" s="10"/>
      <c r="E522" s="10"/>
      <c r="F522" s="10" t="s">
        <v>852</v>
      </c>
      <c r="G522" s="24">
        <v>35.29</v>
      </c>
      <c r="H522" s="24">
        <v>1093.39</v>
      </c>
      <c r="I522" s="24">
        <v>35.2824</v>
      </c>
      <c r="J522" s="25">
        <v>0.0076</v>
      </c>
      <c r="K522" s="24">
        <v>1090.8508</v>
      </c>
      <c r="L522" s="24">
        <v>1090.8508</v>
      </c>
    </row>
    <row r="523" ht="21.05" customHeight="1" spans="1:12">
      <c r="A523" s="10"/>
      <c r="B523" s="10"/>
      <c r="C523" s="10"/>
      <c r="D523" s="10"/>
      <c r="E523" s="10"/>
      <c r="F523" s="10" t="s">
        <v>906</v>
      </c>
      <c r="G523" s="24">
        <v>0</v>
      </c>
      <c r="H523" s="24">
        <v>0</v>
      </c>
      <c r="I523" s="24">
        <v>0</v>
      </c>
      <c r="J523" s="25">
        <v>0</v>
      </c>
      <c r="K523" s="24">
        <v>0</v>
      </c>
      <c r="L523" s="24">
        <v>0</v>
      </c>
    </row>
    <row r="524" ht="21.05" customHeight="1" spans="1:12">
      <c r="A524" s="10"/>
      <c r="B524" s="10"/>
      <c r="C524" s="10"/>
      <c r="D524" s="10"/>
      <c r="E524" s="10"/>
      <c r="F524" s="10" t="s">
        <v>864</v>
      </c>
      <c r="G524" s="24">
        <v>2</v>
      </c>
      <c r="H524" s="24">
        <v>62</v>
      </c>
      <c r="I524" s="24">
        <v>1.9996</v>
      </c>
      <c r="J524" s="25">
        <v>0.0004</v>
      </c>
      <c r="K524" s="24">
        <v>61.8572</v>
      </c>
      <c r="L524" s="24">
        <v>61.8572</v>
      </c>
    </row>
    <row r="525" ht="21.05" customHeight="1" spans="1:12">
      <c r="A525" s="10"/>
      <c r="B525" s="10"/>
      <c r="C525" s="10"/>
      <c r="D525" s="10"/>
      <c r="E525" s="10"/>
      <c r="F525" s="10" t="s">
        <v>898</v>
      </c>
      <c r="G525" s="24">
        <v>1.5</v>
      </c>
      <c r="H525" s="24">
        <v>16.5</v>
      </c>
      <c r="I525" s="24">
        <v>1.4997</v>
      </c>
      <c r="J525" s="25">
        <v>0.0003</v>
      </c>
      <c r="K525" s="24">
        <v>16.453</v>
      </c>
      <c r="L525" s="24">
        <v>16.453</v>
      </c>
    </row>
    <row r="526" ht="21.05" customHeight="1" spans="1:12">
      <c r="A526" s="10"/>
      <c r="B526" s="10"/>
      <c r="C526" s="10" t="s">
        <v>639</v>
      </c>
      <c r="D526" s="10" t="s">
        <v>640</v>
      </c>
      <c r="E526" s="10" t="s">
        <v>258</v>
      </c>
      <c r="F526" s="10" t="s">
        <v>852</v>
      </c>
      <c r="G526" s="24">
        <v>0.5</v>
      </c>
      <c r="H526" s="24">
        <v>48.3</v>
      </c>
      <c r="I526" s="24">
        <v>0.4834</v>
      </c>
      <c r="J526" s="25">
        <v>0.0166</v>
      </c>
      <c r="K526" s="24">
        <v>39.8621</v>
      </c>
      <c r="L526" s="24">
        <v>39.8621</v>
      </c>
    </row>
    <row r="527" ht="21.05" customHeight="1" spans="1:12">
      <c r="A527" s="10"/>
      <c r="B527" s="10"/>
      <c r="C527" s="10"/>
      <c r="D527" s="10"/>
      <c r="E527" s="10"/>
      <c r="F527" s="10" t="s">
        <v>861</v>
      </c>
      <c r="G527" s="24">
        <v>0</v>
      </c>
      <c r="H527" s="24">
        <v>0</v>
      </c>
      <c r="I527" s="24">
        <v>0</v>
      </c>
      <c r="J527" s="25">
        <v>0</v>
      </c>
      <c r="K527" s="24">
        <v>0</v>
      </c>
      <c r="L527" s="24">
        <v>0</v>
      </c>
    </row>
    <row r="528" ht="21.05" customHeight="1" spans="1:12">
      <c r="A528" s="10"/>
      <c r="B528" s="10"/>
      <c r="C528" s="10"/>
      <c r="D528" s="10"/>
      <c r="E528" s="10"/>
      <c r="F528" s="10" t="s">
        <v>868</v>
      </c>
      <c r="G528" s="24">
        <v>1.5</v>
      </c>
      <c r="H528" s="24">
        <v>87.3</v>
      </c>
      <c r="I528" s="24">
        <v>1.4501</v>
      </c>
      <c r="J528" s="25">
        <v>0.0499</v>
      </c>
      <c r="K528" s="24">
        <v>75.5036</v>
      </c>
      <c r="L528" s="24">
        <v>75.5036</v>
      </c>
    </row>
    <row r="529" ht="21.05" customHeight="1" spans="1:12">
      <c r="A529" s="10"/>
      <c r="B529" s="10"/>
      <c r="C529" s="10"/>
      <c r="D529" s="10" t="s">
        <v>642</v>
      </c>
      <c r="E529" s="10" t="s">
        <v>258</v>
      </c>
      <c r="F529" s="10" t="s">
        <v>908</v>
      </c>
      <c r="G529" s="24">
        <v>0</v>
      </c>
      <c r="H529" s="24">
        <v>0</v>
      </c>
      <c r="I529" s="24">
        <v>0</v>
      </c>
      <c r="J529" s="25">
        <v>0</v>
      </c>
      <c r="K529" s="24">
        <v>0</v>
      </c>
      <c r="L529" s="24">
        <v>0</v>
      </c>
    </row>
    <row r="530" ht="21.05" customHeight="1" spans="1:12">
      <c r="A530" s="10"/>
      <c r="B530" s="10"/>
      <c r="C530" s="10"/>
      <c r="D530" s="10"/>
      <c r="E530" s="10"/>
      <c r="F530" s="10" t="s">
        <v>852</v>
      </c>
      <c r="G530" s="24">
        <v>10.9</v>
      </c>
      <c r="H530" s="24">
        <v>461.9</v>
      </c>
      <c r="I530" s="24">
        <v>10.8724</v>
      </c>
      <c r="J530" s="25">
        <v>0.0276</v>
      </c>
      <c r="K530" s="24">
        <v>460.9378</v>
      </c>
      <c r="L530" s="24">
        <v>460.9378</v>
      </c>
    </row>
    <row r="531" ht="21.05" customHeight="1" spans="1:12">
      <c r="A531" s="10"/>
      <c r="B531" s="10"/>
      <c r="C531" s="10"/>
      <c r="D531" s="10"/>
      <c r="E531" s="10"/>
      <c r="F531" s="10" t="s">
        <v>879</v>
      </c>
      <c r="G531" s="24">
        <v>0</v>
      </c>
      <c r="H531" s="24">
        <v>0</v>
      </c>
      <c r="I531" s="24">
        <v>0</v>
      </c>
      <c r="J531" s="25">
        <v>0</v>
      </c>
      <c r="K531" s="24">
        <v>0</v>
      </c>
      <c r="L531" s="24">
        <v>0</v>
      </c>
    </row>
    <row r="532" ht="21.05" customHeight="1" spans="1:12">
      <c r="A532" s="10"/>
      <c r="B532" s="10"/>
      <c r="C532" s="10"/>
      <c r="D532" s="10"/>
      <c r="E532" s="10"/>
      <c r="F532" s="10" t="s">
        <v>860</v>
      </c>
      <c r="G532" s="24">
        <v>0</v>
      </c>
      <c r="H532" s="24">
        <v>0</v>
      </c>
      <c r="I532" s="24">
        <v>0</v>
      </c>
      <c r="J532" s="25">
        <v>0</v>
      </c>
      <c r="K532" s="24">
        <v>0</v>
      </c>
      <c r="L532" s="24">
        <v>0</v>
      </c>
    </row>
    <row r="533" ht="21.05" customHeight="1" spans="1:12">
      <c r="A533" s="10"/>
      <c r="B533" s="10"/>
      <c r="C533" s="10"/>
      <c r="D533" s="10"/>
      <c r="E533" s="10"/>
      <c r="F533" s="10" t="s">
        <v>868</v>
      </c>
      <c r="G533" s="24">
        <v>0</v>
      </c>
      <c r="H533" s="24">
        <v>0</v>
      </c>
      <c r="I533" s="24">
        <v>0</v>
      </c>
      <c r="J533" s="25">
        <v>0</v>
      </c>
      <c r="K533" s="24">
        <v>0</v>
      </c>
      <c r="L533" s="24">
        <v>0</v>
      </c>
    </row>
    <row r="534" ht="21.05" customHeight="1" spans="1:12">
      <c r="A534" s="10"/>
      <c r="B534" s="10"/>
      <c r="C534" s="10"/>
      <c r="D534" s="10"/>
      <c r="E534" s="10"/>
      <c r="F534" s="10" t="s">
        <v>181</v>
      </c>
      <c r="G534" s="24">
        <v>0</v>
      </c>
      <c r="H534" s="24">
        <v>0</v>
      </c>
      <c r="I534" s="24">
        <v>0</v>
      </c>
      <c r="J534" s="25">
        <v>0</v>
      </c>
      <c r="K534" s="24">
        <v>0</v>
      </c>
      <c r="L534" s="24">
        <v>0</v>
      </c>
    </row>
    <row r="535" ht="21.05" customHeight="1" spans="1:12">
      <c r="A535" s="10"/>
      <c r="B535" s="10"/>
      <c r="C535" s="10"/>
      <c r="D535" s="10"/>
      <c r="E535" s="10"/>
      <c r="F535" s="10" t="s">
        <v>864</v>
      </c>
      <c r="G535" s="24">
        <v>19</v>
      </c>
      <c r="H535" s="24">
        <v>1075.1</v>
      </c>
      <c r="I535" s="24">
        <v>18.9518</v>
      </c>
      <c r="J535" s="25">
        <v>0.0482</v>
      </c>
      <c r="K535" s="24">
        <v>1072.8684</v>
      </c>
      <c r="L535" s="24">
        <v>1072.8684</v>
      </c>
    </row>
    <row r="536" ht="21.05" customHeight="1" spans="1:12">
      <c r="A536" s="10"/>
      <c r="B536" s="10"/>
      <c r="C536" s="10"/>
      <c r="D536" s="10"/>
      <c r="E536" s="10"/>
      <c r="F536" s="10" t="s">
        <v>898</v>
      </c>
      <c r="G536" s="24">
        <v>0</v>
      </c>
      <c r="H536" s="24">
        <v>0</v>
      </c>
      <c r="I536" s="24">
        <v>0</v>
      </c>
      <c r="J536" s="25">
        <v>0</v>
      </c>
      <c r="K536" s="24">
        <v>0</v>
      </c>
      <c r="L536" s="24">
        <v>0</v>
      </c>
    </row>
    <row r="537" ht="21.05" customHeight="1" spans="1:12">
      <c r="A537" s="10"/>
      <c r="B537" s="10"/>
      <c r="C537" s="10" t="s">
        <v>643</v>
      </c>
      <c r="D537" s="10" t="s">
        <v>642</v>
      </c>
      <c r="E537" s="10" t="s">
        <v>258</v>
      </c>
      <c r="F537" s="10" t="s">
        <v>908</v>
      </c>
      <c r="G537" s="24">
        <v>0</v>
      </c>
      <c r="H537" s="24">
        <v>0</v>
      </c>
      <c r="I537" s="24">
        <v>0</v>
      </c>
      <c r="J537" s="25">
        <v>0</v>
      </c>
      <c r="K537" s="24">
        <v>0</v>
      </c>
      <c r="L537" s="24">
        <v>0</v>
      </c>
    </row>
    <row r="538" ht="21.05" customHeight="1" spans="1:12">
      <c r="A538" s="10"/>
      <c r="B538" s="10"/>
      <c r="C538" s="10"/>
      <c r="D538" s="10"/>
      <c r="E538" s="10"/>
      <c r="F538" s="10" t="s">
        <v>879</v>
      </c>
      <c r="G538" s="24">
        <v>0</v>
      </c>
      <c r="H538" s="24">
        <v>0</v>
      </c>
      <c r="I538" s="24">
        <v>0</v>
      </c>
      <c r="J538" s="25">
        <v>0</v>
      </c>
      <c r="K538" s="24">
        <v>0</v>
      </c>
      <c r="L538" s="24">
        <v>0</v>
      </c>
    </row>
    <row r="539" ht="21.05" customHeight="1" spans="1:12">
      <c r="A539" s="10"/>
      <c r="B539" s="10"/>
      <c r="C539" s="10"/>
      <c r="D539" s="10"/>
      <c r="E539" s="10"/>
      <c r="F539" s="10" t="s">
        <v>864</v>
      </c>
      <c r="G539" s="24">
        <v>48</v>
      </c>
      <c r="H539" s="24">
        <v>1321</v>
      </c>
      <c r="I539" s="24">
        <v>39.8111</v>
      </c>
      <c r="J539" s="25">
        <v>8.1889</v>
      </c>
      <c r="K539" s="24">
        <v>1113.089</v>
      </c>
      <c r="L539" s="24">
        <v>1113.089</v>
      </c>
    </row>
    <row r="540" ht="21.05" customHeight="1" spans="1:12">
      <c r="A540" s="10"/>
      <c r="B540" s="10" t="s">
        <v>645</v>
      </c>
      <c r="C540" s="10" t="s">
        <v>646</v>
      </c>
      <c r="D540" s="10" t="s">
        <v>647</v>
      </c>
      <c r="E540" s="10" t="s">
        <v>382</v>
      </c>
      <c r="F540" s="10" t="s">
        <v>908</v>
      </c>
      <c r="G540" s="24">
        <v>0</v>
      </c>
      <c r="H540" s="24">
        <v>0</v>
      </c>
      <c r="I540" s="24">
        <v>0</v>
      </c>
      <c r="J540" s="25">
        <v>0</v>
      </c>
      <c r="K540" s="24">
        <v>0</v>
      </c>
      <c r="L540" s="24">
        <v>0</v>
      </c>
    </row>
    <row r="541" ht="21.05" customHeight="1" spans="1:12">
      <c r="A541" s="10"/>
      <c r="B541" s="10"/>
      <c r="C541" s="10"/>
      <c r="D541" s="10"/>
      <c r="E541" s="10"/>
      <c r="F541" s="10" t="s">
        <v>860</v>
      </c>
      <c r="G541" s="24">
        <v>0</v>
      </c>
      <c r="H541" s="24">
        <v>0</v>
      </c>
      <c r="I541" s="24">
        <v>0</v>
      </c>
      <c r="J541" s="25">
        <v>0</v>
      </c>
      <c r="K541" s="24">
        <v>0</v>
      </c>
      <c r="L541" s="24">
        <v>0</v>
      </c>
    </row>
    <row r="542" ht="21.05" customHeight="1" spans="1:12">
      <c r="A542" s="10"/>
      <c r="B542" s="10"/>
      <c r="C542" s="10"/>
      <c r="D542" s="10"/>
      <c r="E542" s="10"/>
      <c r="F542" s="10" t="s">
        <v>861</v>
      </c>
      <c r="G542" s="24">
        <v>0</v>
      </c>
      <c r="H542" s="24">
        <v>0</v>
      </c>
      <c r="I542" s="24">
        <v>0</v>
      </c>
      <c r="J542" s="25">
        <v>0</v>
      </c>
      <c r="K542" s="24">
        <v>0</v>
      </c>
      <c r="L542" s="24">
        <v>0</v>
      </c>
    </row>
    <row r="543" ht="21.05" customHeight="1" spans="1:12">
      <c r="A543" s="10"/>
      <c r="B543" s="10"/>
      <c r="C543" s="10"/>
      <c r="D543" s="10"/>
      <c r="E543" s="10"/>
      <c r="F543" s="10" t="s">
        <v>906</v>
      </c>
      <c r="G543" s="24">
        <v>0</v>
      </c>
      <c r="H543" s="24">
        <v>0</v>
      </c>
      <c r="I543" s="24">
        <v>0</v>
      </c>
      <c r="J543" s="25">
        <v>0</v>
      </c>
      <c r="K543" s="24">
        <v>0</v>
      </c>
      <c r="L543" s="24">
        <v>0</v>
      </c>
    </row>
    <row r="544" ht="21.05" customHeight="1" spans="1:12">
      <c r="A544" s="10"/>
      <c r="B544" s="10"/>
      <c r="C544" s="10"/>
      <c r="D544" s="10"/>
      <c r="E544" s="10"/>
      <c r="F544" s="10" t="s">
        <v>864</v>
      </c>
      <c r="G544" s="24">
        <v>7.5</v>
      </c>
      <c r="H544" s="24">
        <v>407</v>
      </c>
      <c r="I544" s="24">
        <v>7.1842</v>
      </c>
      <c r="J544" s="25">
        <v>0.3158</v>
      </c>
      <c r="K544" s="24">
        <v>378.3443</v>
      </c>
      <c r="L544" s="24">
        <v>378.3443</v>
      </c>
    </row>
    <row r="545" ht="21.05" customHeight="1" spans="1:12">
      <c r="A545" s="10"/>
      <c r="B545" s="10"/>
      <c r="C545" s="10"/>
      <c r="D545" s="10"/>
      <c r="E545" s="10"/>
      <c r="F545" s="10" t="s">
        <v>898</v>
      </c>
      <c r="G545" s="24">
        <v>0</v>
      </c>
      <c r="H545" s="24">
        <v>32</v>
      </c>
      <c r="I545" s="24">
        <v>0</v>
      </c>
      <c r="J545" s="25">
        <v>0</v>
      </c>
      <c r="K545" s="24">
        <v>29.893</v>
      </c>
      <c r="L545" s="24">
        <v>29.893</v>
      </c>
    </row>
    <row r="546" ht="21.05" customHeight="1" spans="1:12">
      <c r="A546" s="10"/>
      <c r="B546" s="10" t="s">
        <v>649</v>
      </c>
      <c r="C546" s="10" t="s">
        <v>650</v>
      </c>
      <c r="D546" s="10" t="s">
        <v>652</v>
      </c>
      <c r="E546" s="10" t="s">
        <v>382</v>
      </c>
      <c r="F546" s="10" t="s">
        <v>872</v>
      </c>
      <c r="G546" s="24">
        <v>0</v>
      </c>
      <c r="H546" s="24">
        <v>0</v>
      </c>
      <c r="I546" s="24">
        <v>0</v>
      </c>
      <c r="J546" s="25">
        <v>0</v>
      </c>
      <c r="K546" s="24">
        <v>0</v>
      </c>
      <c r="L546" s="24">
        <v>0</v>
      </c>
    </row>
    <row r="547" ht="21.05" customHeight="1" spans="1:12">
      <c r="A547" s="10"/>
      <c r="B547" s="10"/>
      <c r="C547" s="10"/>
      <c r="D547" s="10"/>
      <c r="E547" s="10"/>
      <c r="F547" s="10" t="s">
        <v>869</v>
      </c>
      <c r="G547" s="24">
        <v>0</v>
      </c>
      <c r="H547" s="24">
        <v>0</v>
      </c>
      <c r="I547" s="24">
        <v>0</v>
      </c>
      <c r="J547" s="25">
        <v>0</v>
      </c>
      <c r="K547" s="24">
        <v>0</v>
      </c>
      <c r="L547" s="24">
        <v>0</v>
      </c>
    </row>
    <row r="548" ht="21.05" customHeight="1" spans="1:12">
      <c r="A548" s="10"/>
      <c r="B548" s="10"/>
      <c r="C548" s="10"/>
      <c r="D548" s="10"/>
      <c r="E548" s="10"/>
      <c r="F548" s="10" t="s">
        <v>908</v>
      </c>
      <c r="G548" s="24">
        <v>0</v>
      </c>
      <c r="H548" s="24">
        <v>0</v>
      </c>
      <c r="I548" s="24">
        <v>0</v>
      </c>
      <c r="J548" s="25">
        <v>0</v>
      </c>
      <c r="K548" s="24">
        <v>0</v>
      </c>
      <c r="L548" s="24">
        <v>0</v>
      </c>
    </row>
    <row r="549" ht="21.05" customHeight="1" spans="1:12">
      <c r="A549" s="10"/>
      <c r="B549" s="10"/>
      <c r="C549" s="10"/>
      <c r="D549" s="10"/>
      <c r="E549" s="10"/>
      <c r="F549" s="10" t="s">
        <v>852</v>
      </c>
      <c r="G549" s="24">
        <v>40</v>
      </c>
      <c r="H549" s="24">
        <v>1216</v>
      </c>
      <c r="I549" s="24">
        <v>39.0036</v>
      </c>
      <c r="J549" s="25">
        <v>0.9964</v>
      </c>
      <c r="K549" s="24">
        <v>1177.9163</v>
      </c>
      <c r="L549" s="24">
        <v>1177.9163</v>
      </c>
    </row>
    <row r="550" ht="21.05" customHeight="1" spans="1:12">
      <c r="A550" s="10"/>
      <c r="B550" s="10"/>
      <c r="C550" s="10"/>
      <c r="D550" s="10"/>
      <c r="E550" s="10"/>
      <c r="F550" s="10" t="s">
        <v>879</v>
      </c>
      <c r="G550" s="24">
        <v>0</v>
      </c>
      <c r="H550" s="24">
        <v>0</v>
      </c>
      <c r="I550" s="24">
        <v>0</v>
      </c>
      <c r="J550" s="25">
        <v>0</v>
      </c>
      <c r="K550" s="24">
        <v>0</v>
      </c>
      <c r="L550" s="24">
        <v>0</v>
      </c>
    </row>
    <row r="551" ht="21.05" customHeight="1" spans="1:12">
      <c r="A551" s="10"/>
      <c r="B551" s="10"/>
      <c r="C551" s="10"/>
      <c r="D551" s="10"/>
      <c r="E551" s="10"/>
      <c r="F551" s="10" t="s">
        <v>939</v>
      </c>
      <c r="G551" s="24">
        <v>0</v>
      </c>
      <c r="H551" s="24">
        <v>0</v>
      </c>
      <c r="I551" s="24">
        <v>0</v>
      </c>
      <c r="J551" s="25">
        <v>0</v>
      </c>
      <c r="K551" s="24">
        <v>0</v>
      </c>
      <c r="L551" s="24">
        <v>0</v>
      </c>
    </row>
    <row r="552" ht="21.05" customHeight="1" spans="1:12">
      <c r="A552" s="10"/>
      <c r="B552" s="10"/>
      <c r="C552" s="10"/>
      <c r="D552" s="10"/>
      <c r="E552" s="10"/>
      <c r="F552" s="10" t="s">
        <v>860</v>
      </c>
      <c r="G552" s="24">
        <v>0</v>
      </c>
      <c r="H552" s="24">
        <v>0</v>
      </c>
      <c r="I552" s="24">
        <v>0</v>
      </c>
      <c r="J552" s="25">
        <v>0</v>
      </c>
      <c r="K552" s="24">
        <v>0</v>
      </c>
      <c r="L552" s="24">
        <v>0</v>
      </c>
    </row>
    <row r="553" ht="21.05" customHeight="1" spans="1:12">
      <c r="A553" s="10"/>
      <c r="B553" s="10"/>
      <c r="C553" s="10"/>
      <c r="D553" s="10"/>
      <c r="E553" s="10"/>
      <c r="F553" s="10" t="s">
        <v>906</v>
      </c>
      <c r="G553" s="24">
        <v>0</v>
      </c>
      <c r="H553" s="24">
        <v>0</v>
      </c>
      <c r="I553" s="24">
        <v>0</v>
      </c>
      <c r="J553" s="25">
        <v>0</v>
      </c>
      <c r="K553" s="24">
        <v>0</v>
      </c>
      <c r="L553" s="24">
        <v>0</v>
      </c>
    </row>
    <row r="554" ht="21.05" customHeight="1" spans="1:12">
      <c r="A554" s="10"/>
      <c r="B554" s="10"/>
      <c r="C554" s="10"/>
      <c r="D554" s="10"/>
      <c r="E554" s="10"/>
      <c r="F554" s="10" t="s">
        <v>864</v>
      </c>
      <c r="G554" s="24">
        <v>4</v>
      </c>
      <c r="H554" s="24">
        <v>256</v>
      </c>
      <c r="I554" s="24">
        <v>3.9004</v>
      </c>
      <c r="J554" s="25">
        <v>0.0996</v>
      </c>
      <c r="K554" s="24">
        <v>246.2882</v>
      </c>
      <c r="L554" s="24">
        <v>246.2882</v>
      </c>
    </row>
    <row r="555" ht="21.05" customHeight="1" spans="1:12">
      <c r="A555" s="10"/>
      <c r="B555" s="10"/>
      <c r="C555" s="10"/>
      <c r="D555" s="10"/>
      <c r="E555" s="10"/>
      <c r="F555" s="10" t="s">
        <v>898</v>
      </c>
      <c r="G555" s="24">
        <v>82</v>
      </c>
      <c r="H555" s="24">
        <v>2470.5</v>
      </c>
      <c r="I555" s="24">
        <v>79.9572</v>
      </c>
      <c r="J555" s="25">
        <v>2.0428</v>
      </c>
      <c r="K555" s="24">
        <v>2386.2883</v>
      </c>
      <c r="L555" s="24">
        <v>2386.2883</v>
      </c>
    </row>
    <row r="556" ht="21.05" customHeight="1" spans="1:12">
      <c r="A556" s="10"/>
      <c r="B556" s="10"/>
      <c r="C556" s="10" t="s">
        <v>70</v>
      </c>
      <c r="D556" s="10" t="s">
        <v>654</v>
      </c>
      <c r="E556" s="10" t="s">
        <v>382</v>
      </c>
      <c r="F556" s="10" t="s">
        <v>853</v>
      </c>
      <c r="G556" s="24">
        <v>0</v>
      </c>
      <c r="H556" s="24">
        <v>0</v>
      </c>
      <c r="I556" s="24">
        <v>0</v>
      </c>
      <c r="J556" s="25">
        <v>0</v>
      </c>
      <c r="K556" s="24">
        <v>0</v>
      </c>
      <c r="L556" s="24">
        <v>0</v>
      </c>
    </row>
    <row r="557" ht="21.05" customHeight="1" spans="1:12">
      <c r="A557" s="10"/>
      <c r="B557" s="10"/>
      <c r="C557" s="10" t="s">
        <v>655</v>
      </c>
      <c r="D557" s="10" t="s">
        <v>656</v>
      </c>
      <c r="E557" s="10" t="s">
        <v>382</v>
      </c>
      <c r="F557" s="10" t="s">
        <v>940</v>
      </c>
      <c r="G557" s="24">
        <v>0</v>
      </c>
      <c r="H557" s="24">
        <v>0</v>
      </c>
      <c r="I557" s="24">
        <v>0</v>
      </c>
      <c r="J557" s="25">
        <v>0</v>
      </c>
      <c r="K557" s="24">
        <v>0</v>
      </c>
      <c r="L557" s="24">
        <v>0</v>
      </c>
    </row>
    <row r="558" ht="21.05" customHeight="1" spans="1:12">
      <c r="A558" s="10"/>
      <c r="B558" s="10"/>
      <c r="C558" s="10"/>
      <c r="D558" s="10"/>
      <c r="E558" s="10"/>
      <c r="F558" s="10" t="s">
        <v>922</v>
      </c>
      <c r="G558" s="24">
        <v>0</v>
      </c>
      <c r="H558" s="24">
        <v>0</v>
      </c>
      <c r="I558" s="24">
        <v>0</v>
      </c>
      <c r="J558" s="25">
        <v>0</v>
      </c>
      <c r="K558" s="24">
        <v>0</v>
      </c>
      <c r="L558" s="24">
        <v>0</v>
      </c>
    </row>
    <row r="559" ht="21.05" customHeight="1" spans="1:12">
      <c r="A559" s="10"/>
      <c r="B559" s="10"/>
      <c r="C559" s="10"/>
      <c r="D559" s="10"/>
      <c r="E559" s="10"/>
      <c r="F559" s="10" t="s">
        <v>941</v>
      </c>
      <c r="G559" s="24">
        <v>0</v>
      </c>
      <c r="H559" s="24">
        <v>0</v>
      </c>
      <c r="I559" s="24">
        <v>0</v>
      </c>
      <c r="J559" s="25">
        <v>0</v>
      </c>
      <c r="K559" s="24">
        <v>0</v>
      </c>
      <c r="L559" s="24">
        <v>0</v>
      </c>
    </row>
    <row r="560" ht="21.05" customHeight="1" spans="1:12">
      <c r="A560" s="10"/>
      <c r="B560" s="10"/>
      <c r="C560" s="10"/>
      <c r="D560" s="10"/>
      <c r="E560" s="10"/>
      <c r="F560" s="10" t="s">
        <v>879</v>
      </c>
      <c r="G560" s="24">
        <v>0</v>
      </c>
      <c r="H560" s="24">
        <v>0</v>
      </c>
      <c r="I560" s="24">
        <v>0</v>
      </c>
      <c r="J560" s="25">
        <v>0</v>
      </c>
      <c r="K560" s="24">
        <v>0</v>
      </c>
      <c r="L560" s="24">
        <v>0</v>
      </c>
    </row>
    <row r="561" ht="21.05" customHeight="1" spans="1:12">
      <c r="A561" s="10"/>
      <c r="B561" s="10"/>
      <c r="C561" s="10"/>
      <c r="D561" s="10"/>
      <c r="E561" s="10"/>
      <c r="F561" s="10" t="s">
        <v>906</v>
      </c>
      <c r="G561" s="24">
        <v>0</v>
      </c>
      <c r="H561" s="24">
        <v>0</v>
      </c>
      <c r="I561" s="24">
        <v>0</v>
      </c>
      <c r="J561" s="25">
        <v>0</v>
      </c>
      <c r="K561" s="24">
        <v>0</v>
      </c>
      <c r="L561" s="24">
        <v>0</v>
      </c>
    </row>
    <row r="562" ht="21.05" customHeight="1" spans="1:12">
      <c r="A562" s="10"/>
      <c r="B562" s="10"/>
      <c r="C562" s="10"/>
      <c r="D562" s="10"/>
      <c r="E562" s="10"/>
      <c r="F562" s="10" t="s">
        <v>864</v>
      </c>
      <c r="G562" s="24">
        <v>5.93</v>
      </c>
      <c r="H562" s="24">
        <v>184.39</v>
      </c>
      <c r="I562" s="24">
        <v>5.93</v>
      </c>
      <c r="J562" s="25">
        <v>0</v>
      </c>
      <c r="K562" s="24">
        <v>180.4849</v>
      </c>
      <c r="L562" s="24">
        <v>180.4849</v>
      </c>
    </row>
    <row r="563" ht="21.05" customHeight="1" spans="1:12">
      <c r="A563" s="10"/>
      <c r="B563" s="10"/>
      <c r="C563" s="10"/>
      <c r="D563" s="10"/>
      <c r="E563" s="10"/>
      <c r="F563" s="10" t="s">
        <v>898</v>
      </c>
      <c r="G563" s="24">
        <v>0</v>
      </c>
      <c r="H563" s="24">
        <v>67.9</v>
      </c>
      <c r="I563" s="24">
        <v>0</v>
      </c>
      <c r="J563" s="25">
        <v>0</v>
      </c>
      <c r="K563" s="24">
        <v>65.486</v>
      </c>
      <c r="L563" s="24">
        <v>65.486</v>
      </c>
    </row>
    <row r="564" ht="21.05" customHeight="1" spans="1:12">
      <c r="A564" s="10"/>
      <c r="B564" s="10"/>
      <c r="C564" s="10" t="s">
        <v>657</v>
      </c>
      <c r="D564" s="10" t="s">
        <v>658</v>
      </c>
      <c r="E564" s="10" t="s">
        <v>382</v>
      </c>
      <c r="F564" s="10" t="s">
        <v>861</v>
      </c>
      <c r="G564" s="24">
        <v>0</v>
      </c>
      <c r="H564" s="24">
        <v>0</v>
      </c>
      <c r="I564" s="24">
        <v>0</v>
      </c>
      <c r="J564" s="25">
        <v>0</v>
      </c>
      <c r="K564" s="24">
        <v>0</v>
      </c>
      <c r="L564" s="24">
        <v>0</v>
      </c>
    </row>
    <row r="565" ht="21.05" customHeight="1" spans="1:12">
      <c r="A565" s="10"/>
      <c r="B565" s="10"/>
      <c r="C565" s="10"/>
      <c r="D565" s="10"/>
      <c r="E565" s="10"/>
      <c r="F565" s="10" t="s">
        <v>906</v>
      </c>
      <c r="G565" s="24">
        <v>0</v>
      </c>
      <c r="H565" s="24">
        <v>0</v>
      </c>
      <c r="I565" s="24">
        <v>0</v>
      </c>
      <c r="J565" s="25">
        <v>0</v>
      </c>
      <c r="K565" s="24">
        <v>0</v>
      </c>
      <c r="L565" s="24">
        <v>0</v>
      </c>
    </row>
    <row r="566" ht="21.05" customHeight="1" spans="1:12">
      <c r="A566" s="10"/>
      <c r="B566" s="10"/>
      <c r="C566" s="10"/>
      <c r="D566" s="10"/>
      <c r="E566" s="10"/>
      <c r="F566" s="10" t="s">
        <v>864</v>
      </c>
      <c r="G566" s="24">
        <v>0.7</v>
      </c>
      <c r="H566" s="24">
        <v>39.5</v>
      </c>
      <c r="I566" s="24">
        <v>0.6992</v>
      </c>
      <c r="J566" s="25">
        <v>0.0008</v>
      </c>
      <c r="K566" s="24">
        <v>38.822</v>
      </c>
      <c r="L566" s="24">
        <v>38.822</v>
      </c>
    </row>
    <row r="567" ht="21.05" customHeight="1" spans="1:12">
      <c r="A567" s="10"/>
      <c r="B567" s="10"/>
      <c r="C567" s="10"/>
      <c r="D567" s="10"/>
      <c r="E567" s="10"/>
      <c r="F567" s="10" t="s">
        <v>898</v>
      </c>
      <c r="G567" s="24">
        <v>0</v>
      </c>
      <c r="H567" s="24">
        <v>0</v>
      </c>
      <c r="I567" s="24">
        <v>0</v>
      </c>
      <c r="J567" s="25">
        <v>0</v>
      </c>
      <c r="K567" s="24">
        <v>0</v>
      </c>
      <c r="L567" s="24">
        <v>0</v>
      </c>
    </row>
    <row r="568" ht="21.05" customHeight="1" spans="1:12">
      <c r="A568" s="10"/>
      <c r="B568" s="10"/>
      <c r="C568" s="10" t="s">
        <v>659</v>
      </c>
      <c r="D568" s="10" t="s">
        <v>660</v>
      </c>
      <c r="E568" s="10" t="s">
        <v>382</v>
      </c>
      <c r="F568" s="10" t="s">
        <v>864</v>
      </c>
      <c r="G568" s="24">
        <v>15</v>
      </c>
      <c r="H568" s="24">
        <v>768.5</v>
      </c>
      <c r="I568" s="24">
        <v>9.4287</v>
      </c>
      <c r="J568" s="25">
        <v>5.5713</v>
      </c>
      <c r="K568" s="24">
        <v>702.7379</v>
      </c>
      <c r="L568" s="24">
        <v>702.7379</v>
      </c>
    </row>
    <row r="569" ht="21.05" customHeight="1" spans="1:12">
      <c r="A569" s="10"/>
      <c r="B569" s="10"/>
      <c r="C569" s="10" t="s">
        <v>662</v>
      </c>
      <c r="D569" s="10" t="s">
        <v>663</v>
      </c>
      <c r="E569" s="10" t="s">
        <v>382</v>
      </c>
      <c r="F569" s="10" t="s">
        <v>906</v>
      </c>
      <c r="G569" s="24">
        <v>0</v>
      </c>
      <c r="H569" s="24">
        <v>0</v>
      </c>
      <c r="I569" s="24">
        <v>0</v>
      </c>
      <c r="J569" s="25">
        <v>0</v>
      </c>
      <c r="K569" s="24">
        <v>0</v>
      </c>
      <c r="L569" s="24">
        <v>0</v>
      </c>
    </row>
    <row r="570" ht="21.05" customHeight="1" spans="1:12">
      <c r="A570" s="10"/>
      <c r="B570" s="10"/>
      <c r="C570" s="10"/>
      <c r="D570" s="10"/>
      <c r="E570" s="10"/>
      <c r="F570" s="10" t="s">
        <v>898</v>
      </c>
      <c r="G570" s="24">
        <v>1.28</v>
      </c>
      <c r="H570" s="24">
        <v>88.83</v>
      </c>
      <c r="I570" s="24">
        <v>1.2374</v>
      </c>
      <c r="J570" s="25">
        <v>0.0426</v>
      </c>
      <c r="K570" s="24">
        <v>85.3464</v>
      </c>
      <c r="L570" s="24">
        <v>85.3464</v>
      </c>
    </row>
    <row r="571" ht="21.05" customHeight="1" spans="1:12">
      <c r="A571" s="10"/>
      <c r="B571" s="10" t="s">
        <v>664</v>
      </c>
      <c r="C571" s="10" t="s">
        <v>665</v>
      </c>
      <c r="D571" s="10" t="s">
        <v>666</v>
      </c>
      <c r="E571" s="10" t="s">
        <v>258</v>
      </c>
      <c r="F571" s="10" t="s">
        <v>869</v>
      </c>
      <c r="G571" s="24">
        <v>0</v>
      </c>
      <c r="H571" s="24">
        <v>8</v>
      </c>
      <c r="I571" s="24">
        <v>0</v>
      </c>
      <c r="J571" s="25">
        <v>0</v>
      </c>
      <c r="K571" s="24">
        <v>7.1459</v>
      </c>
      <c r="L571" s="24">
        <v>7.1459</v>
      </c>
    </row>
    <row r="572" ht="21.05" customHeight="1" spans="1:12">
      <c r="A572" s="10"/>
      <c r="B572" s="10"/>
      <c r="C572" s="10"/>
      <c r="D572" s="10"/>
      <c r="E572" s="10"/>
      <c r="F572" s="10" t="s">
        <v>852</v>
      </c>
      <c r="G572" s="24">
        <v>0</v>
      </c>
      <c r="H572" s="24">
        <v>0</v>
      </c>
      <c r="I572" s="24">
        <v>0</v>
      </c>
      <c r="J572" s="25">
        <v>0</v>
      </c>
      <c r="K572" s="24">
        <v>0</v>
      </c>
      <c r="L572" s="24">
        <v>0</v>
      </c>
    </row>
    <row r="573" ht="21.05" customHeight="1" spans="1:12">
      <c r="A573" s="10"/>
      <c r="B573" s="10"/>
      <c r="C573" s="10"/>
      <c r="D573" s="10"/>
      <c r="E573" s="10"/>
      <c r="F573" s="10" t="s">
        <v>939</v>
      </c>
      <c r="G573" s="24">
        <v>0</v>
      </c>
      <c r="H573" s="24">
        <v>0</v>
      </c>
      <c r="I573" s="24">
        <v>0</v>
      </c>
      <c r="J573" s="25">
        <v>0</v>
      </c>
      <c r="K573" s="24">
        <v>0</v>
      </c>
      <c r="L573" s="24">
        <v>0</v>
      </c>
    </row>
    <row r="574" ht="21.05" customHeight="1" spans="1:12">
      <c r="A574" s="10"/>
      <c r="B574" s="10"/>
      <c r="C574" s="10"/>
      <c r="D574" s="10"/>
      <c r="E574" s="10"/>
      <c r="F574" s="10" t="s">
        <v>868</v>
      </c>
      <c r="G574" s="24">
        <v>0</v>
      </c>
      <c r="H574" s="24">
        <v>0</v>
      </c>
      <c r="I574" s="24">
        <v>0</v>
      </c>
      <c r="J574" s="25">
        <v>0</v>
      </c>
      <c r="K574" s="24">
        <v>0</v>
      </c>
      <c r="L574" s="24">
        <v>0</v>
      </c>
    </row>
    <row r="575" ht="21.05" customHeight="1" spans="1:12">
      <c r="A575" s="10"/>
      <c r="B575" s="10"/>
      <c r="C575" s="10"/>
      <c r="D575" s="10"/>
      <c r="E575" s="10"/>
      <c r="F575" s="10" t="s">
        <v>864</v>
      </c>
      <c r="G575" s="24">
        <v>2.8</v>
      </c>
      <c r="H575" s="24">
        <v>104.4</v>
      </c>
      <c r="I575" s="24">
        <v>2.0818</v>
      </c>
      <c r="J575" s="25">
        <v>0.7182</v>
      </c>
      <c r="K575" s="24">
        <v>87.2942</v>
      </c>
      <c r="L575" s="24">
        <v>87.2942</v>
      </c>
    </row>
    <row r="576" ht="21.05" customHeight="1" spans="1:12">
      <c r="A576" s="10" t="s">
        <v>668</v>
      </c>
      <c r="B576" s="10" t="s">
        <v>669</v>
      </c>
      <c r="C576" s="10" t="s">
        <v>670</v>
      </c>
      <c r="D576" s="10" t="s">
        <v>671</v>
      </c>
      <c r="E576" s="10" t="s">
        <v>672</v>
      </c>
      <c r="F576" s="10" t="s">
        <v>860</v>
      </c>
      <c r="G576" s="24">
        <v>0</v>
      </c>
      <c r="H576" s="24">
        <v>0</v>
      </c>
      <c r="I576" s="24">
        <v>0</v>
      </c>
      <c r="J576" s="25">
        <v>0</v>
      </c>
      <c r="K576" s="24">
        <v>0</v>
      </c>
      <c r="L576" s="24">
        <v>0</v>
      </c>
    </row>
    <row r="577" ht="21.05" customHeight="1" spans="1:12">
      <c r="A577" s="10"/>
      <c r="B577" s="10"/>
      <c r="C577" s="10"/>
      <c r="D577" s="10"/>
      <c r="E577" s="10"/>
      <c r="F577" s="10" t="s">
        <v>942</v>
      </c>
      <c r="G577" s="24">
        <v>0.8</v>
      </c>
      <c r="H577" s="24">
        <v>23.1</v>
      </c>
      <c r="I577" s="24">
        <v>0.8</v>
      </c>
      <c r="J577" s="25">
        <v>0</v>
      </c>
      <c r="K577" s="24">
        <v>23.9472</v>
      </c>
      <c r="L577" s="24">
        <v>23.9472</v>
      </c>
    </row>
    <row r="578" ht="21.05" customHeight="1" spans="1:12">
      <c r="A578" s="10"/>
      <c r="B578" s="10"/>
      <c r="C578" s="10"/>
      <c r="D578" s="10" t="s">
        <v>943</v>
      </c>
      <c r="E578" s="10" t="s">
        <v>672</v>
      </c>
      <c r="F578" s="10" t="s">
        <v>944</v>
      </c>
      <c r="G578" s="24">
        <v>0</v>
      </c>
      <c r="H578" s="24">
        <v>0</v>
      </c>
      <c r="I578" s="24">
        <v>0</v>
      </c>
      <c r="J578" s="25">
        <v>0</v>
      </c>
      <c r="K578" s="24">
        <v>0</v>
      </c>
      <c r="L578" s="24">
        <v>0</v>
      </c>
    </row>
    <row r="579" ht="21.05" customHeight="1" spans="1:12">
      <c r="A579" s="10"/>
      <c r="B579" s="10"/>
      <c r="C579" s="10"/>
      <c r="D579" s="10"/>
      <c r="E579" s="10"/>
      <c r="F579" s="10" t="s">
        <v>860</v>
      </c>
      <c r="G579" s="24">
        <v>0</v>
      </c>
      <c r="H579" s="24">
        <v>0</v>
      </c>
      <c r="I579" s="24">
        <v>0</v>
      </c>
      <c r="J579" s="25">
        <v>0</v>
      </c>
      <c r="K579" s="24">
        <v>0</v>
      </c>
      <c r="L579" s="24">
        <v>0</v>
      </c>
    </row>
    <row r="580" ht="21.05" customHeight="1" spans="1:12">
      <c r="A580" s="10"/>
      <c r="B580" s="10"/>
      <c r="C580" s="10"/>
      <c r="D580" s="10" t="s">
        <v>673</v>
      </c>
      <c r="E580" s="10" t="s">
        <v>672</v>
      </c>
      <c r="F580" s="10" t="s">
        <v>944</v>
      </c>
      <c r="G580" s="24">
        <v>0</v>
      </c>
      <c r="H580" s="24">
        <v>0</v>
      </c>
      <c r="I580" s="24">
        <v>0</v>
      </c>
      <c r="J580" s="25">
        <v>0</v>
      </c>
      <c r="K580" s="24">
        <v>0</v>
      </c>
      <c r="L580" s="24">
        <v>0</v>
      </c>
    </row>
    <row r="581" ht="21.05" customHeight="1" spans="1:12">
      <c r="A581" s="10"/>
      <c r="B581" s="10"/>
      <c r="C581" s="10"/>
      <c r="D581" s="10"/>
      <c r="E581" s="10"/>
      <c r="F581" s="10" t="s">
        <v>860</v>
      </c>
      <c r="G581" s="24">
        <v>0</v>
      </c>
      <c r="H581" s="24">
        <v>0</v>
      </c>
      <c r="I581" s="24">
        <v>0</v>
      </c>
      <c r="J581" s="25">
        <v>0</v>
      </c>
      <c r="K581" s="24">
        <v>0</v>
      </c>
      <c r="L581" s="24">
        <v>0</v>
      </c>
    </row>
    <row r="582" ht="21.05" customHeight="1" spans="1:12">
      <c r="A582" s="10"/>
      <c r="B582" s="10"/>
      <c r="C582" s="10" t="s">
        <v>945</v>
      </c>
      <c r="D582" s="10" t="s">
        <v>702</v>
      </c>
      <c r="E582" s="10" t="s">
        <v>946</v>
      </c>
      <c r="F582" s="10" t="s">
        <v>944</v>
      </c>
      <c r="G582" s="24">
        <v>0</v>
      </c>
      <c r="H582" s="24">
        <v>0</v>
      </c>
      <c r="I582" s="24">
        <v>0</v>
      </c>
      <c r="J582" s="25">
        <v>0</v>
      </c>
      <c r="K582" s="24">
        <v>0</v>
      </c>
      <c r="L582" s="24">
        <v>0</v>
      </c>
    </row>
    <row r="583" ht="21.05" customHeight="1" spans="1:12">
      <c r="A583" s="10"/>
      <c r="B583" s="10"/>
      <c r="C583" s="10"/>
      <c r="D583" s="10"/>
      <c r="E583" s="10"/>
      <c r="F583" s="10" t="s">
        <v>860</v>
      </c>
      <c r="G583" s="24">
        <v>0</v>
      </c>
      <c r="H583" s="24">
        <v>0</v>
      </c>
      <c r="I583" s="24">
        <v>0</v>
      </c>
      <c r="J583" s="25">
        <v>0</v>
      </c>
      <c r="K583" s="24">
        <v>0</v>
      </c>
      <c r="L583" s="24">
        <v>0</v>
      </c>
    </row>
    <row r="584" ht="21.05" customHeight="1" spans="1:12">
      <c r="A584" s="10"/>
      <c r="B584" s="10"/>
      <c r="C584" s="10"/>
      <c r="D584" s="10" t="s">
        <v>947</v>
      </c>
      <c r="E584" s="10" t="s">
        <v>946</v>
      </c>
      <c r="F584" s="10" t="s">
        <v>860</v>
      </c>
      <c r="G584" s="24">
        <v>0</v>
      </c>
      <c r="H584" s="24">
        <v>0</v>
      </c>
      <c r="I584" s="24">
        <v>0</v>
      </c>
      <c r="J584" s="25">
        <v>0</v>
      </c>
      <c r="K584" s="24">
        <v>0</v>
      </c>
      <c r="L584" s="24">
        <v>0</v>
      </c>
    </row>
    <row r="585" ht="21.05" customHeight="1" spans="1:12">
      <c r="A585" s="10"/>
      <c r="B585" s="10"/>
      <c r="C585" s="10"/>
      <c r="D585" s="10"/>
      <c r="E585" s="10"/>
      <c r="F585" s="10" t="s">
        <v>942</v>
      </c>
      <c r="G585" s="24">
        <v>0</v>
      </c>
      <c r="H585" s="24">
        <v>0</v>
      </c>
      <c r="I585" s="24">
        <v>0</v>
      </c>
      <c r="J585" s="25">
        <v>0</v>
      </c>
      <c r="K585" s="24">
        <v>0</v>
      </c>
      <c r="L585" s="24">
        <v>0</v>
      </c>
    </row>
    <row r="586" ht="21.05" customHeight="1" spans="1:12">
      <c r="A586" s="10"/>
      <c r="B586" s="10"/>
      <c r="C586" s="10"/>
      <c r="D586" s="10" t="s">
        <v>948</v>
      </c>
      <c r="E586" s="10" t="s">
        <v>946</v>
      </c>
      <c r="F586" s="10" t="s">
        <v>860</v>
      </c>
      <c r="G586" s="24">
        <v>0</v>
      </c>
      <c r="H586" s="24">
        <v>0</v>
      </c>
      <c r="I586" s="24">
        <v>0</v>
      </c>
      <c r="J586" s="25">
        <v>0</v>
      </c>
      <c r="K586" s="24">
        <v>0</v>
      </c>
      <c r="L586" s="24">
        <v>0</v>
      </c>
    </row>
    <row r="587" ht="21.05" customHeight="1" spans="1:12">
      <c r="A587" s="10"/>
      <c r="B587" s="10"/>
      <c r="C587" s="10"/>
      <c r="D587" s="10" t="s">
        <v>943</v>
      </c>
      <c r="E587" s="10" t="s">
        <v>946</v>
      </c>
      <c r="F587" s="10" t="s">
        <v>860</v>
      </c>
      <c r="G587" s="24">
        <v>0</v>
      </c>
      <c r="H587" s="24">
        <v>0</v>
      </c>
      <c r="I587" s="24">
        <v>0</v>
      </c>
      <c r="J587" s="25">
        <v>0</v>
      </c>
      <c r="K587" s="24">
        <v>0</v>
      </c>
      <c r="L587" s="24">
        <v>0</v>
      </c>
    </row>
    <row r="588" ht="21.05" customHeight="1" spans="1:12">
      <c r="A588" s="10"/>
      <c r="B588" s="10"/>
      <c r="C588" s="10"/>
      <c r="D588" s="10" t="s">
        <v>707</v>
      </c>
      <c r="E588" s="10" t="s">
        <v>946</v>
      </c>
      <c r="F588" s="10" t="s">
        <v>860</v>
      </c>
      <c r="G588" s="24">
        <v>0</v>
      </c>
      <c r="H588" s="24">
        <v>0</v>
      </c>
      <c r="I588" s="24">
        <v>0</v>
      </c>
      <c r="J588" s="25">
        <v>0</v>
      </c>
      <c r="K588" s="24">
        <v>0</v>
      </c>
      <c r="L588" s="24">
        <v>0</v>
      </c>
    </row>
    <row r="589" ht="21.05" customHeight="1" spans="1:12">
      <c r="A589" s="10"/>
      <c r="B589" s="10"/>
      <c r="C589" s="10"/>
      <c r="D589" s="10"/>
      <c r="E589" s="10"/>
      <c r="F589" s="10" t="s">
        <v>942</v>
      </c>
      <c r="G589" s="24">
        <v>0</v>
      </c>
      <c r="H589" s="24">
        <v>0</v>
      </c>
      <c r="I589" s="24">
        <v>0</v>
      </c>
      <c r="J589" s="25">
        <v>0</v>
      </c>
      <c r="K589" s="24">
        <v>0</v>
      </c>
      <c r="L589" s="24">
        <v>0</v>
      </c>
    </row>
    <row r="590" ht="21.05" customHeight="1" spans="1:12">
      <c r="A590" s="10"/>
      <c r="B590" s="10" t="s">
        <v>674</v>
      </c>
      <c r="C590" s="10" t="s">
        <v>675</v>
      </c>
      <c r="D590" s="10" t="s">
        <v>676</v>
      </c>
      <c r="E590" s="10" t="s">
        <v>672</v>
      </c>
      <c r="F590" s="10" t="s">
        <v>944</v>
      </c>
      <c r="G590" s="24">
        <v>0</v>
      </c>
      <c r="H590" s="24">
        <v>0</v>
      </c>
      <c r="I590" s="24">
        <v>0</v>
      </c>
      <c r="J590" s="25">
        <v>0</v>
      </c>
      <c r="K590" s="24">
        <v>0</v>
      </c>
      <c r="L590" s="24">
        <v>0</v>
      </c>
    </row>
    <row r="591" ht="21.05" customHeight="1" spans="1:12">
      <c r="A591" s="10"/>
      <c r="B591" s="10"/>
      <c r="C591" s="10"/>
      <c r="D591" s="10"/>
      <c r="E591" s="10"/>
      <c r="F591" s="10" t="s">
        <v>860</v>
      </c>
      <c r="G591" s="24">
        <v>0</v>
      </c>
      <c r="H591" s="24">
        <v>0</v>
      </c>
      <c r="I591" s="24">
        <v>0</v>
      </c>
      <c r="J591" s="25">
        <v>0</v>
      </c>
      <c r="K591" s="24">
        <v>0</v>
      </c>
      <c r="L591" s="24">
        <v>0</v>
      </c>
    </row>
    <row r="592" ht="21.05" customHeight="1" spans="1:12">
      <c r="A592" s="10"/>
      <c r="B592" s="10"/>
      <c r="C592" s="10"/>
      <c r="D592" s="10"/>
      <c r="E592" s="10"/>
      <c r="F592" s="10" t="s">
        <v>942</v>
      </c>
      <c r="G592" s="24">
        <v>0</v>
      </c>
      <c r="H592" s="24">
        <v>3.01</v>
      </c>
      <c r="I592" s="24">
        <v>0</v>
      </c>
      <c r="J592" s="25">
        <v>0</v>
      </c>
      <c r="K592" s="24">
        <v>2.7637</v>
      </c>
      <c r="L592" s="24">
        <v>2.7637</v>
      </c>
    </row>
    <row r="593" ht="21.05" customHeight="1" spans="1:12">
      <c r="A593" s="10"/>
      <c r="B593" s="10"/>
      <c r="C593" s="10"/>
      <c r="D593" s="10" t="s">
        <v>944</v>
      </c>
      <c r="E593" s="10" t="s">
        <v>672</v>
      </c>
      <c r="F593" s="10" t="s">
        <v>944</v>
      </c>
      <c r="G593" s="24">
        <v>0</v>
      </c>
      <c r="H593" s="24">
        <v>0</v>
      </c>
      <c r="I593" s="24">
        <v>0</v>
      </c>
      <c r="J593" s="25">
        <v>0</v>
      </c>
      <c r="K593" s="24">
        <v>0</v>
      </c>
      <c r="L593" s="24">
        <v>0</v>
      </c>
    </row>
    <row r="594" ht="21.05" customHeight="1" spans="1:12">
      <c r="A594" s="10"/>
      <c r="B594" s="10"/>
      <c r="C594" s="10"/>
      <c r="D594" s="10" t="s">
        <v>677</v>
      </c>
      <c r="E594" s="10" t="s">
        <v>672</v>
      </c>
      <c r="F594" s="10" t="s">
        <v>860</v>
      </c>
      <c r="G594" s="24">
        <v>0</v>
      </c>
      <c r="H594" s="24">
        <v>0</v>
      </c>
      <c r="I594" s="24">
        <v>0</v>
      </c>
      <c r="J594" s="25">
        <v>0</v>
      </c>
      <c r="K594" s="24">
        <v>0</v>
      </c>
      <c r="L594" s="24">
        <v>0</v>
      </c>
    </row>
    <row r="595" ht="21.05" customHeight="1" spans="1:12">
      <c r="A595" s="10"/>
      <c r="B595" s="10"/>
      <c r="C595" s="10"/>
      <c r="D595" s="10"/>
      <c r="E595" s="10"/>
      <c r="F595" s="10" t="s">
        <v>942</v>
      </c>
      <c r="G595" s="24">
        <v>0</v>
      </c>
      <c r="H595" s="24">
        <v>0.37</v>
      </c>
      <c r="I595" s="24">
        <v>0</v>
      </c>
      <c r="J595" s="25">
        <v>0</v>
      </c>
      <c r="K595" s="24">
        <v>0.0279</v>
      </c>
      <c r="L595" s="24">
        <v>0.0279</v>
      </c>
    </row>
    <row r="596" ht="21.05" customHeight="1" spans="1:12">
      <c r="A596" s="10"/>
      <c r="B596" s="10" t="s">
        <v>190</v>
      </c>
      <c r="C596" s="10" t="s">
        <v>365</v>
      </c>
      <c r="D596" s="10" t="s">
        <v>678</v>
      </c>
      <c r="E596" s="10" t="s">
        <v>672</v>
      </c>
      <c r="F596" s="10" t="s">
        <v>942</v>
      </c>
      <c r="G596" s="24">
        <v>0.5</v>
      </c>
      <c r="H596" s="24">
        <v>20.22</v>
      </c>
      <c r="I596" s="24">
        <v>0.3026</v>
      </c>
      <c r="J596" s="25">
        <v>0.1974</v>
      </c>
      <c r="K596" s="24">
        <v>16.3656</v>
      </c>
      <c r="L596" s="24">
        <v>16.3656</v>
      </c>
    </row>
    <row r="597" ht="21.05" customHeight="1" spans="1:12">
      <c r="A597" s="10"/>
      <c r="B597" s="10"/>
      <c r="C597" s="10" t="s">
        <v>681</v>
      </c>
      <c r="D597" s="10" t="s">
        <v>682</v>
      </c>
      <c r="E597" s="10" t="s">
        <v>672</v>
      </c>
      <c r="F597" s="10" t="s">
        <v>860</v>
      </c>
      <c r="G597" s="24">
        <v>0</v>
      </c>
      <c r="H597" s="24">
        <v>0</v>
      </c>
      <c r="I597" s="24">
        <v>0</v>
      </c>
      <c r="J597" s="25">
        <v>0</v>
      </c>
      <c r="K597" s="24">
        <v>0</v>
      </c>
      <c r="L597" s="24">
        <v>0</v>
      </c>
    </row>
    <row r="598" ht="21.05" customHeight="1" spans="1:12">
      <c r="A598" s="10"/>
      <c r="B598" s="10"/>
      <c r="C598" s="10"/>
      <c r="D598" s="10"/>
      <c r="E598" s="10"/>
      <c r="F598" s="10" t="s">
        <v>942</v>
      </c>
      <c r="G598" s="24">
        <v>140</v>
      </c>
      <c r="H598" s="24">
        <v>4293</v>
      </c>
      <c r="I598" s="24">
        <v>152.7454</v>
      </c>
      <c r="J598" s="25">
        <v>-12.7454</v>
      </c>
      <c r="K598" s="24">
        <v>3923.9344</v>
      </c>
      <c r="L598" s="24">
        <v>3923.9344</v>
      </c>
    </row>
    <row r="599" ht="21.05" customHeight="1" spans="1:12">
      <c r="A599" s="10"/>
      <c r="B599" s="10"/>
      <c r="C599" s="10"/>
      <c r="D599" s="10" t="s">
        <v>685</v>
      </c>
      <c r="E599" s="10" t="s">
        <v>672</v>
      </c>
      <c r="F599" s="10" t="s">
        <v>860</v>
      </c>
      <c r="G599" s="24">
        <v>0</v>
      </c>
      <c r="H599" s="24">
        <v>0</v>
      </c>
      <c r="I599" s="24">
        <v>0</v>
      </c>
      <c r="J599" s="25">
        <v>0</v>
      </c>
      <c r="K599" s="24">
        <v>0</v>
      </c>
      <c r="L599" s="24">
        <v>0</v>
      </c>
    </row>
    <row r="600" ht="21.05" customHeight="1" spans="1:12">
      <c r="A600" s="10"/>
      <c r="B600" s="10"/>
      <c r="C600" s="10"/>
      <c r="D600" s="10"/>
      <c r="E600" s="10"/>
      <c r="F600" s="10" t="s">
        <v>942</v>
      </c>
      <c r="G600" s="24">
        <v>0.5</v>
      </c>
      <c r="H600" s="24">
        <v>37.4</v>
      </c>
      <c r="I600" s="24">
        <v>0.565</v>
      </c>
      <c r="J600" s="25">
        <v>-0.065</v>
      </c>
      <c r="K600" s="24">
        <v>35.4004</v>
      </c>
      <c r="L600" s="24">
        <v>35.4004</v>
      </c>
    </row>
    <row r="601" ht="21.05" customHeight="1" spans="1:12">
      <c r="A601" s="10"/>
      <c r="B601" s="10"/>
      <c r="C601" s="10" t="s">
        <v>687</v>
      </c>
      <c r="D601" s="10" t="s">
        <v>688</v>
      </c>
      <c r="E601" s="10" t="s">
        <v>672</v>
      </c>
      <c r="F601" s="10" t="s">
        <v>942</v>
      </c>
      <c r="G601" s="24">
        <v>0</v>
      </c>
      <c r="H601" s="24">
        <v>0</v>
      </c>
      <c r="I601" s="24">
        <v>0</v>
      </c>
      <c r="J601" s="25">
        <v>0</v>
      </c>
      <c r="K601" s="24">
        <v>0</v>
      </c>
      <c r="L601" s="24">
        <v>0</v>
      </c>
    </row>
    <row r="602" ht="21.05" customHeight="1" spans="1:12">
      <c r="A602" s="10"/>
      <c r="B602" s="10"/>
      <c r="C602" s="10" t="s">
        <v>689</v>
      </c>
      <c r="D602" s="10" t="s">
        <v>690</v>
      </c>
      <c r="E602" s="10" t="s">
        <v>672</v>
      </c>
      <c r="F602" s="10" t="s">
        <v>942</v>
      </c>
      <c r="G602" s="24">
        <v>7</v>
      </c>
      <c r="H602" s="24">
        <v>133.3</v>
      </c>
      <c r="I602" s="24">
        <v>5.8581</v>
      </c>
      <c r="J602" s="25">
        <v>1.1419</v>
      </c>
      <c r="K602" s="24">
        <v>133.6344</v>
      </c>
      <c r="L602" s="24">
        <v>133.6344</v>
      </c>
    </row>
    <row r="603" ht="21.05" customHeight="1" spans="1:12">
      <c r="A603" s="10"/>
      <c r="B603" s="10" t="s">
        <v>692</v>
      </c>
      <c r="C603" s="10" t="s">
        <v>693</v>
      </c>
      <c r="D603" s="10" t="s">
        <v>694</v>
      </c>
      <c r="E603" s="10" t="s">
        <v>672</v>
      </c>
      <c r="F603" s="10" t="s">
        <v>860</v>
      </c>
      <c r="G603" s="24">
        <v>0</v>
      </c>
      <c r="H603" s="24">
        <v>0</v>
      </c>
      <c r="I603" s="24">
        <v>0</v>
      </c>
      <c r="J603" s="25">
        <v>0</v>
      </c>
      <c r="K603" s="24">
        <v>0</v>
      </c>
      <c r="L603" s="24">
        <v>0</v>
      </c>
    </row>
    <row r="604" ht="21.05" customHeight="1" spans="1:12">
      <c r="A604" s="10"/>
      <c r="B604" s="10"/>
      <c r="C604" s="10"/>
      <c r="D604" s="10"/>
      <c r="E604" s="10"/>
      <c r="F604" s="10" t="s">
        <v>949</v>
      </c>
      <c r="G604" s="24">
        <v>0</v>
      </c>
      <c r="H604" s="24">
        <v>0</v>
      </c>
      <c r="I604" s="24">
        <v>0</v>
      </c>
      <c r="J604" s="25">
        <v>0</v>
      </c>
      <c r="K604" s="24">
        <v>0</v>
      </c>
      <c r="L604" s="24">
        <v>0</v>
      </c>
    </row>
    <row r="605" ht="21.05" customHeight="1" spans="1:12">
      <c r="A605" s="10"/>
      <c r="B605" s="10"/>
      <c r="C605" s="10"/>
      <c r="D605" s="10"/>
      <c r="E605" s="10"/>
      <c r="F605" s="10" t="s">
        <v>942</v>
      </c>
      <c r="G605" s="24">
        <v>0</v>
      </c>
      <c r="H605" s="24">
        <v>0</v>
      </c>
      <c r="I605" s="24">
        <v>0</v>
      </c>
      <c r="J605" s="25">
        <v>0</v>
      </c>
      <c r="K605" s="24">
        <v>0</v>
      </c>
      <c r="L605" s="24">
        <v>0</v>
      </c>
    </row>
    <row r="606" ht="21.05" customHeight="1" spans="1:12">
      <c r="A606" s="10"/>
      <c r="B606" s="10"/>
      <c r="C606" s="10"/>
      <c r="D606" s="10" t="s">
        <v>695</v>
      </c>
      <c r="E606" s="10" t="s">
        <v>672</v>
      </c>
      <c r="F606" s="10" t="s">
        <v>942</v>
      </c>
      <c r="G606" s="24">
        <v>0</v>
      </c>
      <c r="H606" s="24">
        <v>73</v>
      </c>
      <c r="I606" s="24">
        <v>0</v>
      </c>
      <c r="J606" s="25">
        <v>0</v>
      </c>
      <c r="K606" s="24">
        <v>53.9632</v>
      </c>
      <c r="L606" s="24">
        <v>53.9632</v>
      </c>
    </row>
    <row r="607" ht="21.05" customHeight="1" spans="1:12">
      <c r="A607" s="10"/>
      <c r="B607" s="10"/>
      <c r="C607" s="10"/>
      <c r="D607" s="10" t="s">
        <v>696</v>
      </c>
      <c r="E607" s="10" t="s">
        <v>672</v>
      </c>
      <c r="F607" s="10" t="s">
        <v>860</v>
      </c>
      <c r="G607" s="24">
        <v>0</v>
      </c>
      <c r="H607" s="24">
        <v>0</v>
      </c>
      <c r="I607" s="24">
        <v>0</v>
      </c>
      <c r="J607" s="25">
        <v>0</v>
      </c>
      <c r="K607" s="24">
        <v>0</v>
      </c>
      <c r="L607" s="24">
        <v>0</v>
      </c>
    </row>
    <row r="608" ht="21.05" customHeight="1" spans="1:12">
      <c r="A608" s="10"/>
      <c r="B608" s="10"/>
      <c r="C608" s="10"/>
      <c r="D608" s="10"/>
      <c r="E608" s="10"/>
      <c r="F608" s="10" t="s">
        <v>942</v>
      </c>
      <c r="G608" s="24">
        <v>0</v>
      </c>
      <c r="H608" s="24">
        <v>0</v>
      </c>
      <c r="I608" s="24">
        <v>0</v>
      </c>
      <c r="J608" s="25">
        <v>0</v>
      </c>
      <c r="K608" s="24">
        <v>0</v>
      </c>
      <c r="L608" s="24">
        <v>0</v>
      </c>
    </row>
    <row r="609" ht="21.05" customHeight="1" spans="1:12">
      <c r="A609" s="10"/>
      <c r="B609" s="10"/>
      <c r="C609" s="10"/>
      <c r="D609" s="10" t="s">
        <v>697</v>
      </c>
      <c r="E609" s="10" t="s">
        <v>672</v>
      </c>
      <c r="F609" s="10" t="s">
        <v>860</v>
      </c>
      <c r="G609" s="24">
        <v>0</v>
      </c>
      <c r="H609" s="24">
        <v>0</v>
      </c>
      <c r="I609" s="24">
        <v>0</v>
      </c>
      <c r="J609" s="25">
        <v>0</v>
      </c>
      <c r="K609" s="24">
        <v>0</v>
      </c>
      <c r="L609" s="24">
        <v>0</v>
      </c>
    </row>
    <row r="610" ht="21.05" customHeight="1" spans="1:12">
      <c r="A610" s="10"/>
      <c r="B610" s="10"/>
      <c r="C610" s="10"/>
      <c r="D610" s="10"/>
      <c r="E610" s="10"/>
      <c r="F610" s="10" t="s">
        <v>942</v>
      </c>
      <c r="G610" s="24">
        <v>0</v>
      </c>
      <c r="H610" s="24">
        <v>23.65</v>
      </c>
      <c r="I610" s="24">
        <v>0</v>
      </c>
      <c r="J610" s="25">
        <v>0</v>
      </c>
      <c r="K610" s="24">
        <v>26.176</v>
      </c>
      <c r="L610" s="24">
        <v>26.176</v>
      </c>
    </row>
    <row r="611" ht="21.05" customHeight="1" spans="1:12">
      <c r="A611" s="10"/>
      <c r="B611" s="10"/>
      <c r="C611" s="10" t="s">
        <v>950</v>
      </c>
      <c r="D611" s="10" t="s">
        <v>951</v>
      </c>
      <c r="E611" s="10" t="s">
        <v>672</v>
      </c>
      <c r="F611" s="10" t="s">
        <v>860</v>
      </c>
      <c r="G611" s="24">
        <v>0</v>
      </c>
      <c r="H611" s="24">
        <v>0</v>
      </c>
      <c r="I611" s="24">
        <v>0</v>
      </c>
      <c r="J611" s="25">
        <v>0</v>
      </c>
      <c r="K611" s="24">
        <v>0</v>
      </c>
      <c r="L611" s="24">
        <v>0</v>
      </c>
    </row>
    <row r="612" ht="25.6" customHeight="1" spans="1:12">
      <c r="A612" s="10"/>
      <c r="B612" s="10" t="s">
        <v>698</v>
      </c>
      <c r="C612" s="10" t="s">
        <v>699</v>
      </c>
      <c r="D612" s="10" t="s">
        <v>700</v>
      </c>
      <c r="E612" s="10" t="s">
        <v>672</v>
      </c>
      <c r="F612" s="10" t="s">
        <v>860</v>
      </c>
      <c r="G612" s="24">
        <v>0</v>
      </c>
      <c r="H612" s="24">
        <v>0</v>
      </c>
      <c r="I612" s="24">
        <v>0</v>
      </c>
      <c r="J612" s="25">
        <v>0</v>
      </c>
      <c r="K612" s="24">
        <v>0</v>
      </c>
      <c r="L612" s="24">
        <v>0</v>
      </c>
    </row>
    <row r="613" ht="21.05" customHeight="1" spans="1:12">
      <c r="A613" s="10"/>
      <c r="B613" s="10"/>
      <c r="C613" s="10"/>
      <c r="D613" s="10" t="s">
        <v>952</v>
      </c>
      <c r="E613" s="10" t="s">
        <v>672</v>
      </c>
      <c r="F613" s="10" t="s">
        <v>860</v>
      </c>
      <c r="G613" s="24">
        <v>0</v>
      </c>
      <c r="H613" s="24">
        <v>0</v>
      </c>
      <c r="I613" s="24">
        <v>0</v>
      </c>
      <c r="J613" s="25">
        <v>0</v>
      </c>
      <c r="K613" s="24">
        <v>0</v>
      </c>
      <c r="L613" s="24">
        <v>0</v>
      </c>
    </row>
    <row r="614" ht="21.05" customHeight="1" spans="1:12">
      <c r="A614" s="10"/>
      <c r="B614" s="10"/>
      <c r="C614" s="10" t="s">
        <v>701</v>
      </c>
      <c r="D614" s="10" t="s">
        <v>702</v>
      </c>
      <c r="E614" s="10" t="s">
        <v>672</v>
      </c>
      <c r="F614" s="10" t="s">
        <v>944</v>
      </c>
      <c r="G614" s="24">
        <v>0</v>
      </c>
      <c r="H614" s="24">
        <v>0</v>
      </c>
      <c r="I614" s="24">
        <v>0</v>
      </c>
      <c r="J614" s="25">
        <v>0</v>
      </c>
      <c r="K614" s="24">
        <v>0</v>
      </c>
      <c r="L614" s="24">
        <v>0</v>
      </c>
    </row>
    <row r="615" ht="21.05" customHeight="1" spans="1:12">
      <c r="A615" s="10"/>
      <c r="B615" s="10"/>
      <c r="C615" s="10"/>
      <c r="D615" s="10"/>
      <c r="E615" s="10"/>
      <c r="F615" s="10" t="s">
        <v>942</v>
      </c>
      <c r="G615" s="24">
        <v>8</v>
      </c>
      <c r="H615" s="24">
        <v>291</v>
      </c>
      <c r="I615" s="24">
        <v>5.7019</v>
      </c>
      <c r="J615" s="25">
        <v>2.2981</v>
      </c>
      <c r="K615" s="24">
        <v>300.1687</v>
      </c>
      <c r="L615" s="24">
        <v>300.1687</v>
      </c>
    </row>
    <row r="616" ht="21.05" customHeight="1" spans="1:12">
      <c r="A616" s="10"/>
      <c r="B616" s="10"/>
      <c r="C616" s="10"/>
      <c r="D616" s="10" t="s">
        <v>947</v>
      </c>
      <c r="E616" s="10" t="s">
        <v>672</v>
      </c>
      <c r="F616" s="10" t="s">
        <v>942</v>
      </c>
      <c r="G616" s="24">
        <v>0</v>
      </c>
      <c r="H616" s="24">
        <v>0</v>
      </c>
      <c r="I616" s="24">
        <v>0</v>
      </c>
      <c r="J616" s="25">
        <v>0</v>
      </c>
      <c r="K616" s="24">
        <v>0</v>
      </c>
      <c r="L616" s="24">
        <v>0</v>
      </c>
    </row>
    <row r="617" ht="21.05" customHeight="1" spans="1:12">
      <c r="A617" s="10"/>
      <c r="B617" s="10"/>
      <c r="C617" s="10"/>
      <c r="D617" s="10" t="s">
        <v>704</v>
      </c>
      <c r="E617" s="10" t="s">
        <v>672</v>
      </c>
      <c r="F617" s="10" t="s">
        <v>942</v>
      </c>
      <c r="G617" s="24">
        <v>110</v>
      </c>
      <c r="H617" s="24">
        <v>3460</v>
      </c>
      <c r="I617" s="24">
        <v>111.2599</v>
      </c>
      <c r="J617" s="25">
        <v>-1.2599</v>
      </c>
      <c r="K617" s="24">
        <v>3346.5767</v>
      </c>
      <c r="L617" s="24">
        <v>3346.5767</v>
      </c>
    </row>
    <row r="618" ht="21.05" customHeight="1" spans="1:12">
      <c r="A618" s="10"/>
      <c r="B618" s="10"/>
      <c r="C618" s="10"/>
      <c r="D618" s="10" t="s">
        <v>707</v>
      </c>
      <c r="E618" s="10" t="s">
        <v>672</v>
      </c>
      <c r="F618" s="10" t="s">
        <v>942</v>
      </c>
      <c r="G618" s="24">
        <v>30</v>
      </c>
      <c r="H618" s="24">
        <v>1682</v>
      </c>
      <c r="I618" s="24">
        <v>22.0398</v>
      </c>
      <c r="J618" s="25">
        <v>7.9602</v>
      </c>
      <c r="K618" s="24">
        <v>1599.313</v>
      </c>
      <c r="L618" s="24">
        <v>1599.313</v>
      </c>
    </row>
    <row r="619" ht="25.6" customHeight="1" spans="1:12">
      <c r="A619" s="10"/>
      <c r="B619" s="10" t="s">
        <v>709</v>
      </c>
      <c r="C619" s="10" t="s">
        <v>710</v>
      </c>
      <c r="D619" s="10" t="s">
        <v>953</v>
      </c>
      <c r="E619" s="10" t="s">
        <v>672</v>
      </c>
      <c r="F619" s="10" t="s">
        <v>860</v>
      </c>
      <c r="G619" s="24">
        <v>0</v>
      </c>
      <c r="H619" s="24">
        <v>0</v>
      </c>
      <c r="I619" s="24">
        <v>0</v>
      </c>
      <c r="J619" s="25">
        <v>0</v>
      </c>
      <c r="K619" s="24">
        <v>0</v>
      </c>
      <c r="L619" s="24">
        <v>0</v>
      </c>
    </row>
    <row r="620" ht="21.05" customHeight="1" spans="1:12">
      <c r="A620" s="10"/>
      <c r="B620" s="10"/>
      <c r="C620" s="10"/>
      <c r="D620" s="10" t="s">
        <v>711</v>
      </c>
      <c r="E620" s="10" t="s">
        <v>672</v>
      </c>
      <c r="F620" s="10" t="s">
        <v>860</v>
      </c>
      <c r="G620" s="24">
        <v>0</v>
      </c>
      <c r="H620" s="24">
        <v>0</v>
      </c>
      <c r="I620" s="24">
        <v>0</v>
      </c>
      <c r="J620" s="25">
        <v>0</v>
      </c>
      <c r="K620" s="24">
        <v>0</v>
      </c>
      <c r="L620" s="24">
        <v>0</v>
      </c>
    </row>
    <row r="621" ht="21.05" customHeight="1" spans="1:12">
      <c r="A621" s="10"/>
      <c r="B621" s="10"/>
      <c r="C621" s="10"/>
      <c r="D621" s="10"/>
      <c r="E621" s="10"/>
      <c r="F621" s="10" t="s">
        <v>942</v>
      </c>
      <c r="G621" s="24">
        <v>0.3</v>
      </c>
      <c r="H621" s="24">
        <v>51.09</v>
      </c>
      <c r="I621" s="24">
        <v>0.202</v>
      </c>
      <c r="J621" s="25">
        <v>0.098</v>
      </c>
      <c r="K621" s="24">
        <v>48.7751</v>
      </c>
      <c r="L621" s="24">
        <v>48.7751</v>
      </c>
    </row>
    <row r="622" ht="21.05" customHeight="1" spans="1:12">
      <c r="A622" s="10"/>
      <c r="B622" s="10"/>
      <c r="C622" s="10"/>
      <c r="D622" s="10" t="s">
        <v>714</v>
      </c>
      <c r="E622" s="10" t="s">
        <v>672</v>
      </c>
      <c r="F622" s="10" t="s">
        <v>944</v>
      </c>
      <c r="G622" s="24">
        <v>0</v>
      </c>
      <c r="H622" s="24">
        <v>0</v>
      </c>
      <c r="I622" s="24">
        <v>0</v>
      </c>
      <c r="J622" s="25">
        <v>0</v>
      </c>
      <c r="K622" s="24">
        <v>0</v>
      </c>
      <c r="L622" s="24">
        <v>0</v>
      </c>
    </row>
    <row r="623" ht="21.05" customHeight="1" spans="1:12">
      <c r="A623" s="10"/>
      <c r="B623" s="10"/>
      <c r="C623" s="10"/>
      <c r="D623" s="10"/>
      <c r="E623" s="10"/>
      <c r="F623" s="10" t="s">
        <v>860</v>
      </c>
      <c r="G623" s="24">
        <v>0</v>
      </c>
      <c r="H623" s="24">
        <v>0</v>
      </c>
      <c r="I623" s="24">
        <v>0</v>
      </c>
      <c r="J623" s="25">
        <v>0</v>
      </c>
      <c r="K623" s="24">
        <v>0</v>
      </c>
      <c r="L623" s="24">
        <v>0</v>
      </c>
    </row>
    <row r="624" ht="21.05" customHeight="1" spans="1:12">
      <c r="A624" s="10"/>
      <c r="B624" s="10"/>
      <c r="C624" s="10"/>
      <c r="D624" s="10"/>
      <c r="E624" s="10"/>
      <c r="F624" s="10" t="s">
        <v>942</v>
      </c>
      <c r="G624" s="24">
        <v>27</v>
      </c>
      <c r="H624" s="24">
        <v>733</v>
      </c>
      <c r="I624" s="24">
        <v>24.3369</v>
      </c>
      <c r="J624" s="25">
        <v>2.6631</v>
      </c>
      <c r="K624" s="24">
        <v>722.6296</v>
      </c>
      <c r="L624" s="24">
        <v>722.6296</v>
      </c>
    </row>
    <row r="625" ht="21.05" customHeight="1" spans="1:12">
      <c r="A625" s="10"/>
      <c r="B625" s="10"/>
      <c r="C625" s="10"/>
      <c r="D625" s="10" t="s">
        <v>717</v>
      </c>
      <c r="E625" s="10" t="s">
        <v>672</v>
      </c>
      <c r="F625" s="10" t="s">
        <v>860</v>
      </c>
      <c r="G625" s="24">
        <v>0</v>
      </c>
      <c r="H625" s="24">
        <v>0</v>
      </c>
      <c r="I625" s="24">
        <v>0</v>
      </c>
      <c r="J625" s="25">
        <v>0</v>
      </c>
      <c r="K625" s="24">
        <v>0</v>
      </c>
      <c r="L625" s="24">
        <v>0</v>
      </c>
    </row>
    <row r="626" ht="21.05" customHeight="1" spans="1:12">
      <c r="A626" s="10"/>
      <c r="B626" s="10"/>
      <c r="C626" s="10"/>
      <c r="D626" s="10"/>
      <c r="E626" s="10"/>
      <c r="F626" s="10" t="s">
        <v>942</v>
      </c>
      <c r="G626" s="24">
        <v>1.1</v>
      </c>
      <c r="H626" s="24">
        <v>34.16</v>
      </c>
      <c r="I626" s="24">
        <v>1.0934</v>
      </c>
      <c r="J626" s="25">
        <v>0.0066</v>
      </c>
      <c r="K626" s="24">
        <v>33.8931</v>
      </c>
      <c r="L626" s="24">
        <v>33.8931</v>
      </c>
    </row>
    <row r="627" ht="21.05" customHeight="1" spans="1:12">
      <c r="A627" s="10"/>
      <c r="B627" s="10"/>
      <c r="C627" s="10"/>
      <c r="D627" s="10"/>
      <c r="E627" s="10"/>
      <c r="F627" s="10" t="s">
        <v>944</v>
      </c>
      <c r="G627" s="24">
        <v>0</v>
      </c>
      <c r="H627" s="24">
        <v>0</v>
      </c>
      <c r="I627" s="24">
        <v>0</v>
      </c>
      <c r="J627" s="25">
        <v>0</v>
      </c>
      <c r="K627" s="24">
        <v>0</v>
      </c>
      <c r="L627" s="24">
        <v>0</v>
      </c>
    </row>
    <row r="628" ht="21.05" customHeight="1" spans="1:12">
      <c r="A628" s="10"/>
      <c r="B628" s="10"/>
      <c r="C628" s="10" t="s">
        <v>719</v>
      </c>
      <c r="D628" s="10" t="s">
        <v>720</v>
      </c>
      <c r="E628" s="10" t="s">
        <v>672</v>
      </c>
      <c r="F628" s="10" t="s">
        <v>944</v>
      </c>
      <c r="G628" s="24">
        <v>0</v>
      </c>
      <c r="H628" s="24">
        <v>0</v>
      </c>
      <c r="I628" s="24">
        <v>0</v>
      </c>
      <c r="J628" s="25">
        <v>0</v>
      </c>
      <c r="K628" s="24">
        <v>0</v>
      </c>
      <c r="L628" s="24">
        <v>0</v>
      </c>
    </row>
    <row r="629" ht="21.05" customHeight="1" spans="1:12">
      <c r="A629" s="10"/>
      <c r="B629" s="10"/>
      <c r="C629" s="10"/>
      <c r="D629" s="10"/>
      <c r="E629" s="10"/>
      <c r="F629" s="10" t="s">
        <v>860</v>
      </c>
      <c r="G629" s="24">
        <v>0</v>
      </c>
      <c r="H629" s="24">
        <v>0</v>
      </c>
      <c r="I629" s="24">
        <v>0</v>
      </c>
      <c r="J629" s="25">
        <v>0</v>
      </c>
      <c r="K629" s="24">
        <v>0</v>
      </c>
      <c r="L629" s="24">
        <v>0</v>
      </c>
    </row>
    <row r="630" ht="21.05" customHeight="1" spans="1:12">
      <c r="A630" s="10"/>
      <c r="B630" s="10"/>
      <c r="C630" s="10"/>
      <c r="D630" s="10"/>
      <c r="E630" s="10"/>
      <c r="F630" s="10" t="s">
        <v>942</v>
      </c>
      <c r="G630" s="24">
        <v>0</v>
      </c>
      <c r="H630" s="24">
        <v>0</v>
      </c>
      <c r="I630" s="24">
        <v>0</v>
      </c>
      <c r="J630" s="25">
        <v>0</v>
      </c>
      <c r="K630" s="24">
        <v>0</v>
      </c>
      <c r="L630" s="24">
        <v>0</v>
      </c>
    </row>
    <row r="631" ht="21.05" customHeight="1" spans="1:12">
      <c r="A631" s="10"/>
      <c r="B631" s="10"/>
      <c r="C631" s="10"/>
      <c r="D631" s="10" t="s">
        <v>721</v>
      </c>
      <c r="E631" s="10" t="s">
        <v>672</v>
      </c>
      <c r="F631" s="10" t="s">
        <v>860</v>
      </c>
      <c r="G631" s="24">
        <v>0</v>
      </c>
      <c r="H631" s="24">
        <v>0</v>
      </c>
      <c r="I631" s="24">
        <v>0</v>
      </c>
      <c r="J631" s="25">
        <v>0</v>
      </c>
      <c r="K631" s="24">
        <v>0</v>
      </c>
      <c r="L631" s="24">
        <v>0</v>
      </c>
    </row>
    <row r="632" ht="21.05" customHeight="1" spans="1:12">
      <c r="A632" s="10"/>
      <c r="B632" s="10"/>
      <c r="C632" s="10"/>
      <c r="D632" s="10"/>
      <c r="E632" s="10"/>
      <c r="F632" s="10" t="s">
        <v>942</v>
      </c>
      <c r="G632" s="24">
        <v>3</v>
      </c>
      <c r="H632" s="24">
        <v>68.2</v>
      </c>
      <c r="I632" s="24">
        <v>2.0273</v>
      </c>
      <c r="J632" s="25">
        <v>0.9727</v>
      </c>
      <c r="K632" s="24">
        <v>68.2462</v>
      </c>
      <c r="L632" s="24">
        <v>68.2462</v>
      </c>
    </row>
    <row r="633" ht="21.05" customHeight="1" spans="1:12">
      <c r="A633" s="10"/>
      <c r="B633" s="10"/>
      <c r="C633" s="10"/>
      <c r="D633" s="10" t="s">
        <v>723</v>
      </c>
      <c r="E633" s="10" t="s">
        <v>672</v>
      </c>
      <c r="F633" s="10" t="s">
        <v>860</v>
      </c>
      <c r="G633" s="24">
        <v>0</v>
      </c>
      <c r="H633" s="24">
        <v>0</v>
      </c>
      <c r="I633" s="24">
        <v>0</v>
      </c>
      <c r="J633" s="25">
        <v>0</v>
      </c>
      <c r="K633" s="24">
        <v>0</v>
      </c>
      <c r="L633" s="24">
        <v>0</v>
      </c>
    </row>
    <row r="634" ht="21.05" customHeight="1" spans="1:12">
      <c r="A634" s="10"/>
      <c r="B634" s="10"/>
      <c r="C634" s="10"/>
      <c r="D634" s="10"/>
      <c r="E634" s="10"/>
      <c r="F634" s="10" t="s">
        <v>723</v>
      </c>
      <c r="G634" s="24">
        <v>0</v>
      </c>
      <c r="H634" s="24">
        <v>0</v>
      </c>
      <c r="I634" s="24">
        <v>0</v>
      </c>
      <c r="J634" s="25">
        <v>0</v>
      </c>
      <c r="K634" s="24">
        <v>0</v>
      </c>
      <c r="L634" s="24">
        <v>0</v>
      </c>
    </row>
    <row r="635" ht="21.05" customHeight="1" spans="1:12">
      <c r="A635" s="10"/>
      <c r="B635" s="10"/>
      <c r="C635" s="10"/>
      <c r="D635" s="10"/>
      <c r="E635" s="10"/>
      <c r="F635" s="10" t="s">
        <v>942</v>
      </c>
      <c r="G635" s="24">
        <v>0</v>
      </c>
      <c r="H635" s="24">
        <v>0</v>
      </c>
      <c r="I635" s="24">
        <v>0</v>
      </c>
      <c r="J635" s="25">
        <v>0</v>
      </c>
      <c r="K635" s="24">
        <v>0</v>
      </c>
      <c r="L635" s="24">
        <v>0</v>
      </c>
    </row>
    <row r="636" ht="21.05" customHeight="1" spans="1:12">
      <c r="A636" s="10"/>
      <c r="B636" s="10"/>
      <c r="C636" s="10" t="s">
        <v>724</v>
      </c>
      <c r="D636" s="10" t="s">
        <v>725</v>
      </c>
      <c r="E636" s="10" t="s">
        <v>672</v>
      </c>
      <c r="F636" s="10" t="s">
        <v>944</v>
      </c>
      <c r="G636" s="24">
        <v>0</v>
      </c>
      <c r="H636" s="24">
        <v>0</v>
      </c>
      <c r="I636" s="24">
        <v>0</v>
      </c>
      <c r="J636" s="25">
        <v>0</v>
      </c>
      <c r="K636" s="24">
        <v>0</v>
      </c>
      <c r="L636" s="24">
        <v>0</v>
      </c>
    </row>
    <row r="637" ht="21.05" customHeight="1" spans="1:12">
      <c r="A637" s="10"/>
      <c r="B637" s="10"/>
      <c r="C637" s="10"/>
      <c r="D637" s="10"/>
      <c r="E637" s="10"/>
      <c r="F637" s="10" t="s">
        <v>860</v>
      </c>
      <c r="G637" s="24">
        <v>0</v>
      </c>
      <c r="H637" s="24">
        <v>0</v>
      </c>
      <c r="I637" s="24">
        <v>0</v>
      </c>
      <c r="J637" s="25">
        <v>0</v>
      </c>
      <c r="K637" s="24">
        <v>0</v>
      </c>
      <c r="L637" s="24">
        <v>0</v>
      </c>
    </row>
    <row r="638" ht="21.05" customHeight="1" spans="1:12">
      <c r="A638" s="10"/>
      <c r="B638" s="10"/>
      <c r="C638" s="10"/>
      <c r="D638" s="10"/>
      <c r="E638" s="10"/>
      <c r="F638" s="10" t="s">
        <v>942</v>
      </c>
      <c r="G638" s="24">
        <v>0.8</v>
      </c>
      <c r="H638" s="24">
        <v>1.46</v>
      </c>
      <c r="I638" s="24">
        <v>0.7989</v>
      </c>
      <c r="J638" s="25">
        <v>0.0011</v>
      </c>
      <c r="K638" s="24">
        <v>1.4462</v>
      </c>
      <c r="L638" s="24">
        <v>1.4462</v>
      </c>
    </row>
    <row r="639" ht="21.05" customHeight="1" spans="1:12">
      <c r="A639" s="10"/>
      <c r="B639" s="10"/>
      <c r="C639" s="10"/>
      <c r="D639" s="10" t="s">
        <v>954</v>
      </c>
      <c r="E639" s="10" t="s">
        <v>672</v>
      </c>
      <c r="F639" s="10" t="s">
        <v>860</v>
      </c>
      <c r="G639" s="24">
        <v>0</v>
      </c>
      <c r="H639" s="24">
        <v>0</v>
      </c>
      <c r="I639" s="24">
        <v>0</v>
      </c>
      <c r="J639" s="25">
        <v>0</v>
      </c>
      <c r="K639" s="24">
        <v>0</v>
      </c>
      <c r="L639" s="24">
        <v>0</v>
      </c>
    </row>
    <row r="640" ht="21.05" customHeight="1" spans="1:12">
      <c r="A640" s="10"/>
      <c r="B640" s="10"/>
      <c r="C640" s="10" t="s">
        <v>726</v>
      </c>
      <c r="D640" s="10" t="s">
        <v>727</v>
      </c>
      <c r="E640" s="10" t="s">
        <v>672</v>
      </c>
      <c r="F640" s="10" t="s">
        <v>944</v>
      </c>
      <c r="G640" s="24">
        <v>0</v>
      </c>
      <c r="H640" s="24">
        <v>0</v>
      </c>
      <c r="I640" s="24">
        <v>0</v>
      </c>
      <c r="J640" s="25">
        <v>0</v>
      </c>
      <c r="K640" s="24">
        <v>0</v>
      </c>
      <c r="L640" s="24">
        <v>0</v>
      </c>
    </row>
    <row r="641" ht="21.05" customHeight="1" spans="1:12">
      <c r="A641" s="10"/>
      <c r="B641" s="10"/>
      <c r="C641" s="10"/>
      <c r="D641" s="10"/>
      <c r="E641" s="10"/>
      <c r="F641" s="10" t="s">
        <v>860</v>
      </c>
      <c r="G641" s="24">
        <v>0</v>
      </c>
      <c r="H641" s="24">
        <v>0</v>
      </c>
      <c r="I641" s="24">
        <v>0</v>
      </c>
      <c r="J641" s="25">
        <v>0</v>
      </c>
      <c r="K641" s="24">
        <v>0</v>
      </c>
      <c r="L641" s="24">
        <v>0</v>
      </c>
    </row>
    <row r="642" ht="21.05" customHeight="1" spans="1:12">
      <c r="A642" s="10"/>
      <c r="B642" s="10"/>
      <c r="C642" s="10"/>
      <c r="D642" s="10"/>
      <c r="E642" s="10"/>
      <c r="F642" s="10" t="s">
        <v>942</v>
      </c>
      <c r="G642" s="24">
        <v>0.07</v>
      </c>
      <c r="H642" s="24">
        <v>2.36</v>
      </c>
      <c r="I642" s="24">
        <v>0.0693</v>
      </c>
      <c r="J642" s="25">
        <v>0.0007</v>
      </c>
      <c r="K642" s="24">
        <v>2.1418</v>
      </c>
      <c r="L642" s="24">
        <v>2.1418</v>
      </c>
    </row>
    <row r="643" ht="25.6" customHeight="1" spans="1:12">
      <c r="A643" s="10"/>
      <c r="B643" s="10"/>
      <c r="C643" s="10"/>
      <c r="D643" s="10" t="s">
        <v>955</v>
      </c>
      <c r="E643" s="10" t="s">
        <v>672</v>
      </c>
      <c r="F643" s="10" t="s">
        <v>860</v>
      </c>
      <c r="G643" s="24">
        <v>0</v>
      </c>
      <c r="H643" s="24">
        <v>0</v>
      </c>
      <c r="I643" s="24">
        <v>0</v>
      </c>
      <c r="J643" s="25">
        <v>0</v>
      </c>
      <c r="K643" s="24">
        <v>0</v>
      </c>
      <c r="L643" s="24">
        <v>0</v>
      </c>
    </row>
    <row r="644" ht="21.05" customHeight="1" spans="1:12">
      <c r="A644" s="10"/>
      <c r="B644" s="10" t="s">
        <v>189</v>
      </c>
      <c r="C644" s="10" t="s">
        <v>729</v>
      </c>
      <c r="D644" s="10" t="s">
        <v>730</v>
      </c>
      <c r="E644" s="10" t="s">
        <v>672</v>
      </c>
      <c r="F644" s="10" t="s">
        <v>944</v>
      </c>
      <c r="G644" s="24">
        <v>0</v>
      </c>
      <c r="H644" s="24">
        <v>0</v>
      </c>
      <c r="I644" s="24">
        <v>0</v>
      </c>
      <c r="J644" s="25">
        <v>0</v>
      </c>
      <c r="K644" s="24">
        <v>0</v>
      </c>
      <c r="L644" s="24">
        <v>0</v>
      </c>
    </row>
    <row r="645" ht="21.05" customHeight="1" spans="1:12">
      <c r="A645" s="10"/>
      <c r="B645" s="10"/>
      <c r="C645" s="10"/>
      <c r="D645" s="10"/>
      <c r="E645" s="10"/>
      <c r="F645" s="10" t="s">
        <v>860</v>
      </c>
      <c r="G645" s="24">
        <v>0</v>
      </c>
      <c r="H645" s="24">
        <v>0</v>
      </c>
      <c r="I645" s="24">
        <v>0</v>
      </c>
      <c r="J645" s="25">
        <v>0</v>
      </c>
      <c r="K645" s="24">
        <v>0</v>
      </c>
      <c r="L645" s="24">
        <v>0</v>
      </c>
    </row>
    <row r="646" ht="21.05" customHeight="1" spans="1:12">
      <c r="A646" s="10"/>
      <c r="B646" s="10"/>
      <c r="C646" s="10"/>
      <c r="D646" s="10"/>
      <c r="E646" s="10"/>
      <c r="F646" s="10" t="s">
        <v>942</v>
      </c>
      <c r="G646" s="24">
        <v>0.1</v>
      </c>
      <c r="H646" s="24">
        <v>71.5</v>
      </c>
      <c r="I646" s="24">
        <v>0.0139</v>
      </c>
      <c r="J646" s="25">
        <v>0.0861</v>
      </c>
      <c r="K646" s="24">
        <v>69.5432</v>
      </c>
      <c r="L646" s="24">
        <v>69.5432</v>
      </c>
    </row>
    <row r="647" ht="21.05" customHeight="1" spans="1:12">
      <c r="A647" s="10"/>
      <c r="B647" s="10"/>
      <c r="C647" s="10"/>
      <c r="D647" s="10" t="s">
        <v>732</v>
      </c>
      <c r="E647" s="10" t="s">
        <v>672</v>
      </c>
      <c r="F647" s="10" t="s">
        <v>860</v>
      </c>
      <c r="G647" s="24">
        <v>0</v>
      </c>
      <c r="H647" s="24">
        <v>0</v>
      </c>
      <c r="I647" s="24">
        <v>0</v>
      </c>
      <c r="J647" s="25">
        <v>0</v>
      </c>
      <c r="K647" s="24">
        <v>0</v>
      </c>
      <c r="L647" s="24">
        <v>0</v>
      </c>
    </row>
    <row r="648" ht="21.05" customHeight="1" spans="1:12">
      <c r="A648" s="10"/>
      <c r="B648" s="10"/>
      <c r="C648" s="10"/>
      <c r="D648" s="10"/>
      <c r="E648" s="10"/>
      <c r="F648" s="10" t="s">
        <v>942</v>
      </c>
      <c r="G648" s="24">
        <v>133</v>
      </c>
      <c r="H648" s="24">
        <v>3232</v>
      </c>
      <c r="I648" s="24">
        <v>140.1696</v>
      </c>
      <c r="J648" s="25">
        <v>-7.1696</v>
      </c>
      <c r="K648" s="24">
        <v>3212.2864</v>
      </c>
      <c r="L648" s="24">
        <v>3212.2864</v>
      </c>
    </row>
    <row r="649" ht="21.05" customHeight="1" spans="1:12">
      <c r="A649" s="10"/>
      <c r="B649" s="10" t="s">
        <v>192</v>
      </c>
      <c r="C649" s="10" t="s">
        <v>734</v>
      </c>
      <c r="D649" s="10" t="s">
        <v>735</v>
      </c>
      <c r="E649" s="10" t="s">
        <v>672</v>
      </c>
      <c r="F649" s="10" t="s">
        <v>860</v>
      </c>
      <c r="G649" s="24">
        <v>0</v>
      </c>
      <c r="H649" s="24">
        <v>0</v>
      </c>
      <c r="I649" s="24">
        <v>0</v>
      </c>
      <c r="J649" s="25">
        <v>0</v>
      </c>
      <c r="K649" s="24">
        <v>0</v>
      </c>
      <c r="L649" s="24">
        <v>0</v>
      </c>
    </row>
    <row r="650" ht="21.05" customHeight="1" spans="1:12">
      <c r="A650" s="10"/>
      <c r="B650" s="10"/>
      <c r="C650" s="10"/>
      <c r="D650" s="10"/>
      <c r="E650" s="10"/>
      <c r="F650" s="10" t="s">
        <v>942</v>
      </c>
      <c r="G650" s="24">
        <v>0</v>
      </c>
      <c r="H650" s="24">
        <v>0</v>
      </c>
      <c r="I650" s="24">
        <v>0</v>
      </c>
      <c r="J650" s="25">
        <v>0</v>
      </c>
      <c r="K650" s="24">
        <v>0</v>
      </c>
      <c r="L650" s="24">
        <v>0</v>
      </c>
    </row>
    <row r="651" ht="21.05" customHeight="1" spans="1:12">
      <c r="A651" s="10"/>
      <c r="B651" s="10"/>
      <c r="C651" s="10"/>
      <c r="D651" s="10" t="s">
        <v>736</v>
      </c>
      <c r="E651" s="10" t="s">
        <v>672</v>
      </c>
      <c r="F651" s="10" t="s">
        <v>942</v>
      </c>
      <c r="G651" s="24">
        <v>14</v>
      </c>
      <c r="H651" s="24">
        <v>1274</v>
      </c>
      <c r="I651" s="24">
        <v>12.0152</v>
      </c>
      <c r="J651" s="25">
        <v>1.9848</v>
      </c>
      <c r="K651" s="24">
        <v>1189.1152</v>
      </c>
      <c r="L651" s="24">
        <v>1189.1152</v>
      </c>
    </row>
    <row r="652" ht="21.05" customHeight="1" spans="1:12">
      <c r="A652" s="10"/>
      <c r="B652" s="10"/>
      <c r="C652" s="10" t="s">
        <v>738</v>
      </c>
      <c r="D652" s="10" t="s">
        <v>739</v>
      </c>
      <c r="E652" s="10" t="s">
        <v>672</v>
      </c>
      <c r="F652" s="10" t="s">
        <v>944</v>
      </c>
      <c r="G652" s="24">
        <v>0</v>
      </c>
      <c r="H652" s="24">
        <v>0</v>
      </c>
      <c r="I652" s="24">
        <v>0</v>
      </c>
      <c r="J652" s="25">
        <v>0</v>
      </c>
      <c r="K652" s="24">
        <v>0</v>
      </c>
      <c r="L652" s="24">
        <v>0</v>
      </c>
    </row>
    <row r="653" ht="21.05" customHeight="1" spans="1:12">
      <c r="A653" s="10"/>
      <c r="B653" s="10"/>
      <c r="C653" s="10"/>
      <c r="D653" s="10"/>
      <c r="E653" s="10"/>
      <c r="F653" s="10" t="s">
        <v>860</v>
      </c>
      <c r="G653" s="24">
        <v>0</v>
      </c>
      <c r="H653" s="24">
        <v>0</v>
      </c>
      <c r="I653" s="24">
        <v>0</v>
      </c>
      <c r="J653" s="25">
        <v>0</v>
      </c>
      <c r="K653" s="24">
        <v>0</v>
      </c>
      <c r="L653" s="24">
        <v>0</v>
      </c>
    </row>
    <row r="654" ht="21.05" customHeight="1" spans="1:12">
      <c r="A654" s="10"/>
      <c r="B654" s="10"/>
      <c r="C654" s="10"/>
      <c r="D654" s="10"/>
      <c r="E654" s="10"/>
      <c r="F654" s="10" t="s">
        <v>942</v>
      </c>
      <c r="G654" s="24">
        <v>1</v>
      </c>
      <c r="H654" s="24">
        <v>49.7</v>
      </c>
      <c r="I654" s="24">
        <v>0.614</v>
      </c>
      <c r="J654" s="25">
        <v>0.386</v>
      </c>
      <c r="K654" s="24">
        <v>43.0988</v>
      </c>
      <c r="L654" s="24">
        <v>43.0988</v>
      </c>
    </row>
    <row r="655" ht="21.05" customHeight="1" spans="1:12">
      <c r="A655" s="10"/>
      <c r="B655" s="10"/>
      <c r="C655" s="10"/>
      <c r="D655" s="10" t="s">
        <v>694</v>
      </c>
      <c r="E655" s="10" t="s">
        <v>672</v>
      </c>
      <c r="F655" s="10" t="s">
        <v>860</v>
      </c>
      <c r="G655" s="24">
        <v>0</v>
      </c>
      <c r="H655" s="24">
        <v>0</v>
      </c>
      <c r="I655" s="24">
        <v>0</v>
      </c>
      <c r="J655" s="25">
        <v>0</v>
      </c>
      <c r="K655" s="24">
        <v>0</v>
      </c>
      <c r="L655" s="24">
        <v>0</v>
      </c>
    </row>
    <row r="656" ht="21.05" customHeight="1" spans="1:12">
      <c r="A656" s="10"/>
      <c r="B656" s="10"/>
      <c r="C656" s="10"/>
      <c r="D656" s="10"/>
      <c r="E656" s="10"/>
      <c r="F656" s="10" t="s">
        <v>942</v>
      </c>
      <c r="G656" s="24">
        <v>90</v>
      </c>
      <c r="H656" s="24">
        <v>2623</v>
      </c>
      <c r="I656" s="24">
        <v>91.8656</v>
      </c>
      <c r="J656" s="25">
        <v>-1.8656</v>
      </c>
      <c r="K656" s="24">
        <v>2658.5248</v>
      </c>
      <c r="L656" s="24">
        <v>2658.5248</v>
      </c>
    </row>
    <row r="657" ht="25.6" customHeight="1" spans="1:12">
      <c r="A657" s="10"/>
      <c r="B657" s="10"/>
      <c r="C657" s="10"/>
      <c r="D657" s="10" t="s">
        <v>743</v>
      </c>
      <c r="E657" s="10" t="s">
        <v>672</v>
      </c>
      <c r="F657" s="10" t="s">
        <v>860</v>
      </c>
      <c r="G657" s="24">
        <v>0</v>
      </c>
      <c r="H657" s="24">
        <v>0</v>
      </c>
      <c r="I657" s="24">
        <v>0</v>
      </c>
      <c r="J657" s="25">
        <v>0</v>
      </c>
      <c r="K657" s="24">
        <v>0</v>
      </c>
      <c r="L657" s="24">
        <v>0</v>
      </c>
    </row>
    <row r="658" ht="21.05" customHeight="1" spans="1:12">
      <c r="A658" s="10"/>
      <c r="B658" s="10"/>
      <c r="C658" s="10"/>
      <c r="D658" s="10" t="s">
        <v>695</v>
      </c>
      <c r="E658" s="10" t="s">
        <v>672</v>
      </c>
      <c r="F658" s="10" t="s">
        <v>942</v>
      </c>
      <c r="G658" s="24">
        <v>120</v>
      </c>
      <c r="H658" s="24">
        <v>2637</v>
      </c>
      <c r="I658" s="24">
        <v>109.2992</v>
      </c>
      <c r="J658" s="25">
        <v>10.7008</v>
      </c>
      <c r="K658" s="24">
        <v>2630.8304</v>
      </c>
      <c r="L658" s="24">
        <v>2630.8304</v>
      </c>
    </row>
    <row r="659" ht="21.05" customHeight="1" spans="1:12">
      <c r="A659" s="10"/>
      <c r="B659" s="10"/>
      <c r="C659" s="10"/>
      <c r="D659" s="10" t="s">
        <v>956</v>
      </c>
      <c r="E659" s="10" t="s">
        <v>672</v>
      </c>
      <c r="F659" s="10" t="s">
        <v>860</v>
      </c>
      <c r="G659" s="24">
        <v>0</v>
      </c>
      <c r="H659" s="24">
        <v>0</v>
      </c>
      <c r="I659" s="24">
        <v>0</v>
      </c>
      <c r="J659" s="25">
        <v>0</v>
      </c>
      <c r="K659" s="24">
        <v>0</v>
      </c>
      <c r="L659" s="24">
        <v>0</v>
      </c>
    </row>
    <row r="660" ht="21.05" customHeight="1" spans="1:12">
      <c r="A660" s="10"/>
      <c r="B660" s="10"/>
      <c r="C660" s="10"/>
      <c r="D660" s="10" t="s">
        <v>696</v>
      </c>
      <c r="E660" s="10" t="s">
        <v>672</v>
      </c>
      <c r="F660" s="10" t="s">
        <v>860</v>
      </c>
      <c r="G660" s="24">
        <v>0</v>
      </c>
      <c r="H660" s="24">
        <v>0</v>
      </c>
      <c r="I660" s="24">
        <v>0</v>
      </c>
      <c r="J660" s="25">
        <v>0</v>
      </c>
      <c r="K660" s="24">
        <v>0</v>
      </c>
      <c r="L660" s="24">
        <v>0</v>
      </c>
    </row>
    <row r="661" ht="21.05" customHeight="1" spans="1:12">
      <c r="A661" s="10"/>
      <c r="B661" s="10"/>
      <c r="C661" s="10"/>
      <c r="D661" s="10"/>
      <c r="E661" s="10"/>
      <c r="F661" s="10" t="s">
        <v>942</v>
      </c>
      <c r="G661" s="24">
        <v>17</v>
      </c>
      <c r="H661" s="24">
        <v>516</v>
      </c>
      <c r="I661" s="24">
        <v>11.7116</v>
      </c>
      <c r="J661" s="25">
        <v>5.2884</v>
      </c>
      <c r="K661" s="24">
        <v>486.8276</v>
      </c>
      <c r="L661" s="24">
        <v>486.8276</v>
      </c>
    </row>
    <row r="662" ht="21.05" customHeight="1" spans="1:12">
      <c r="A662" s="10"/>
      <c r="B662" s="10"/>
      <c r="C662" s="10"/>
      <c r="D662" s="10" t="s">
        <v>697</v>
      </c>
      <c r="E662" s="10" t="s">
        <v>672</v>
      </c>
      <c r="F662" s="10" t="s">
        <v>860</v>
      </c>
      <c r="G662" s="24">
        <v>0</v>
      </c>
      <c r="H662" s="24">
        <v>0</v>
      </c>
      <c r="I662" s="24">
        <v>0</v>
      </c>
      <c r="J662" s="25">
        <v>0</v>
      </c>
      <c r="K662" s="24">
        <v>0</v>
      </c>
      <c r="L662" s="24">
        <v>0</v>
      </c>
    </row>
    <row r="663" ht="21.05" customHeight="1" spans="1:12">
      <c r="A663" s="10"/>
      <c r="B663" s="10"/>
      <c r="C663" s="10"/>
      <c r="D663" s="10"/>
      <c r="E663" s="10"/>
      <c r="F663" s="10" t="s">
        <v>942</v>
      </c>
      <c r="G663" s="24">
        <v>0</v>
      </c>
      <c r="H663" s="24">
        <v>426.75</v>
      </c>
      <c r="I663" s="24">
        <v>0</v>
      </c>
      <c r="J663" s="25">
        <v>0</v>
      </c>
      <c r="K663" s="24">
        <v>411.1232</v>
      </c>
      <c r="L663" s="24">
        <v>411.1232</v>
      </c>
    </row>
    <row r="664" ht="21.05" customHeight="1" spans="1:12">
      <c r="A664" s="10"/>
      <c r="B664" s="10"/>
      <c r="C664" s="10"/>
      <c r="D664" s="10" t="s">
        <v>957</v>
      </c>
      <c r="E664" s="10" t="s">
        <v>672</v>
      </c>
      <c r="F664" s="10" t="s">
        <v>944</v>
      </c>
      <c r="G664" s="24">
        <v>0</v>
      </c>
      <c r="H664" s="24">
        <v>0</v>
      </c>
      <c r="I664" s="24">
        <v>0</v>
      </c>
      <c r="J664" s="25">
        <v>0</v>
      </c>
      <c r="K664" s="24">
        <v>0</v>
      </c>
      <c r="L664" s="24">
        <v>0</v>
      </c>
    </row>
    <row r="665" ht="21.05" customHeight="1" spans="1:12">
      <c r="A665" s="10"/>
      <c r="B665" s="10"/>
      <c r="C665" s="10"/>
      <c r="D665" s="10"/>
      <c r="E665" s="10"/>
      <c r="F665" s="10" t="s">
        <v>860</v>
      </c>
      <c r="G665" s="24">
        <v>0</v>
      </c>
      <c r="H665" s="24">
        <v>0</v>
      </c>
      <c r="I665" s="24">
        <v>0</v>
      </c>
      <c r="J665" s="25">
        <v>0</v>
      </c>
      <c r="K665" s="24">
        <v>0</v>
      </c>
      <c r="L665" s="24">
        <v>0</v>
      </c>
    </row>
    <row r="666" ht="21.05" customHeight="1" spans="1:12">
      <c r="A666" s="10"/>
      <c r="B666" s="10"/>
      <c r="C666" s="10" t="s">
        <v>747</v>
      </c>
      <c r="D666" s="10" t="s">
        <v>739</v>
      </c>
      <c r="E666" s="10" t="s">
        <v>672</v>
      </c>
      <c r="F666" s="10" t="s">
        <v>860</v>
      </c>
      <c r="G666" s="24">
        <v>0</v>
      </c>
      <c r="H666" s="24">
        <v>0</v>
      </c>
      <c r="I666" s="24">
        <v>0</v>
      </c>
      <c r="J666" s="25">
        <v>0</v>
      </c>
      <c r="K666" s="24">
        <v>0</v>
      </c>
      <c r="L666" s="24">
        <v>0</v>
      </c>
    </row>
    <row r="667" ht="21.05" customHeight="1" spans="1:12">
      <c r="A667" s="10"/>
      <c r="B667" s="10"/>
      <c r="C667" s="10"/>
      <c r="D667" s="10" t="s">
        <v>748</v>
      </c>
      <c r="E667" s="10" t="s">
        <v>672</v>
      </c>
      <c r="F667" s="10" t="s">
        <v>944</v>
      </c>
      <c r="G667" s="24">
        <v>0</v>
      </c>
      <c r="H667" s="24">
        <v>0</v>
      </c>
      <c r="I667" s="24">
        <v>0</v>
      </c>
      <c r="J667" s="25">
        <v>0</v>
      </c>
      <c r="K667" s="24">
        <v>0</v>
      </c>
      <c r="L667" s="24">
        <v>0</v>
      </c>
    </row>
    <row r="668" ht="21.05" customHeight="1" spans="1:12">
      <c r="A668" s="10"/>
      <c r="B668" s="10"/>
      <c r="C668" s="10"/>
      <c r="D668" s="10"/>
      <c r="E668" s="10"/>
      <c r="F668" s="10" t="s">
        <v>860</v>
      </c>
      <c r="G668" s="24">
        <v>0</v>
      </c>
      <c r="H668" s="24">
        <v>0</v>
      </c>
      <c r="I668" s="24">
        <v>0</v>
      </c>
      <c r="J668" s="25">
        <v>0</v>
      </c>
      <c r="K668" s="24">
        <v>0</v>
      </c>
      <c r="L668" s="24">
        <v>0</v>
      </c>
    </row>
    <row r="669" ht="21.05" customHeight="1" spans="1:12">
      <c r="A669" s="10"/>
      <c r="B669" s="10"/>
      <c r="C669" s="10"/>
      <c r="D669" s="10"/>
      <c r="E669" s="10"/>
      <c r="F669" s="10" t="s">
        <v>942</v>
      </c>
      <c r="G669" s="24">
        <v>2.8</v>
      </c>
      <c r="H669" s="24">
        <v>54.4</v>
      </c>
      <c r="I669" s="24">
        <v>2.1519</v>
      </c>
      <c r="J669" s="25">
        <v>0.6481</v>
      </c>
      <c r="K669" s="24">
        <v>59.0384</v>
      </c>
      <c r="L669" s="24">
        <v>59.0384</v>
      </c>
    </row>
    <row r="670" ht="21.05" customHeight="1" spans="1:12">
      <c r="A670" s="10" t="s">
        <v>154</v>
      </c>
      <c r="B670" s="10" t="s">
        <v>750</v>
      </c>
      <c r="C670" s="10" t="s">
        <v>751</v>
      </c>
      <c r="D670" s="10" t="s">
        <v>752</v>
      </c>
      <c r="E670" s="10" t="s">
        <v>258</v>
      </c>
      <c r="F670" s="10" t="s">
        <v>856</v>
      </c>
      <c r="G670" s="24">
        <v>0</v>
      </c>
      <c r="H670" s="24">
        <v>0</v>
      </c>
      <c r="I670" s="24">
        <v>0</v>
      </c>
      <c r="J670" s="25">
        <v>0</v>
      </c>
      <c r="K670" s="24">
        <v>0</v>
      </c>
      <c r="L670" s="24">
        <v>0</v>
      </c>
    </row>
    <row r="671" ht="21.05" customHeight="1" spans="1:12">
      <c r="A671" s="10"/>
      <c r="B671" s="10"/>
      <c r="C671" s="10"/>
      <c r="D671" s="10"/>
      <c r="E671" s="10"/>
      <c r="F671" s="10" t="s">
        <v>869</v>
      </c>
      <c r="G671" s="24">
        <v>0</v>
      </c>
      <c r="H671" s="24">
        <v>0</v>
      </c>
      <c r="I671" s="24">
        <v>0</v>
      </c>
      <c r="J671" s="25">
        <v>0</v>
      </c>
      <c r="K671" s="24">
        <v>0</v>
      </c>
      <c r="L671" s="24">
        <v>0</v>
      </c>
    </row>
    <row r="672" ht="21.05" customHeight="1" spans="1:12">
      <c r="A672" s="10"/>
      <c r="B672" s="10"/>
      <c r="C672" s="10"/>
      <c r="D672" s="10"/>
      <c r="E672" s="10"/>
      <c r="F672" s="10" t="s">
        <v>877</v>
      </c>
      <c r="G672" s="24">
        <v>0</v>
      </c>
      <c r="H672" s="24">
        <v>0</v>
      </c>
      <c r="I672" s="24">
        <v>0</v>
      </c>
      <c r="J672" s="25">
        <v>0</v>
      </c>
      <c r="K672" s="24">
        <v>0</v>
      </c>
      <c r="L672" s="24">
        <v>0</v>
      </c>
    </row>
    <row r="673" ht="21.05" customHeight="1" spans="1:12">
      <c r="A673" s="10"/>
      <c r="B673" s="10"/>
      <c r="C673" s="10"/>
      <c r="D673" s="10"/>
      <c r="E673" s="10"/>
      <c r="F673" s="10" t="s">
        <v>939</v>
      </c>
      <c r="G673" s="24">
        <v>0</v>
      </c>
      <c r="H673" s="24">
        <v>0</v>
      </c>
      <c r="I673" s="24">
        <v>0</v>
      </c>
      <c r="J673" s="25">
        <v>0</v>
      </c>
      <c r="K673" s="24">
        <v>0</v>
      </c>
      <c r="L673" s="24">
        <v>0</v>
      </c>
    </row>
    <row r="674" ht="21.05" customHeight="1" spans="1:12">
      <c r="A674" s="10"/>
      <c r="B674" s="10"/>
      <c r="C674" s="10"/>
      <c r="D674" s="10"/>
      <c r="E674" s="10"/>
      <c r="F674" s="10" t="s">
        <v>868</v>
      </c>
      <c r="G674" s="24">
        <v>0</v>
      </c>
      <c r="H674" s="24">
        <v>0</v>
      </c>
      <c r="I674" s="24">
        <v>0</v>
      </c>
      <c r="J674" s="25">
        <v>0</v>
      </c>
      <c r="K674" s="24">
        <v>0</v>
      </c>
      <c r="L674" s="24">
        <v>0</v>
      </c>
    </row>
    <row r="675" ht="21.05" customHeight="1" spans="1:12">
      <c r="A675" s="10"/>
      <c r="B675" s="10"/>
      <c r="C675" s="10"/>
      <c r="D675" s="10"/>
      <c r="E675" s="10"/>
      <c r="F675" s="10" t="s">
        <v>864</v>
      </c>
      <c r="G675" s="24">
        <v>0</v>
      </c>
      <c r="H675" s="24">
        <v>0</v>
      </c>
      <c r="I675" s="24">
        <v>0</v>
      </c>
      <c r="J675" s="25">
        <v>0</v>
      </c>
      <c r="K675" s="24">
        <v>0</v>
      </c>
      <c r="L675" s="24">
        <v>0</v>
      </c>
    </row>
    <row r="676" ht="21.05" customHeight="1" spans="1:12">
      <c r="A676" s="10" t="s">
        <v>958</v>
      </c>
      <c r="B676" s="10" t="s">
        <v>213</v>
      </c>
      <c r="C676" s="10" t="s">
        <v>959</v>
      </c>
      <c r="D676" s="10" t="s">
        <v>960</v>
      </c>
      <c r="E676" s="10" t="s">
        <v>258</v>
      </c>
      <c r="F676" s="10" t="s">
        <v>875</v>
      </c>
      <c r="G676" s="24">
        <v>0</v>
      </c>
      <c r="H676" s="24">
        <v>0</v>
      </c>
      <c r="I676" s="24">
        <v>0</v>
      </c>
      <c r="J676" s="25">
        <v>0</v>
      </c>
      <c r="K676" s="24">
        <v>0</v>
      </c>
      <c r="L676" s="24">
        <v>0</v>
      </c>
    </row>
    <row r="677" ht="21.05" customHeight="1" spans="1:12">
      <c r="A677" s="10"/>
      <c r="B677" s="10"/>
      <c r="C677" s="10"/>
      <c r="D677" s="10"/>
      <c r="E677" s="10"/>
      <c r="F677" s="10" t="s">
        <v>908</v>
      </c>
      <c r="G677" s="24">
        <v>0</v>
      </c>
      <c r="H677" s="24">
        <v>0</v>
      </c>
      <c r="I677" s="24">
        <v>0</v>
      </c>
      <c r="J677" s="25">
        <v>0</v>
      </c>
      <c r="K677" s="24">
        <v>0</v>
      </c>
      <c r="L677" s="24">
        <v>0</v>
      </c>
    </row>
    <row r="678" ht="21.05" customHeight="1" spans="1:12">
      <c r="A678" s="10"/>
      <c r="B678" s="10"/>
      <c r="C678" s="10"/>
      <c r="D678" s="10"/>
      <c r="E678" s="10"/>
      <c r="F678" s="10" t="s">
        <v>961</v>
      </c>
      <c r="G678" s="24">
        <v>0</v>
      </c>
      <c r="H678" s="24">
        <v>0</v>
      </c>
      <c r="I678" s="24">
        <v>0</v>
      </c>
      <c r="J678" s="25">
        <v>0</v>
      </c>
      <c r="K678" s="24">
        <v>0</v>
      </c>
      <c r="L678" s="24">
        <v>0</v>
      </c>
    </row>
    <row r="679" ht="21.05" customHeight="1" spans="1:12">
      <c r="A679" s="10"/>
      <c r="B679" s="10"/>
      <c r="C679" s="10"/>
      <c r="D679" s="10"/>
      <c r="E679" s="10"/>
      <c r="F679" s="10" t="s">
        <v>892</v>
      </c>
      <c r="G679" s="24">
        <v>0</v>
      </c>
      <c r="H679" s="24">
        <v>0</v>
      </c>
      <c r="I679" s="24">
        <v>0</v>
      </c>
      <c r="J679" s="25">
        <v>0</v>
      </c>
      <c r="K679" s="24">
        <v>0</v>
      </c>
      <c r="L679" s="24">
        <v>0</v>
      </c>
    </row>
    <row r="680" ht="21.05" customHeight="1" spans="1:12">
      <c r="A680" s="10"/>
      <c r="B680" s="10"/>
      <c r="C680" s="10"/>
      <c r="D680" s="10"/>
      <c r="E680" s="10"/>
      <c r="F680" s="10" t="s">
        <v>868</v>
      </c>
      <c r="G680" s="24">
        <v>0</v>
      </c>
      <c r="H680" s="24">
        <v>0</v>
      </c>
      <c r="I680" s="24">
        <v>0</v>
      </c>
      <c r="J680" s="25">
        <v>0</v>
      </c>
      <c r="K680" s="24">
        <v>0</v>
      </c>
      <c r="L680" s="24">
        <v>0</v>
      </c>
    </row>
    <row r="681" ht="21.05" customHeight="1" spans="1:12">
      <c r="A681" s="10"/>
      <c r="B681" s="10" t="s">
        <v>962</v>
      </c>
      <c r="C681" s="10" t="s">
        <v>963</v>
      </c>
      <c r="D681" s="10" t="s">
        <v>960</v>
      </c>
      <c r="E681" s="10" t="s">
        <v>258</v>
      </c>
      <c r="F681" s="10" t="s">
        <v>964</v>
      </c>
      <c r="G681" s="24">
        <v>0</v>
      </c>
      <c r="H681" s="24">
        <v>0</v>
      </c>
      <c r="I681" s="24">
        <v>0</v>
      </c>
      <c r="J681" s="25">
        <v>0</v>
      </c>
      <c r="K681" s="24">
        <v>0</v>
      </c>
      <c r="L681" s="24">
        <v>0</v>
      </c>
    </row>
    <row r="682" ht="21.05" customHeight="1" spans="1:12">
      <c r="A682" s="10"/>
      <c r="B682" s="10"/>
      <c r="C682" s="10"/>
      <c r="D682" s="10"/>
      <c r="E682" s="10"/>
      <c r="F682" s="10" t="s">
        <v>879</v>
      </c>
      <c r="G682" s="24">
        <v>0</v>
      </c>
      <c r="H682" s="24">
        <v>0</v>
      </c>
      <c r="I682" s="24">
        <v>0</v>
      </c>
      <c r="J682" s="25">
        <v>0</v>
      </c>
      <c r="K682" s="24">
        <v>0</v>
      </c>
      <c r="L682" s="24">
        <v>0</v>
      </c>
    </row>
    <row r="683" ht="21.05" customHeight="1" spans="1:12">
      <c r="A683" s="10"/>
      <c r="B683" s="10"/>
      <c r="C683" s="10"/>
      <c r="D683" s="10"/>
      <c r="E683" s="10"/>
      <c r="F683" s="10" t="s">
        <v>939</v>
      </c>
      <c r="G683" s="24">
        <v>0</v>
      </c>
      <c r="H683" s="24">
        <v>0</v>
      </c>
      <c r="I683" s="24">
        <v>0</v>
      </c>
      <c r="J683" s="25">
        <v>0</v>
      </c>
      <c r="K683" s="24">
        <v>0</v>
      </c>
      <c r="L683" s="24">
        <v>0</v>
      </c>
    </row>
    <row r="684" ht="21.05" customHeight="1" spans="1:12">
      <c r="A684" s="10"/>
      <c r="B684" s="10"/>
      <c r="C684" s="10"/>
      <c r="D684" s="10"/>
      <c r="E684" s="10"/>
      <c r="F684" s="10" t="s">
        <v>860</v>
      </c>
      <c r="G684" s="24">
        <v>0</v>
      </c>
      <c r="H684" s="24">
        <v>0</v>
      </c>
      <c r="I684" s="24">
        <v>0</v>
      </c>
      <c r="J684" s="25">
        <v>0</v>
      </c>
      <c r="K684" s="24">
        <v>0</v>
      </c>
      <c r="L684" s="24">
        <v>0</v>
      </c>
    </row>
    <row r="685" ht="21.05" customHeight="1" spans="1:12">
      <c r="A685" s="10"/>
      <c r="B685" s="10" t="s">
        <v>965</v>
      </c>
      <c r="C685" s="10" t="s">
        <v>966</v>
      </c>
      <c r="D685" s="10" t="s">
        <v>960</v>
      </c>
      <c r="E685" s="10" t="s">
        <v>967</v>
      </c>
      <c r="F685" s="10" t="s">
        <v>855</v>
      </c>
      <c r="G685" s="24">
        <v>0</v>
      </c>
      <c r="H685" s="24">
        <v>0</v>
      </c>
      <c r="I685" s="24">
        <v>0</v>
      </c>
      <c r="J685" s="25">
        <v>0</v>
      </c>
      <c r="K685" s="24">
        <v>0</v>
      </c>
      <c r="L685" s="24">
        <v>0</v>
      </c>
    </row>
    <row r="686" ht="21.05" customHeight="1" spans="1:12">
      <c r="A686" s="10"/>
      <c r="B686" s="10"/>
      <c r="C686" s="10"/>
      <c r="D686" s="10"/>
      <c r="E686" s="10"/>
      <c r="F686" s="10" t="s">
        <v>968</v>
      </c>
      <c r="G686" s="24">
        <v>0</v>
      </c>
      <c r="H686" s="24">
        <v>0</v>
      </c>
      <c r="I686" s="24">
        <v>0</v>
      </c>
      <c r="J686" s="25">
        <v>0</v>
      </c>
      <c r="K686" s="24">
        <v>0</v>
      </c>
      <c r="L686" s="24">
        <v>0</v>
      </c>
    </row>
    <row r="687" ht="21.05" customHeight="1" spans="1:12">
      <c r="A687" s="10"/>
      <c r="B687" s="10"/>
      <c r="C687" s="10"/>
      <c r="D687" s="10"/>
      <c r="E687" s="10"/>
      <c r="F687" s="10" t="s">
        <v>860</v>
      </c>
      <c r="G687" s="24">
        <v>0</v>
      </c>
      <c r="H687" s="24">
        <v>0</v>
      </c>
      <c r="I687" s="24">
        <v>0</v>
      </c>
      <c r="J687" s="25">
        <v>0</v>
      </c>
      <c r="K687" s="24">
        <v>0</v>
      </c>
      <c r="L687" s="24">
        <v>0</v>
      </c>
    </row>
    <row r="688" ht="21.05" customHeight="1" spans="1:12">
      <c r="A688" s="10"/>
      <c r="B688" s="10"/>
      <c r="C688" s="10"/>
      <c r="D688" s="10"/>
      <c r="E688" s="10"/>
      <c r="F688" s="10" t="s">
        <v>892</v>
      </c>
      <c r="G688" s="24">
        <v>0</v>
      </c>
      <c r="H688" s="24">
        <v>0</v>
      </c>
      <c r="I688" s="24">
        <v>0</v>
      </c>
      <c r="J688" s="25">
        <v>0</v>
      </c>
      <c r="K688" s="24">
        <v>0</v>
      </c>
      <c r="L688" s="24">
        <v>0</v>
      </c>
    </row>
    <row r="689" ht="21.05" customHeight="1" spans="1:12">
      <c r="A689" s="10"/>
      <c r="B689" s="10"/>
      <c r="C689" s="10" t="s">
        <v>959</v>
      </c>
      <c r="D689" s="10" t="s">
        <v>969</v>
      </c>
      <c r="E689" s="10" t="s">
        <v>258</v>
      </c>
      <c r="F689" s="10" t="s">
        <v>868</v>
      </c>
      <c r="G689" s="24">
        <v>0</v>
      </c>
      <c r="H689" s="24">
        <v>0</v>
      </c>
      <c r="I689" s="24">
        <v>0</v>
      </c>
      <c r="J689" s="25">
        <v>0</v>
      </c>
      <c r="K689" s="24">
        <v>0</v>
      </c>
      <c r="L689" s="24">
        <v>0</v>
      </c>
    </row>
    <row r="690" ht="21.05" customHeight="1" spans="1:12">
      <c r="A690" s="10" t="s">
        <v>753</v>
      </c>
      <c r="B690" s="10" t="s">
        <v>754</v>
      </c>
      <c r="C690" s="10" t="s">
        <v>152</v>
      </c>
      <c r="D690" s="10" t="s">
        <v>652</v>
      </c>
      <c r="E690" s="10" t="s">
        <v>382</v>
      </c>
      <c r="F690" s="10" t="s">
        <v>864</v>
      </c>
      <c r="G690" s="24">
        <v>0</v>
      </c>
      <c r="H690" s="24">
        <v>0</v>
      </c>
      <c r="I690" s="24">
        <v>0</v>
      </c>
      <c r="J690" s="25">
        <v>0</v>
      </c>
      <c r="K690" s="24">
        <v>0</v>
      </c>
      <c r="L690" s="24">
        <v>0</v>
      </c>
    </row>
    <row r="691" ht="21.05" customHeight="1" spans="1:12">
      <c r="A691" s="10"/>
      <c r="B691" s="10"/>
      <c r="C691" s="10" t="s">
        <v>970</v>
      </c>
      <c r="D691" s="10" t="s">
        <v>652</v>
      </c>
      <c r="E691" s="10"/>
      <c r="F691" s="10" t="s">
        <v>852</v>
      </c>
      <c r="G691" s="24">
        <v>0</v>
      </c>
      <c r="H691" s="24">
        <v>0</v>
      </c>
      <c r="I691" s="24">
        <v>0</v>
      </c>
      <c r="J691" s="25">
        <v>0</v>
      </c>
      <c r="K691" s="24">
        <v>0</v>
      </c>
      <c r="L691" s="24">
        <v>0</v>
      </c>
    </row>
    <row r="692" ht="21.05" customHeight="1" spans="1:12">
      <c r="A692" s="10"/>
      <c r="B692" s="10"/>
      <c r="C692" s="10"/>
      <c r="D692" s="10"/>
      <c r="E692" s="10"/>
      <c r="F692" s="10" t="s">
        <v>898</v>
      </c>
      <c r="G692" s="24">
        <v>0</v>
      </c>
      <c r="H692" s="24">
        <v>0</v>
      </c>
      <c r="I692" s="24">
        <v>0</v>
      </c>
      <c r="J692" s="25">
        <v>0</v>
      </c>
      <c r="K692" s="24">
        <v>0</v>
      </c>
      <c r="L692" s="24">
        <v>0</v>
      </c>
    </row>
    <row r="693" ht="21.05" customHeight="1" spans="1:12">
      <c r="A693" s="10" t="s">
        <v>971</v>
      </c>
      <c r="B693" s="10" t="s">
        <v>972</v>
      </c>
      <c r="C693" s="10" t="s">
        <v>971</v>
      </c>
      <c r="D693" s="10" t="s">
        <v>951</v>
      </c>
      <c r="E693" s="10" t="s">
        <v>672</v>
      </c>
      <c r="F693" s="10" t="s">
        <v>942</v>
      </c>
      <c r="G693" s="24">
        <v>20</v>
      </c>
      <c r="H693" s="24">
        <v>597</v>
      </c>
      <c r="I693" s="24">
        <v>0</v>
      </c>
      <c r="J693" s="25">
        <v>20</v>
      </c>
      <c r="K693" s="24">
        <v>0</v>
      </c>
      <c r="L693" s="24">
        <v>0</v>
      </c>
    </row>
    <row r="694" ht="21.05" customHeight="1" spans="1:12">
      <c r="A694" s="10"/>
      <c r="B694" s="10"/>
      <c r="C694" s="10"/>
      <c r="D694" s="10" t="s">
        <v>973</v>
      </c>
      <c r="E694" s="10" t="s">
        <v>672</v>
      </c>
      <c r="F694" s="10" t="s">
        <v>860</v>
      </c>
      <c r="G694" s="24">
        <v>0</v>
      </c>
      <c r="H694" s="24">
        <v>0</v>
      </c>
      <c r="I694" s="24">
        <v>0</v>
      </c>
      <c r="J694" s="25">
        <v>0</v>
      </c>
      <c r="K694" s="24">
        <v>0</v>
      </c>
      <c r="L694" s="24">
        <v>0</v>
      </c>
    </row>
    <row r="695" ht="21.05" customHeight="1" spans="1:12">
      <c r="A695" s="10"/>
      <c r="B695" s="10"/>
      <c r="C695" s="10"/>
      <c r="D695" s="10"/>
      <c r="E695" s="10"/>
      <c r="F695" s="10" t="s">
        <v>942</v>
      </c>
      <c r="G695" s="24">
        <v>60</v>
      </c>
      <c r="H695" s="24">
        <v>1920</v>
      </c>
      <c r="I695" s="24">
        <v>0</v>
      </c>
      <c r="J695" s="25">
        <v>60</v>
      </c>
      <c r="K695" s="24">
        <v>0</v>
      </c>
      <c r="L695" s="24">
        <v>0</v>
      </c>
    </row>
    <row r="696" ht="21.05" customHeight="1" spans="1:12">
      <c r="A696" s="10"/>
      <c r="B696" s="10"/>
      <c r="C696" s="10"/>
      <c r="D696" s="10" t="s">
        <v>696</v>
      </c>
      <c r="E696" s="10" t="s">
        <v>672</v>
      </c>
      <c r="F696" s="10" t="s">
        <v>860</v>
      </c>
      <c r="G696" s="24">
        <v>0</v>
      </c>
      <c r="H696" s="24">
        <v>0</v>
      </c>
      <c r="I696" s="24">
        <v>0</v>
      </c>
      <c r="J696" s="25">
        <v>0</v>
      </c>
      <c r="K696" s="24">
        <v>0</v>
      </c>
      <c r="L696" s="24">
        <v>0</v>
      </c>
    </row>
    <row r="697" ht="21.05" customHeight="1" spans="1:12">
      <c r="A697" s="10" t="s">
        <v>355</v>
      </c>
      <c r="B697" s="10" t="s">
        <v>355</v>
      </c>
      <c r="C697" s="10" t="s">
        <v>974</v>
      </c>
      <c r="D697" s="10" t="s">
        <v>975</v>
      </c>
      <c r="E697" s="10" t="s">
        <v>356</v>
      </c>
      <c r="F697" s="10" t="s">
        <v>976</v>
      </c>
      <c r="G697" s="24">
        <v>0</v>
      </c>
      <c r="H697" s="24">
        <v>0</v>
      </c>
      <c r="I697" s="24">
        <v>0</v>
      </c>
      <c r="J697" s="25">
        <v>0</v>
      </c>
      <c r="K697" s="24">
        <v>0</v>
      </c>
      <c r="L697" s="24">
        <v>0</v>
      </c>
    </row>
    <row r="698" ht="21.05" customHeight="1" spans="1:12">
      <c r="A698" s="10"/>
      <c r="B698" s="10"/>
      <c r="C698" s="10"/>
      <c r="D698" s="10" t="s">
        <v>977</v>
      </c>
      <c r="E698" s="10" t="s">
        <v>356</v>
      </c>
      <c r="F698" s="10" t="s">
        <v>976</v>
      </c>
      <c r="G698" s="24">
        <v>0</v>
      </c>
      <c r="H698" s="24">
        <v>0</v>
      </c>
      <c r="I698" s="24">
        <v>0</v>
      </c>
      <c r="J698" s="25">
        <v>0</v>
      </c>
      <c r="K698" s="24">
        <v>0</v>
      </c>
      <c r="L698" s="24">
        <v>0</v>
      </c>
    </row>
    <row r="699" ht="21.05" customHeight="1" spans="1:12">
      <c r="A699" s="10"/>
      <c r="B699" s="10"/>
      <c r="C699" s="10"/>
      <c r="D699" s="10"/>
      <c r="E699" s="10"/>
      <c r="F699" s="10" t="s">
        <v>355</v>
      </c>
      <c r="G699" s="24">
        <v>0</v>
      </c>
      <c r="H699" s="24">
        <v>0</v>
      </c>
      <c r="I699" s="24">
        <v>0</v>
      </c>
      <c r="J699" s="25">
        <v>0</v>
      </c>
      <c r="K699" s="24">
        <v>0</v>
      </c>
      <c r="L699" s="24">
        <v>0</v>
      </c>
    </row>
    <row r="700" ht="21.05" customHeight="1" spans="1:12">
      <c r="A700" s="10"/>
      <c r="B700" s="10"/>
      <c r="C700" s="10"/>
      <c r="D700" s="10" t="s">
        <v>978</v>
      </c>
      <c r="E700" s="10" t="s">
        <v>356</v>
      </c>
      <c r="F700" s="10" t="s">
        <v>976</v>
      </c>
      <c r="G700" s="24">
        <v>0</v>
      </c>
      <c r="H700" s="24">
        <v>0</v>
      </c>
      <c r="I700" s="24">
        <v>0</v>
      </c>
      <c r="J700" s="25">
        <v>0</v>
      </c>
      <c r="K700" s="24">
        <v>0</v>
      </c>
      <c r="L700" s="24">
        <v>0</v>
      </c>
    </row>
    <row r="701" ht="21.05" customHeight="1" spans="1:12">
      <c r="A701" s="10"/>
      <c r="B701" s="10"/>
      <c r="C701" s="10"/>
      <c r="D701" s="10" t="s">
        <v>979</v>
      </c>
      <c r="E701" s="10" t="s">
        <v>356</v>
      </c>
      <c r="F701" s="10" t="s">
        <v>355</v>
      </c>
      <c r="G701" s="24">
        <v>0</v>
      </c>
      <c r="H701" s="24">
        <v>0</v>
      </c>
      <c r="I701" s="24">
        <v>0</v>
      </c>
      <c r="J701" s="25">
        <v>0</v>
      </c>
      <c r="K701" s="24">
        <v>0</v>
      </c>
      <c r="L701" s="24">
        <v>0</v>
      </c>
    </row>
    <row r="702" ht="21.05" customHeight="1" spans="1:12">
      <c r="A702" s="10"/>
      <c r="B702" s="10"/>
      <c r="C702" s="10" t="s">
        <v>980</v>
      </c>
      <c r="D702" s="10" t="s">
        <v>981</v>
      </c>
      <c r="E702" s="10" t="s">
        <v>356</v>
      </c>
      <c r="F702" s="10" t="s">
        <v>355</v>
      </c>
      <c r="G702" s="24">
        <v>0</v>
      </c>
      <c r="H702" s="24">
        <v>0</v>
      </c>
      <c r="I702" s="24">
        <v>5.2905</v>
      </c>
      <c r="J702" s="25">
        <v>-5.2905</v>
      </c>
      <c r="K702" s="24">
        <v>179.5364</v>
      </c>
      <c r="L702" s="24">
        <v>179.5364</v>
      </c>
    </row>
    <row r="703" ht="21.05" customHeight="1" spans="1:12">
      <c r="A703" s="10"/>
      <c r="B703" s="10"/>
      <c r="C703" s="10" t="s">
        <v>982</v>
      </c>
      <c r="D703" s="10" t="s">
        <v>983</v>
      </c>
      <c r="E703" s="10" t="s">
        <v>356</v>
      </c>
      <c r="F703" s="10" t="s">
        <v>976</v>
      </c>
      <c r="G703" s="24">
        <v>0</v>
      </c>
      <c r="H703" s="24">
        <v>0</v>
      </c>
      <c r="I703" s="24">
        <v>0</v>
      </c>
      <c r="J703" s="25">
        <v>0</v>
      </c>
      <c r="K703" s="24">
        <v>0</v>
      </c>
      <c r="L703" s="24">
        <v>0</v>
      </c>
    </row>
    <row r="704" ht="21.05" customHeight="1" spans="1:12">
      <c r="A704" s="10"/>
      <c r="B704" s="10"/>
      <c r="C704" s="10"/>
      <c r="D704" s="10" t="s">
        <v>984</v>
      </c>
      <c r="E704" s="10" t="s">
        <v>356</v>
      </c>
      <c r="F704" s="10" t="s">
        <v>976</v>
      </c>
      <c r="G704" s="24">
        <v>0</v>
      </c>
      <c r="H704" s="24">
        <v>0</v>
      </c>
      <c r="I704" s="24">
        <v>39.0091</v>
      </c>
      <c r="J704" s="25">
        <v>-39.0091</v>
      </c>
      <c r="K704" s="24">
        <v>1420.4296</v>
      </c>
      <c r="L704" s="24">
        <v>1420.4296</v>
      </c>
    </row>
    <row r="705" ht="21.05" customHeight="1" spans="1:12">
      <c r="A705" s="10"/>
      <c r="B705" s="10"/>
      <c r="C705" s="10" t="s">
        <v>985</v>
      </c>
      <c r="D705" s="10" t="s">
        <v>986</v>
      </c>
      <c r="E705" s="10" t="s">
        <v>356</v>
      </c>
      <c r="F705" s="10" t="s">
        <v>976</v>
      </c>
      <c r="G705" s="24">
        <v>0</v>
      </c>
      <c r="H705" s="24">
        <v>0</v>
      </c>
      <c r="I705" s="24">
        <v>12.661</v>
      </c>
      <c r="J705" s="25">
        <v>-12.661</v>
      </c>
      <c r="K705" s="24">
        <v>383.7132</v>
      </c>
      <c r="L705" s="24">
        <v>383.7132</v>
      </c>
    </row>
    <row r="706" ht="21.05" customHeight="1" spans="1:12">
      <c r="A706" s="10"/>
      <c r="B706" s="10"/>
      <c r="C706" s="10"/>
      <c r="D706" s="10" t="s">
        <v>987</v>
      </c>
      <c r="E706" s="10" t="s">
        <v>356</v>
      </c>
      <c r="F706" s="10" t="s">
        <v>976</v>
      </c>
      <c r="G706" s="24">
        <v>0</v>
      </c>
      <c r="H706" s="24">
        <v>0</v>
      </c>
      <c r="I706" s="24">
        <v>0</v>
      </c>
      <c r="J706" s="25">
        <v>0</v>
      </c>
      <c r="K706" s="24">
        <v>0</v>
      </c>
      <c r="L706" s="24">
        <v>0</v>
      </c>
    </row>
    <row r="707" ht="21.05" customHeight="1" spans="1:12">
      <c r="A707" s="10"/>
      <c r="B707" s="10"/>
      <c r="C707" s="10"/>
      <c r="D707" s="10" t="s">
        <v>988</v>
      </c>
      <c r="E707" s="10" t="s">
        <v>356</v>
      </c>
      <c r="F707" s="10" t="s">
        <v>355</v>
      </c>
      <c r="G707" s="24">
        <v>0</v>
      </c>
      <c r="H707" s="24">
        <v>0</v>
      </c>
      <c r="I707" s="24">
        <v>13.3216</v>
      </c>
      <c r="J707" s="25">
        <v>-13.3216</v>
      </c>
      <c r="K707" s="24">
        <v>488.12</v>
      </c>
      <c r="L707" s="24">
        <v>488.12</v>
      </c>
    </row>
    <row r="708" ht="21.05" customHeight="1" spans="1:12">
      <c r="A708" s="10"/>
      <c r="B708" s="10"/>
      <c r="C708" s="10" t="s">
        <v>989</v>
      </c>
      <c r="D708" s="10" t="s">
        <v>990</v>
      </c>
      <c r="E708" s="10" t="s">
        <v>258</v>
      </c>
      <c r="F708" s="10" t="s">
        <v>355</v>
      </c>
      <c r="G708" s="24">
        <v>0</v>
      </c>
      <c r="H708" s="24">
        <v>0</v>
      </c>
      <c r="I708" s="24">
        <v>9.5632</v>
      </c>
      <c r="J708" s="25">
        <v>-9.5632</v>
      </c>
      <c r="K708" s="24">
        <v>575.9917</v>
      </c>
      <c r="L708" s="24">
        <v>575.9917</v>
      </c>
    </row>
    <row r="709" ht="21.05" customHeight="1" spans="1:12">
      <c r="A709" s="10"/>
      <c r="B709" s="10"/>
      <c r="C709" s="10" t="s">
        <v>991</v>
      </c>
      <c r="D709" s="10" t="s">
        <v>992</v>
      </c>
      <c r="E709" s="10" t="s">
        <v>356</v>
      </c>
      <c r="F709" s="10" t="s">
        <v>976</v>
      </c>
      <c r="G709" s="24">
        <v>0</v>
      </c>
      <c r="H709" s="24">
        <v>0</v>
      </c>
      <c r="I709" s="24">
        <v>0</v>
      </c>
      <c r="J709" s="25">
        <v>0</v>
      </c>
      <c r="K709" s="24">
        <v>0</v>
      </c>
      <c r="L709" s="24">
        <v>0</v>
      </c>
    </row>
    <row r="710" ht="21.05" customHeight="1" spans="1:12">
      <c r="A710" s="10"/>
      <c r="B710" s="10"/>
      <c r="C710" s="10"/>
      <c r="D710" s="10" t="s">
        <v>993</v>
      </c>
      <c r="E710" s="10" t="s">
        <v>356</v>
      </c>
      <c r="F710" s="10" t="s">
        <v>976</v>
      </c>
      <c r="G710" s="24">
        <v>0</v>
      </c>
      <c r="H710" s="24">
        <v>0</v>
      </c>
      <c r="I710" s="24">
        <v>0</v>
      </c>
      <c r="J710" s="25">
        <v>0</v>
      </c>
      <c r="K710" s="24">
        <v>0</v>
      </c>
      <c r="L710" s="24">
        <v>0</v>
      </c>
    </row>
    <row r="711" ht="21.05" customHeight="1" spans="1:12">
      <c r="A711" s="10"/>
      <c r="B711" s="10"/>
      <c r="C711" s="10"/>
      <c r="D711" s="10"/>
      <c r="E711" s="10"/>
      <c r="F711" s="10" t="s">
        <v>355</v>
      </c>
      <c r="G711" s="24">
        <v>0</v>
      </c>
      <c r="H711" s="24">
        <v>0</v>
      </c>
      <c r="I711" s="24">
        <v>0</v>
      </c>
      <c r="J711" s="25">
        <v>0</v>
      </c>
      <c r="K711" s="24">
        <v>0</v>
      </c>
      <c r="L711" s="24">
        <v>0</v>
      </c>
    </row>
    <row r="712" ht="21.05" customHeight="1" spans="1:12">
      <c r="A712" s="10"/>
      <c r="B712" s="10"/>
      <c r="C712" s="10" t="s">
        <v>994</v>
      </c>
      <c r="D712" s="10" t="s">
        <v>995</v>
      </c>
      <c r="E712" s="10" t="s">
        <v>356</v>
      </c>
      <c r="F712" s="10" t="s">
        <v>355</v>
      </c>
      <c r="G712" s="24">
        <v>0</v>
      </c>
      <c r="H712" s="24">
        <v>0</v>
      </c>
      <c r="I712" s="24">
        <v>0</v>
      </c>
      <c r="J712" s="25">
        <v>0</v>
      </c>
      <c r="K712" s="24">
        <v>0</v>
      </c>
      <c r="L712" s="24">
        <v>0</v>
      </c>
    </row>
    <row r="713" ht="21.05" customHeight="1" spans="1:12">
      <c r="A713" s="10"/>
      <c r="B713" s="10"/>
      <c r="C713" s="10"/>
      <c r="D713" s="10"/>
      <c r="E713" s="10"/>
      <c r="F713" s="10" t="s">
        <v>976</v>
      </c>
      <c r="G713" s="24">
        <v>0</v>
      </c>
      <c r="H713" s="24">
        <v>0</v>
      </c>
      <c r="I713" s="24">
        <v>31.702</v>
      </c>
      <c r="J713" s="25">
        <v>-31.702</v>
      </c>
      <c r="K713" s="24">
        <v>1572.4862</v>
      </c>
      <c r="L713" s="24">
        <v>1572.4862</v>
      </c>
    </row>
    <row r="714" ht="21.05" customHeight="1" spans="1:12">
      <c r="A714" s="10"/>
      <c r="B714" s="10"/>
      <c r="C714" s="10"/>
      <c r="D714" s="10" t="s">
        <v>996</v>
      </c>
      <c r="E714" s="10" t="s">
        <v>356</v>
      </c>
      <c r="F714" s="10" t="s">
        <v>355</v>
      </c>
      <c r="G714" s="24">
        <v>0</v>
      </c>
      <c r="H714" s="24">
        <v>0</v>
      </c>
      <c r="I714" s="24">
        <v>5.502</v>
      </c>
      <c r="J714" s="25">
        <v>-5.502</v>
      </c>
      <c r="K714" s="24">
        <v>966.3371</v>
      </c>
      <c r="L714" s="24">
        <v>966.3371</v>
      </c>
    </row>
    <row r="715" ht="21.05" customHeight="1" spans="1:12">
      <c r="A715" s="10"/>
      <c r="B715" s="10"/>
      <c r="C715" s="10" t="s">
        <v>997</v>
      </c>
      <c r="D715" s="10" t="s">
        <v>998</v>
      </c>
      <c r="E715" s="10" t="s">
        <v>356</v>
      </c>
      <c r="F715" s="10" t="s">
        <v>976</v>
      </c>
      <c r="G715" s="24">
        <v>0</v>
      </c>
      <c r="H715" s="24">
        <v>0</v>
      </c>
      <c r="I715" s="24">
        <v>0</v>
      </c>
      <c r="J715" s="25">
        <v>0</v>
      </c>
      <c r="K715" s="24">
        <v>0</v>
      </c>
      <c r="L715" s="24">
        <v>0</v>
      </c>
    </row>
    <row r="716" ht="21.05" customHeight="1" spans="1:12">
      <c r="A716" s="10"/>
      <c r="B716" s="10"/>
      <c r="C716" s="10"/>
      <c r="D716" s="10" t="s">
        <v>999</v>
      </c>
      <c r="E716" s="10" t="s">
        <v>356</v>
      </c>
      <c r="F716" s="10" t="s">
        <v>976</v>
      </c>
      <c r="G716" s="24">
        <v>0</v>
      </c>
      <c r="H716" s="24">
        <v>0</v>
      </c>
      <c r="I716" s="24">
        <v>0</v>
      </c>
      <c r="J716" s="25">
        <v>0</v>
      </c>
      <c r="K716" s="24">
        <v>0</v>
      </c>
      <c r="L716" s="24">
        <v>0</v>
      </c>
    </row>
    <row r="717" ht="21.05" customHeight="1" spans="1:12">
      <c r="A717" s="10"/>
      <c r="B717" s="10"/>
      <c r="C717" s="10"/>
      <c r="D717" s="10"/>
      <c r="E717" s="10"/>
      <c r="F717" s="10" t="s">
        <v>355</v>
      </c>
      <c r="G717" s="24">
        <v>0</v>
      </c>
      <c r="H717" s="24">
        <v>0</v>
      </c>
      <c r="I717" s="24">
        <v>0</v>
      </c>
      <c r="J717" s="25">
        <v>0</v>
      </c>
      <c r="K717" s="24">
        <v>0</v>
      </c>
      <c r="L717" s="24">
        <v>0</v>
      </c>
    </row>
    <row r="718" ht="21.05" customHeight="1" spans="1:12">
      <c r="A718" s="10"/>
      <c r="B718" s="10"/>
      <c r="C718" s="10"/>
      <c r="D718" s="10" t="s">
        <v>1000</v>
      </c>
      <c r="E718" s="10" t="s">
        <v>356</v>
      </c>
      <c r="F718" s="10" t="s">
        <v>355</v>
      </c>
      <c r="G718" s="24">
        <v>0</v>
      </c>
      <c r="H718" s="24">
        <v>0</v>
      </c>
      <c r="I718" s="24">
        <v>0</v>
      </c>
      <c r="J718" s="25">
        <v>0</v>
      </c>
      <c r="K718" s="24">
        <v>0</v>
      </c>
      <c r="L718" s="24">
        <v>0</v>
      </c>
    </row>
    <row r="719" ht="21.05" customHeight="1" spans="1:12">
      <c r="A719" s="10"/>
      <c r="B719" s="10"/>
      <c r="C719" s="10" t="s">
        <v>1001</v>
      </c>
      <c r="D719" s="10" t="s">
        <v>1002</v>
      </c>
      <c r="E719" s="10" t="s">
        <v>356</v>
      </c>
      <c r="F719" s="10" t="s">
        <v>976</v>
      </c>
      <c r="G719" s="24">
        <v>0</v>
      </c>
      <c r="H719" s="24">
        <v>0</v>
      </c>
      <c r="I719" s="24">
        <v>4.2539</v>
      </c>
      <c r="J719" s="25">
        <v>-4.2539</v>
      </c>
      <c r="K719" s="24">
        <v>169.9817</v>
      </c>
      <c r="L719" s="24">
        <v>169.9817</v>
      </c>
    </row>
    <row r="720" ht="21.05" customHeight="1" spans="1:12">
      <c r="A720" s="10"/>
      <c r="B720" s="10"/>
      <c r="C720" s="10" t="s">
        <v>66</v>
      </c>
      <c r="D720" s="10" t="s">
        <v>992</v>
      </c>
      <c r="E720" s="10" t="s">
        <v>356</v>
      </c>
      <c r="F720" s="10" t="s">
        <v>976</v>
      </c>
      <c r="G720" s="24">
        <v>0</v>
      </c>
      <c r="H720" s="24">
        <v>0</v>
      </c>
      <c r="I720" s="24">
        <v>0</v>
      </c>
      <c r="J720" s="25">
        <v>0</v>
      </c>
      <c r="K720" s="24">
        <v>0</v>
      </c>
      <c r="L720" s="24">
        <v>0</v>
      </c>
    </row>
    <row r="721" ht="21.05" customHeight="1" spans="1:12">
      <c r="A721" s="10"/>
      <c r="B721" s="10"/>
      <c r="C721" s="10"/>
      <c r="D721" s="10"/>
      <c r="E721" s="10"/>
      <c r="F721" s="10" t="s">
        <v>355</v>
      </c>
      <c r="G721" s="24">
        <v>0</v>
      </c>
      <c r="H721" s="24">
        <v>0</v>
      </c>
      <c r="I721" s="24">
        <v>0</v>
      </c>
      <c r="J721" s="25">
        <v>0</v>
      </c>
      <c r="K721" s="24">
        <v>0</v>
      </c>
      <c r="L721" s="24">
        <v>0</v>
      </c>
    </row>
    <row r="722" ht="21.05" customHeight="1" spans="1:12">
      <c r="A722" s="10"/>
      <c r="B722" s="10"/>
      <c r="C722" s="10" t="s">
        <v>1003</v>
      </c>
      <c r="D722" s="10" t="s">
        <v>992</v>
      </c>
      <c r="E722" s="10" t="s">
        <v>356</v>
      </c>
      <c r="F722" s="10" t="s">
        <v>976</v>
      </c>
      <c r="G722" s="24">
        <v>0</v>
      </c>
      <c r="H722" s="24">
        <v>0</v>
      </c>
      <c r="I722" s="24">
        <v>0</v>
      </c>
      <c r="J722" s="25">
        <v>0</v>
      </c>
      <c r="K722" s="24">
        <v>0</v>
      </c>
      <c r="L722" s="24">
        <v>0</v>
      </c>
    </row>
    <row r="723" ht="21.05" customHeight="1" spans="1:12">
      <c r="A723" s="10"/>
      <c r="B723" s="10"/>
      <c r="C723" s="10"/>
      <c r="D723" s="10"/>
      <c r="E723" s="10"/>
      <c r="F723" s="10" t="s">
        <v>355</v>
      </c>
      <c r="G723" s="24">
        <v>0</v>
      </c>
      <c r="H723" s="24">
        <v>0</v>
      </c>
      <c r="I723" s="24">
        <v>0</v>
      </c>
      <c r="J723" s="25">
        <v>0</v>
      </c>
      <c r="K723" s="24">
        <v>0</v>
      </c>
      <c r="L723" s="24">
        <v>0</v>
      </c>
    </row>
    <row r="724" ht="21.05" customHeight="1" spans="1:12">
      <c r="A724" s="10" t="s">
        <v>755</v>
      </c>
      <c r="B724" s="10" t="s">
        <v>756</v>
      </c>
      <c r="C724" s="10" t="s">
        <v>757</v>
      </c>
      <c r="D724" s="10" t="s">
        <v>758</v>
      </c>
      <c r="E724" s="10" t="s">
        <v>382</v>
      </c>
      <c r="F724" s="10" t="s">
        <v>852</v>
      </c>
      <c r="G724" s="24">
        <v>0</v>
      </c>
      <c r="H724" s="24">
        <v>0</v>
      </c>
      <c r="I724" s="24">
        <v>0</v>
      </c>
      <c r="J724" s="25">
        <v>0</v>
      </c>
      <c r="K724" s="24">
        <v>0</v>
      </c>
      <c r="L724" s="24">
        <v>0</v>
      </c>
    </row>
    <row r="725" ht="21.05" customHeight="1" spans="1:12">
      <c r="A725" s="10"/>
      <c r="B725" s="10"/>
      <c r="C725" s="10"/>
      <c r="D725" s="10"/>
      <c r="E725" s="10"/>
      <c r="F725" s="10" t="s">
        <v>906</v>
      </c>
      <c r="G725" s="24">
        <v>0</v>
      </c>
      <c r="H725" s="24">
        <v>0</v>
      </c>
      <c r="I725" s="24">
        <v>0</v>
      </c>
      <c r="J725" s="25">
        <v>0</v>
      </c>
      <c r="K725" s="24">
        <v>0</v>
      </c>
      <c r="L725" s="24">
        <v>0</v>
      </c>
    </row>
    <row r="726" ht="21.05" customHeight="1" spans="1:12">
      <c r="A726" s="10"/>
      <c r="B726" s="10"/>
      <c r="C726" s="10"/>
      <c r="D726" s="10"/>
      <c r="E726" s="10"/>
      <c r="F726" s="10" t="s">
        <v>898</v>
      </c>
      <c r="G726" s="24">
        <v>0</v>
      </c>
      <c r="H726" s="24">
        <v>0</v>
      </c>
      <c r="I726" s="24">
        <v>0</v>
      </c>
      <c r="J726" s="25">
        <v>0</v>
      </c>
      <c r="K726" s="24">
        <v>0</v>
      </c>
      <c r="L726" s="24">
        <v>0</v>
      </c>
    </row>
    <row r="727" ht="21.05" customHeight="1" spans="1:12">
      <c r="A727" s="10"/>
      <c r="B727" s="10" t="s">
        <v>84</v>
      </c>
      <c r="C727" s="10" t="s">
        <v>759</v>
      </c>
      <c r="D727" s="10" t="s">
        <v>760</v>
      </c>
      <c r="E727" s="10" t="s">
        <v>382</v>
      </c>
      <c r="F727" s="10" t="s">
        <v>922</v>
      </c>
      <c r="G727" s="24">
        <v>0</v>
      </c>
      <c r="H727" s="24">
        <v>0</v>
      </c>
      <c r="I727" s="24">
        <v>0</v>
      </c>
      <c r="J727" s="25">
        <v>0</v>
      </c>
      <c r="K727" s="24">
        <v>0</v>
      </c>
      <c r="L727" s="24">
        <v>0</v>
      </c>
    </row>
    <row r="728" ht="21.05" customHeight="1" spans="1:12">
      <c r="A728" s="10"/>
      <c r="B728" s="10"/>
      <c r="C728" s="10"/>
      <c r="D728" s="10"/>
      <c r="E728" s="10"/>
      <c r="F728" s="10" t="s">
        <v>852</v>
      </c>
      <c r="G728" s="24">
        <v>0</v>
      </c>
      <c r="H728" s="24">
        <v>0</v>
      </c>
      <c r="I728" s="24">
        <v>0</v>
      </c>
      <c r="J728" s="25">
        <v>0</v>
      </c>
      <c r="K728" s="24">
        <v>0</v>
      </c>
      <c r="L728" s="24">
        <v>0</v>
      </c>
    </row>
    <row r="729" ht="21.05" customHeight="1" spans="1:12">
      <c r="A729" s="10"/>
      <c r="B729" s="10"/>
      <c r="C729" s="10"/>
      <c r="D729" s="10"/>
      <c r="E729" s="10"/>
      <c r="F729" s="10" t="s">
        <v>902</v>
      </c>
      <c r="G729" s="24">
        <v>0</v>
      </c>
      <c r="H729" s="24">
        <v>0</v>
      </c>
      <c r="I729" s="24">
        <v>0</v>
      </c>
      <c r="J729" s="25">
        <v>0</v>
      </c>
      <c r="K729" s="24">
        <v>0</v>
      </c>
      <c r="L729" s="24">
        <v>0</v>
      </c>
    </row>
    <row r="730" ht="21.05" customHeight="1" spans="1:12">
      <c r="A730" s="10"/>
      <c r="B730" s="10"/>
      <c r="C730" s="10"/>
      <c r="D730" s="10"/>
      <c r="E730" s="10"/>
      <c r="F730" s="10" t="s">
        <v>906</v>
      </c>
      <c r="G730" s="24">
        <v>0</v>
      </c>
      <c r="H730" s="24">
        <v>0</v>
      </c>
      <c r="I730" s="24">
        <v>0</v>
      </c>
      <c r="J730" s="25">
        <v>0</v>
      </c>
      <c r="K730" s="24">
        <v>0</v>
      </c>
      <c r="L730" s="24">
        <v>0</v>
      </c>
    </row>
    <row r="731" ht="21.05" customHeight="1" spans="1:12">
      <c r="A731" s="10"/>
      <c r="B731" s="10"/>
      <c r="C731" s="10"/>
      <c r="D731" s="10"/>
      <c r="E731" s="10"/>
      <c r="F731" s="10" t="s">
        <v>898</v>
      </c>
      <c r="G731" s="24">
        <v>0</v>
      </c>
      <c r="H731" s="24">
        <v>6.9</v>
      </c>
      <c r="I731" s="24">
        <v>0</v>
      </c>
      <c r="J731" s="25">
        <v>0</v>
      </c>
      <c r="K731" s="24">
        <v>6.9239</v>
      </c>
      <c r="L731" s="24">
        <v>6.9239</v>
      </c>
    </row>
    <row r="732" ht="21.05" customHeight="1" spans="1:12">
      <c r="A732" s="10"/>
      <c r="B732" s="10"/>
      <c r="C732" s="10" t="s">
        <v>761</v>
      </c>
      <c r="D732" s="10" t="s">
        <v>383</v>
      </c>
      <c r="E732" s="10" t="s">
        <v>382</v>
      </c>
      <c r="F732" s="10" t="s">
        <v>908</v>
      </c>
      <c r="G732" s="24">
        <v>0</v>
      </c>
      <c r="H732" s="24">
        <v>0</v>
      </c>
      <c r="I732" s="24">
        <v>0</v>
      </c>
      <c r="J732" s="25">
        <v>0</v>
      </c>
      <c r="K732" s="24">
        <v>0</v>
      </c>
      <c r="L732" s="24">
        <v>0</v>
      </c>
    </row>
    <row r="733" ht="21.05" customHeight="1" spans="1:12">
      <c r="A733" s="10"/>
      <c r="B733" s="10"/>
      <c r="C733" s="10"/>
      <c r="D733" s="10"/>
      <c r="E733" s="10"/>
      <c r="F733" s="10" t="s">
        <v>852</v>
      </c>
      <c r="G733" s="24">
        <v>12</v>
      </c>
      <c r="H733" s="24">
        <v>1242</v>
      </c>
      <c r="I733" s="24">
        <v>10.0104</v>
      </c>
      <c r="J733" s="25">
        <v>1.9896</v>
      </c>
      <c r="K733" s="24">
        <v>1171.8537</v>
      </c>
      <c r="L733" s="24">
        <v>1171.8537</v>
      </c>
    </row>
    <row r="734" ht="21.05" customHeight="1" spans="1:12">
      <c r="A734" s="10"/>
      <c r="B734" s="10"/>
      <c r="C734" s="10"/>
      <c r="D734" s="10"/>
      <c r="E734" s="10"/>
      <c r="F734" s="10" t="s">
        <v>860</v>
      </c>
      <c r="G734" s="24">
        <v>0</v>
      </c>
      <c r="H734" s="24">
        <v>0</v>
      </c>
      <c r="I734" s="24">
        <v>0</v>
      </c>
      <c r="J734" s="25">
        <v>0</v>
      </c>
      <c r="K734" s="24">
        <v>0</v>
      </c>
      <c r="L734" s="24">
        <v>0</v>
      </c>
    </row>
    <row r="735" ht="21.05" customHeight="1" spans="1:12">
      <c r="A735" s="10"/>
      <c r="B735" s="10"/>
      <c r="C735" s="10"/>
      <c r="D735" s="10"/>
      <c r="E735" s="10"/>
      <c r="F735" s="10" t="s">
        <v>906</v>
      </c>
      <c r="G735" s="24">
        <v>0</v>
      </c>
      <c r="H735" s="24">
        <v>0</v>
      </c>
      <c r="I735" s="24">
        <v>0</v>
      </c>
      <c r="J735" s="25">
        <v>0</v>
      </c>
      <c r="K735" s="24">
        <v>0</v>
      </c>
      <c r="L735" s="24">
        <v>0</v>
      </c>
    </row>
    <row r="736" ht="21.05" customHeight="1" spans="1:12">
      <c r="A736" s="10"/>
      <c r="B736" s="10"/>
      <c r="C736" s="10"/>
      <c r="D736" s="10"/>
      <c r="E736" s="10"/>
      <c r="F736" s="10" t="s">
        <v>864</v>
      </c>
      <c r="G736" s="24">
        <v>0</v>
      </c>
      <c r="H736" s="24">
        <v>0</v>
      </c>
      <c r="I736" s="24">
        <v>0</v>
      </c>
      <c r="J736" s="25">
        <v>0</v>
      </c>
      <c r="K736" s="24">
        <v>0</v>
      </c>
      <c r="L736" s="24">
        <v>0</v>
      </c>
    </row>
    <row r="737" ht="21.05" customHeight="1" spans="1:12">
      <c r="A737" s="10"/>
      <c r="B737" s="10"/>
      <c r="C737" s="10"/>
      <c r="D737" s="10"/>
      <c r="E737" s="10"/>
      <c r="F737" s="10" t="s">
        <v>898</v>
      </c>
      <c r="G737" s="24">
        <v>2</v>
      </c>
      <c r="H737" s="24">
        <v>38</v>
      </c>
      <c r="I737" s="24">
        <v>1.6684</v>
      </c>
      <c r="J737" s="25">
        <v>0.3316</v>
      </c>
      <c r="K737" s="24">
        <v>35.2082</v>
      </c>
      <c r="L737" s="24">
        <v>35.2082</v>
      </c>
    </row>
    <row r="738" ht="21.05" customHeight="1" spans="1:12">
      <c r="A738" s="10"/>
      <c r="B738" s="10"/>
      <c r="C738" s="10"/>
      <c r="D738" s="10"/>
      <c r="E738" s="10"/>
      <c r="F738" s="10" t="s">
        <v>927</v>
      </c>
      <c r="G738" s="24">
        <v>0</v>
      </c>
      <c r="H738" s="24">
        <v>0</v>
      </c>
      <c r="I738" s="24">
        <v>0</v>
      </c>
      <c r="J738" s="25">
        <v>0</v>
      </c>
      <c r="K738" s="24">
        <v>0</v>
      </c>
      <c r="L738" s="24">
        <v>0</v>
      </c>
    </row>
    <row r="739" ht="21.05" customHeight="1" spans="1:12">
      <c r="A739" s="10"/>
      <c r="B739" s="10"/>
      <c r="C739" s="10" t="s">
        <v>763</v>
      </c>
      <c r="D739" s="10" t="s">
        <v>383</v>
      </c>
      <c r="E739" s="10" t="s">
        <v>382</v>
      </c>
      <c r="F739" s="10" t="s">
        <v>852</v>
      </c>
      <c r="G739" s="24">
        <v>10.18</v>
      </c>
      <c r="H739" s="24">
        <v>399.76</v>
      </c>
      <c r="I739" s="24">
        <v>10.0501</v>
      </c>
      <c r="J739" s="25">
        <v>0.1299</v>
      </c>
      <c r="K739" s="24">
        <v>352.5017</v>
      </c>
      <c r="L739" s="24">
        <v>352.5017</v>
      </c>
    </row>
    <row r="740" ht="21.05" customHeight="1" spans="1:12">
      <c r="A740" s="10"/>
      <c r="B740" s="10"/>
      <c r="C740" s="10" t="s">
        <v>765</v>
      </c>
      <c r="D740" s="10" t="s">
        <v>766</v>
      </c>
      <c r="E740" s="10" t="s">
        <v>382</v>
      </c>
      <c r="F740" s="10" t="s">
        <v>852</v>
      </c>
      <c r="G740" s="24">
        <v>0</v>
      </c>
      <c r="H740" s="24">
        <v>14.8</v>
      </c>
      <c r="I740" s="24">
        <v>0</v>
      </c>
      <c r="J740" s="25">
        <v>0</v>
      </c>
      <c r="K740" s="24">
        <v>12.4463</v>
      </c>
      <c r="L740" s="24">
        <v>12.4463</v>
      </c>
    </row>
    <row r="741" ht="21.05" customHeight="1" spans="1:12">
      <c r="A741" s="10"/>
      <c r="B741" s="10"/>
      <c r="C741" s="10"/>
      <c r="D741" s="10"/>
      <c r="E741" s="10"/>
      <c r="F741" s="10" t="s">
        <v>861</v>
      </c>
      <c r="G741" s="24">
        <v>0</v>
      </c>
      <c r="H741" s="24">
        <v>0</v>
      </c>
      <c r="I741" s="24">
        <v>0</v>
      </c>
      <c r="J741" s="25">
        <v>0</v>
      </c>
      <c r="K741" s="24">
        <v>0</v>
      </c>
      <c r="L741" s="24">
        <v>0</v>
      </c>
    </row>
    <row r="742" ht="21.05" customHeight="1" spans="1:12">
      <c r="A742" s="10"/>
      <c r="B742" s="10"/>
      <c r="C742" s="10"/>
      <c r="D742" s="10"/>
      <c r="E742" s="10"/>
      <c r="F742" s="10" t="s">
        <v>906</v>
      </c>
      <c r="G742" s="24">
        <v>0</v>
      </c>
      <c r="H742" s="24">
        <v>0</v>
      </c>
      <c r="I742" s="24">
        <v>0</v>
      </c>
      <c r="J742" s="25">
        <v>0</v>
      </c>
      <c r="K742" s="24">
        <v>0</v>
      </c>
      <c r="L742" s="24">
        <v>0</v>
      </c>
    </row>
    <row r="743" ht="21.05" customHeight="1" spans="1:12">
      <c r="A743" s="10"/>
      <c r="B743" s="10"/>
      <c r="C743" s="10"/>
      <c r="D743" s="10"/>
      <c r="E743" s="10"/>
      <c r="F743" s="10" t="s">
        <v>864</v>
      </c>
      <c r="G743" s="24">
        <v>0</v>
      </c>
      <c r="H743" s="24">
        <v>5.78</v>
      </c>
      <c r="I743" s="24">
        <v>0</v>
      </c>
      <c r="J743" s="25">
        <v>0</v>
      </c>
      <c r="K743" s="24">
        <v>5.4039</v>
      </c>
      <c r="L743" s="24">
        <v>5.4039</v>
      </c>
    </row>
    <row r="744" ht="21.05" customHeight="1" spans="1:12">
      <c r="A744" s="10"/>
      <c r="B744" s="10"/>
      <c r="C744" s="10"/>
      <c r="D744" s="10"/>
      <c r="E744" s="10"/>
      <c r="F744" s="10" t="s">
        <v>898</v>
      </c>
      <c r="G744" s="24">
        <v>0</v>
      </c>
      <c r="H744" s="24">
        <v>0</v>
      </c>
      <c r="I744" s="24">
        <v>0</v>
      </c>
      <c r="J744" s="25">
        <v>0</v>
      </c>
      <c r="K744" s="24">
        <v>0</v>
      </c>
      <c r="L744" s="24">
        <v>0</v>
      </c>
    </row>
    <row r="745" ht="21.05" customHeight="1" spans="1:12">
      <c r="A745" s="10"/>
      <c r="B745" s="10"/>
      <c r="C745" s="10" t="s">
        <v>767</v>
      </c>
      <c r="D745" s="10" t="s">
        <v>383</v>
      </c>
      <c r="E745" s="10" t="s">
        <v>382</v>
      </c>
      <c r="F745" s="10" t="s">
        <v>852</v>
      </c>
      <c r="G745" s="24">
        <v>5</v>
      </c>
      <c r="H745" s="24">
        <v>206.3</v>
      </c>
      <c r="I745" s="24">
        <v>4.5508</v>
      </c>
      <c r="J745" s="25">
        <v>0.4492</v>
      </c>
      <c r="K745" s="24">
        <v>188.5931</v>
      </c>
      <c r="L745" s="24">
        <v>188.5931</v>
      </c>
    </row>
    <row r="746" ht="21.05" customHeight="1" spans="1:12">
      <c r="A746" s="10"/>
      <c r="B746" s="10"/>
      <c r="C746" s="10"/>
      <c r="D746" s="10"/>
      <c r="E746" s="10"/>
      <c r="F746" s="10" t="s">
        <v>860</v>
      </c>
      <c r="G746" s="24">
        <v>0</v>
      </c>
      <c r="H746" s="24">
        <v>0</v>
      </c>
      <c r="I746" s="24">
        <v>0</v>
      </c>
      <c r="J746" s="25">
        <v>0</v>
      </c>
      <c r="K746" s="24">
        <v>0</v>
      </c>
      <c r="L746" s="24">
        <v>0</v>
      </c>
    </row>
    <row r="747" ht="21.05" customHeight="1" spans="1:12">
      <c r="A747" s="10"/>
      <c r="B747" s="10"/>
      <c r="C747" s="10"/>
      <c r="D747" s="10"/>
      <c r="E747" s="10"/>
      <c r="F747" s="10" t="s">
        <v>906</v>
      </c>
      <c r="G747" s="24">
        <v>0</v>
      </c>
      <c r="H747" s="24">
        <v>0</v>
      </c>
      <c r="I747" s="24">
        <v>0</v>
      </c>
      <c r="J747" s="25">
        <v>0</v>
      </c>
      <c r="K747" s="24">
        <v>0</v>
      </c>
      <c r="L747" s="24">
        <v>0</v>
      </c>
    </row>
    <row r="748" ht="21.05" customHeight="1" spans="1:12">
      <c r="A748" s="10"/>
      <c r="B748" s="10"/>
      <c r="C748" s="10"/>
      <c r="D748" s="10"/>
      <c r="E748" s="10"/>
      <c r="F748" s="10" t="s">
        <v>864</v>
      </c>
      <c r="G748" s="24">
        <v>0</v>
      </c>
      <c r="H748" s="24">
        <v>0</v>
      </c>
      <c r="I748" s="24">
        <v>0</v>
      </c>
      <c r="J748" s="25">
        <v>0</v>
      </c>
      <c r="K748" s="24">
        <v>0</v>
      </c>
      <c r="L748" s="24">
        <v>0</v>
      </c>
    </row>
    <row r="749" ht="21.05" customHeight="1" spans="1:12">
      <c r="A749" s="10"/>
      <c r="B749" s="10"/>
      <c r="C749" s="10"/>
      <c r="D749" s="10"/>
      <c r="E749" s="10"/>
      <c r="F749" s="10" t="s">
        <v>898</v>
      </c>
      <c r="G749" s="24">
        <v>0</v>
      </c>
      <c r="H749" s="24">
        <v>0</v>
      </c>
      <c r="I749" s="24">
        <v>0</v>
      </c>
      <c r="J749" s="25">
        <v>0</v>
      </c>
      <c r="K749" s="24">
        <v>0</v>
      </c>
      <c r="L749" s="24">
        <v>0</v>
      </c>
    </row>
    <row r="750" ht="21.05" customHeight="1" spans="1:12">
      <c r="A750" s="10"/>
      <c r="B750" s="10" t="s">
        <v>210</v>
      </c>
      <c r="C750" s="10" t="s">
        <v>229</v>
      </c>
      <c r="D750" s="10" t="s">
        <v>769</v>
      </c>
      <c r="E750" s="10" t="s">
        <v>258</v>
      </c>
      <c r="F750" s="10" t="s">
        <v>852</v>
      </c>
      <c r="G750" s="24">
        <v>0</v>
      </c>
      <c r="H750" s="24">
        <v>0</v>
      </c>
      <c r="I750" s="24">
        <v>0</v>
      </c>
      <c r="J750" s="25">
        <v>0</v>
      </c>
      <c r="K750" s="24">
        <v>0</v>
      </c>
      <c r="L750" s="24">
        <v>0</v>
      </c>
    </row>
    <row r="751" ht="21.05" customHeight="1" spans="1:12">
      <c r="A751" s="10"/>
      <c r="B751" s="10"/>
      <c r="C751" s="10"/>
      <c r="D751" s="10" t="s">
        <v>770</v>
      </c>
      <c r="E751" s="10" t="s">
        <v>258</v>
      </c>
      <c r="F751" s="10" t="s">
        <v>852</v>
      </c>
      <c r="G751" s="24">
        <v>0</v>
      </c>
      <c r="H751" s="24">
        <v>0</v>
      </c>
      <c r="I751" s="24">
        <v>0</v>
      </c>
      <c r="J751" s="25">
        <v>0</v>
      </c>
      <c r="K751" s="24">
        <v>0</v>
      </c>
      <c r="L751" s="24">
        <v>0</v>
      </c>
    </row>
    <row r="752" ht="21.05" customHeight="1" spans="1:12">
      <c r="A752" s="10"/>
      <c r="B752" s="10"/>
      <c r="C752" s="10"/>
      <c r="D752" s="10" t="s">
        <v>771</v>
      </c>
      <c r="E752" s="10" t="s">
        <v>258</v>
      </c>
      <c r="F752" s="10" t="s">
        <v>1004</v>
      </c>
      <c r="G752" s="24">
        <v>0</v>
      </c>
      <c r="H752" s="24">
        <v>0</v>
      </c>
      <c r="I752" s="24">
        <v>0</v>
      </c>
      <c r="J752" s="25">
        <v>0</v>
      </c>
      <c r="K752" s="24">
        <v>0</v>
      </c>
      <c r="L752" s="24">
        <v>0</v>
      </c>
    </row>
    <row r="753" ht="21.05" customHeight="1" spans="1:12">
      <c r="A753" s="10"/>
      <c r="B753" s="10"/>
      <c r="C753" s="10"/>
      <c r="D753" s="10"/>
      <c r="E753" s="10"/>
      <c r="F753" s="10" t="s">
        <v>1005</v>
      </c>
      <c r="G753" s="24">
        <v>0</v>
      </c>
      <c r="H753" s="24">
        <v>0</v>
      </c>
      <c r="I753" s="24">
        <v>0</v>
      </c>
      <c r="J753" s="25">
        <v>0</v>
      </c>
      <c r="K753" s="24">
        <v>0</v>
      </c>
      <c r="L753" s="24">
        <v>0</v>
      </c>
    </row>
    <row r="754" ht="21.05" customHeight="1" spans="1:12">
      <c r="A754" s="10"/>
      <c r="B754" s="10"/>
      <c r="C754" s="10"/>
      <c r="D754" s="10"/>
      <c r="E754" s="10"/>
      <c r="F754" s="10" t="s">
        <v>908</v>
      </c>
      <c r="G754" s="24">
        <v>0</v>
      </c>
      <c r="H754" s="24">
        <v>0</v>
      </c>
      <c r="I754" s="24">
        <v>0</v>
      </c>
      <c r="J754" s="25">
        <v>0</v>
      </c>
      <c r="K754" s="24">
        <v>0</v>
      </c>
      <c r="L754" s="24">
        <v>0</v>
      </c>
    </row>
    <row r="755" ht="21.05" customHeight="1" spans="1:12">
      <c r="A755" s="10"/>
      <c r="B755" s="10"/>
      <c r="C755" s="10"/>
      <c r="D755" s="10"/>
      <c r="E755" s="10"/>
      <c r="F755" s="10" t="s">
        <v>852</v>
      </c>
      <c r="G755" s="24">
        <v>25</v>
      </c>
      <c r="H755" s="24">
        <v>2463</v>
      </c>
      <c r="I755" s="24">
        <v>25.1036</v>
      </c>
      <c r="J755" s="25">
        <v>-0.1036</v>
      </c>
      <c r="K755" s="24">
        <v>2396.7203</v>
      </c>
      <c r="L755" s="24">
        <v>2396.7203</v>
      </c>
    </row>
    <row r="756" ht="21.05" customHeight="1" spans="1:12">
      <c r="A756" s="10"/>
      <c r="B756" s="10"/>
      <c r="C756" s="10"/>
      <c r="D756" s="10"/>
      <c r="E756" s="10"/>
      <c r="F756" s="10" t="s">
        <v>1006</v>
      </c>
      <c r="G756" s="24">
        <v>0</v>
      </c>
      <c r="H756" s="24">
        <v>0</v>
      </c>
      <c r="I756" s="24">
        <v>0</v>
      </c>
      <c r="J756" s="25">
        <v>0</v>
      </c>
      <c r="K756" s="24">
        <v>0</v>
      </c>
      <c r="L756" s="24">
        <v>0</v>
      </c>
    </row>
    <row r="757" ht="21.05" customHeight="1" spans="1:12">
      <c r="A757" s="10"/>
      <c r="B757" s="10"/>
      <c r="C757" s="10"/>
      <c r="D757" s="10"/>
      <c r="E757" s="10"/>
      <c r="F757" s="10" t="s">
        <v>878</v>
      </c>
      <c r="G757" s="24">
        <v>0</v>
      </c>
      <c r="H757" s="24">
        <v>0</v>
      </c>
      <c r="I757" s="24">
        <v>0</v>
      </c>
      <c r="J757" s="25">
        <v>0</v>
      </c>
      <c r="K757" s="24">
        <v>0</v>
      </c>
      <c r="L757" s="24">
        <v>0</v>
      </c>
    </row>
    <row r="758" ht="21.05" customHeight="1" spans="1:12">
      <c r="A758" s="10"/>
      <c r="B758" s="10"/>
      <c r="C758" s="10"/>
      <c r="D758" s="10"/>
      <c r="E758" s="10"/>
      <c r="F758" s="10" t="s">
        <v>937</v>
      </c>
      <c r="G758" s="24">
        <v>0</v>
      </c>
      <c r="H758" s="24">
        <v>0</v>
      </c>
      <c r="I758" s="24">
        <v>0</v>
      </c>
      <c r="J758" s="25">
        <v>0</v>
      </c>
      <c r="K758" s="24">
        <v>0</v>
      </c>
      <c r="L758" s="24">
        <v>0</v>
      </c>
    </row>
    <row r="759" ht="21.05" customHeight="1" spans="1:12">
      <c r="A759" s="10"/>
      <c r="B759" s="10"/>
      <c r="C759" s="10"/>
      <c r="D759" s="10"/>
      <c r="E759" s="10"/>
      <c r="F759" s="10" t="s">
        <v>910</v>
      </c>
      <c r="G759" s="24">
        <v>0</v>
      </c>
      <c r="H759" s="24">
        <v>0</v>
      </c>
      <c r="I759" s="24">
        <v>0</v>
      </c>
      <c r="J759" s="25">
        <v>0</v>
      </c>
      <c r="K759" s="24">
        <v>0</v>
      </c>
      <c r="L759" s="24">
        <v>0</v>
      </c>
    </row>
    <row r="760" ht="21.05" customHeight="1" spans="1:12">
      <c r="A760" s="10"/>
      <c r="B760" s="10"/>
      <c r="C760" s="10"/>
      <c r="D760" s="10"/>
      <c r="E760" s="10"/>
      <c r="F760" s="10" t="s">
        <v>861</v>
      </c>
      <c r="G760" s="24">
        <v>0</v>
      </c>
      <c r="H760" s="24">
        <v>0</v>
      </c>
      <c r="I760" s="24">
        <v>0</v>
      </c>
      <c r="J760" s="25">
        <v>0</v>
      </c>
      <c r="K760" s="24">
        <v>0</v>
      </c>
      <c r="L760" s="24">
        <v>0</v>
      </c>
    </row>
    <row r="761" ht="21.05" customHeight="1" spans="1:12">
      <c r="A761" s="10"/>
      <c r="B761" s="10"/>
      <c r="C761" s="10"/>
      <c r="D761" s="10"/>
      <c r="E761" s="10"/>
      <c r="F761" s="10" t="s">
        <v>911</v>
      </c>
      <c r="G761" s="24">
        <v>0</v>
      </c>
      <c r="H761" s="24">
        <v>0</v>
      </c>
      <c r="I761" s="24">
        <v>0</v>
      </c>
      <c r="J761" s="25">
        <v>0</v>
      </c>
      <c r="K761" s="24">
        <v>0</v>
      </c>
      <c r="L761" s="24">
        <v>0</v>
      </c>
    </row>
    <row r="762" ht="21.05" customHeight="1" spans="1:12">
      <c r="A762" s="10"/>
      <c r="B762" s="10"/>
      <c r="C762" s="10"/>
      <c r="D762" s="10"/>
      <c r="E762" s="10"/>
      <c r="F762" s="10" t="s">
        <v>864</v>
      </c>
      <c r="G762" s="24">
        <v>0</v>
      </c>
      <c r="H762" s="24">
        <v>0</v>
      </c>
      <c r="I762" s="24">
        <v>0</v>
      </c>
      <c r="J762" s="25">
        <v>0</v>
      </c>
      <c r="K762" s="24">
        <v>0</v>
      </c>
      <c r="L762" s="24">
        <v>0</v>
      </c>
    </row>
    <row r="763" ht="21.05" customHeight="1" spans="1:12">
      <c r="A763" s="10"/>
      <c r="B763" s="10"/>
      <c r="C763" s="10"/>
      <c r="D763" s="10" t="s">
        <v>773</v>
      </c>
      <c r="E763" s="10" t="s">
        <v>258</v>
      </c>
      <c r="F763" s="10" t="s">
        <v>852</v>
      </c>
      <c r="G763" s="24">
        <v>0</v>
      </c>
      <c r="H763" s="24">
        <v>0</v>
      </c>
      <c r="I763" s="24">
        <v>0</v>
      </c>
      <c r="J763" s="25">
        <v>0</v>
      </c>
      <c r="K763" s="24">
        <v>0</v>
      </c>
      <c r="L763" s="24">
        <v>0</v>
      </c>
    </row>
    <row r="764" ht="21.05" customHeight="1" spans="1:12">
      <c r="A764" s="10"/>
      <c r="B764" s="10"/>
      <c r="C764" s="10"/>
      <c r="D764" s="10"/>
      <c r="E764" s="10"/>
      <c r="F764" s="10" t="s">
        <v>860</v>
      </c>
      <c r="G764" s="24">
        <v>0</v>
      </c>
      <c r="H764" s="24">
        <v>0</v>
      </c>
      <c r="I764" s="24">
        <v>0</v>
      </c>
      <c r="J764" s="25">
        <v>0</v>
      </c>
      <c r="K764" s="24">
        <v>0</v>
      </c>
      <c r="L764" s="24">
        <v>0</v>
      </c>
    </row>
    <row r="765" ht="21.05" customHeight="1" spans="1:12">
      <c r="A765" s="10"/>
      <c r="B765" s="10"/>
      <c r="C765" s="10"/>
      <c r="D765" s="10"/>
      <c r="E765" s="10"/>
      <c r="F765" s="10" t="s">
        <v>868</v>
      </c>
      <c r="G765" s="24">
        <v>0</v>
      </c>
      <c r="H765" s="24">
        <v>0</v>
      </c>
      <c r="I765" s="24">
        <v>0</v>
      </c>
      <c r="J765" s="25">
        <v>0</v>
      </c>
      <c r="K765" s="24">
        <v>0</v>
      </c>
      <c r="L765" s="24">
        <v>0</v>
      </c>
    </row>
    <row r="766" ht="21.05" customHeight="1" spans="1:12">
      <c r="A766" s="10"/>
      <c r="B766" s="10"/>
      <c r="C766" s="10"/>
      <c r="D766" s="10"/>
      <c r="E766" s="10"/>
      <c r="F766" s="10" t="s">
        <v>864</v>
      </c>
      <c r="G766" s="24">
        <v>0</v>
      </c>
      <c r="H766" s="24">
        <v>0</v>
      </c>
      <c r="I766" s="24">
        <v>0</v>
      </c>
      <c r="J766" s="25">
        <v>0</v>
      </c>
      <c r="K766" s="24">
        <v>0</v>
      </c>
      <c r="L766" s="24">
        <v>0</v>
      </c>
    </row>
    <row r="767" ht="21.05" customHeight="1" spans="1:12">
      <c r="A767" s="10"/>
      <c r="B767" s="10"/>
      <c r="C767" s="10"/>
      <c r="D767" s="10" t="s">
        <v>774</v>
      </c>
      <c r="E767" s="10" t="s">
        <v>258</v>
      </c>
      <c r="F767" s="10" t="s">
        <v>852</v>
      </c>
      <c r="G767" s="24">
        <v>0</v>
      </c>
      <c r="H767" s="24">
        <v>0</v>
      </c>
      <c r="I767" s="24">
        <v>0</v>
      </c>
      <c r="J767" s="25">
        <v>0</v>
      </c>
      <c r="K767" s="24">
        <v>0</v>
      </c>
      <c r="L767" s="24">
        <v>0</v>
      </c>
    </row>
    <row r="768" ht="21.05" customHeight="1" spans="1:12">
      <c r="A768" s="10"/>
      <c r="B768" s="10"/>
      <c r="C768" s="10"/>
      <c r="D768" s="10" t="s">
        <v>775</v>
      </c>
      <c r="E768" s="10" t="s">
        <v>258</v>
      </c>
      <c r="F768" s="10" t="s">
        <v>852</v>
      </c>
      <c r="G768" s="24">
        <v>0</v>
      </c>
      <c r="H768" s="24">
        <v>0</v>
      </c>
      <c r="I768" s="24">
        <v>0</v>
      </c>
      <c r="J768" s="25">
        <v>0</v>
      </c>
      <c r="K768" s="24">
        <v>0</v>
      </c>
      <c r="L768" s="24">
        <v>0</v>
      </c>
    </row>
    <row r="769" ht="21.05" customHeight="1" spans="1:12">
      <c r="A769" s="10"/>
      <c r="B769" s="10"/>
      <c r="C769" s="10"/>
      <c r="D769" s="10" t="s">
        <v>776</v>
      </c>
      <c r="E769" s="10" t="s">
        <v>258</v>
      </c>
      <c r="F769" s="10" t="s">
        <v>852</v>
      </c>
      <c r="G769" s="24">
        <v>0</v>
      </c>
      <c r="H769" s="24">
        <v>0</v>
      </c>
      <c r="I769" s="24">
        <v>0</v>
      </c>
      <c r="J769" s="25">
        <v>0</v>
      </c>
      <c r="K769" s="24">
        <v>0</v>
      </c>
      <c r="L769" s="24">
        <v>0</v>
      </c>
    </row>
    <row r="770" ht="21.05" customHeight="1" spans="1:12">
      <c r="A770" s="10"/>
      <c r="B770" s="10"/>
      <c r="C770" s="10"/>
      <c r="D770" s="10" t="s">
        <v>777</v>
      </c>
      <c r="E770" s="10" t="s">
        <v>258</v>
      </c>
      <c r="F770" s="10" t="s">
        <v>869</v>
      </c>
      <c r="G770" s="24">
        <v>0</v>
      </c>
      <c r="H770" s="24">
        <v>0</v>
      </c>
      <c r="I770" s="24">
        <v>0</v>
      </c>
      <c r="J770" s="25">
        <v>0</v>
      </c>
      <c r="K770" s="24">
        <v>0</v>
      </c>
      <c r="L770" s="24">
        <v>0</v>
      </c>
    </row>
    <row r="771" ht="21.05" customHeight="1" spans="1:12">
      <c r="A771" s="10"/>
      <c r="B771" s="10"/>
      <c r="C771" s="10"/>
      <c r="D771" s="10"/>
      <c r="E771" s="10"/>
      <c r="F771" s="10" t="s">
        <v>852</v>
      </c>
      <c r="G771" s="24">
        <v>0</v>
      </c>
      <c r="H771" s="24">
        <v>982</v>
      </c>
      <c r="I771" s="24">
        <v>0</v>
      </c>
      <c r="J771" s="25">
        <v>0</v>
      </c>
      <c r="K771" s="24">
        <v>931.8001</v>
      </c>
      <c r="L771" s="24">
        <v>931.8001</v>
      </c>
    </row>
    <row r="772" ht="21.05" customHeight="1" spans="1:12">
      <c r="A772" s="10"/>
      <c r="B772" s="10"/>
      <c r="C772" s="10"/>
      <c r="D772" s="10"/>
      <c r="E772" s="10"/>
      <c r="F772" s="10" t="s">
        <v>181</v>
      </c>
      <c r="G772" s="24">
        <v>0</v>
      </c>
      <c r="H772" s="24">
        <v>0</v>
      </c>
      <c r="I772" s="24">
        <v>0</v>
      </c>
      <c r="J772" s="25">
        <v>0</v>
      </c>
      <c r="K772" s="24">
        <v>0</v>
      </c>
      <c r="L772" s="24">
        <v>0</v>
      </c>
    </row>
    <row r="773" ht="21.05" customHeight="1" spans="1:12">
      <c r="A773" s="10"/>
      <c r="B773" s="10"/>
      <c r="C773" s="10" t="s">
        <v>778</v>
      </c>
      <c r="D773" s="10" t="s">
        <v>774</v>
      </c>
      <c r="E773" s="10" t="s">
        <v>258</v>
      </c>
      <c r="F773" s="10" t="s">
        <v>852</v>
      </c>
      <c r="G773" s="24">
        <v>0</v>
      </c>
      <c r="H773" s="24">
        <v>0</v>
      </c>
      <c r="I773" s="24">
        <v>0</v>
      </c>
      <c r="J773" s="25">
        <v>0</v>
      </c>
      <c r="K773" s="24">
        <v>0</v>
      </c>
      <c r="L773" s="24">
        <v>0</v>
      </c>
    </row>
    <row r="774" ht="21.05" customHeight="1" spans="1:12">
      <c r="A774" s="10"/>
      <c r="B774" s="10"/>
      <c r="C774" s="10"/>
      <c r="D774" s="10"/>
      <c r="E774" s="10"/>
      <c r="F774" s="10" t="s">
        <v>868</v>
      </c>
      <c r="G774" s="24">
        <v>0</v>
      </c>
      <c r="H774" s="24">
        <v>0</v>
      </c>
      <c r="I774" s="24">
        <v>0</v>
      </c>
      <c r="J774" s="25">
        <v>0</v>
      </c>
      <c r="K774" s="24">
        <v>0</v>
      </c>
      <c r="L774" s="24">
        <v>0</v>
      </c>
    </row>
    <row r="775" ht="21.05" customHeight="1" spans="1:12">
      <c r="A775" s="10"/>
      <c r="B775" s="10"/>
      <c r="C775" s="10" t="s">
        <v>779</v>
      </c>
      <c r="D775" s="10" t="s">
        <v>262</v>
      </c>
      <c r="E775" s="10" t="s">
        <v>258</v>
      </c>
      <c r="F775" s="10" t="s">
        <v>1007</v>
      </c>
      <c r="G775" s="24">
        <v>0</v>
      </c>
      <c r="H775" s="24">
        <v>0</v>
      </c>
      <c r="I775" s="24">
        <v>0</v>
      </c>
      <c r="J775" s="25">
        <v>0</v>
      </c>
      <c r="K775" s="24">
        <v>0</v>
      </c>
      <c r="L775" s="24">
        <v>0</v>
      </c>
    </row>
    <row r="776" ht="21.05" customHeight="1" spans="1:12">
      <c r="A776" s="10"/>
      <c r="B776" s="10"/>
      <c r="C776" s="10"/>
      <c r="D776" s="10"/>
      <c r="E776" s="10"/>
      <c r="F776" s="10" t="s">
        <v>1008</v>
      </c>
      <c r="G776" s="24">
        <v>0</v>
      </c>
      <c r="H776" s="24">
        <v>0</v>
      </c>
      <c r="I776" s="24">
        <v>0</v>
      </c>
      <c r="J776" s="25">
        <v>0</v>
      </c>
      <c r="K776" s="24">
        <v>0</v>
      </c>
      <c r="L776" s="24">
        <v>0</v>
      </c>
    </row>
    <row r="777" ht="21.05" customHeight="1" spans="1:12">
      <c r="A777" s="10"/>
      <c r="B777" s="10"/>
      <c r="C777" s="10"/>
      <c r="D777" s="10"/>
      <c r="E777" s="10"/>
      <c r="F777" s="10" t="s">
        <v>875</v>
      </c>
      <c r="G777" s="24">
        <v>0</v>
      </c>
      <c r="H777" s="24">
        <v>0</v>
      </c>
      <c r="I777" s="24">
        <v>0</v>
      </c>
      <c r="J777" s="25">
        <v>0</v>
      </c>
      <c r="K777" s="24">
        <v>0</v>
      </c>
      <c r="L777" s="24">
        <v>0</v>
      </c>
    </row>
    <row r="778" ht="21.05" customHeight="1" spans="1:12">
      <c r="A778" s="10"/>
      <c r="B778" s="10"/>
      <c r="C778" s="10"/>
      <c r="D778" s="10"/>
      <c r="E778" s="10"/>
      <c r="F778" s="10" t="s">
        <v>856</v>
      </c>
      <c r="G778" s="24">
        <v>0</v>
      </c>
      <c r="H778" s="24">
        <v>0</v>
      </c>
      <c r="I778" s="24">
        <v>0</v>
      </c>
      <c r="J778" s="25">
        <v>0</v>
      </c>
      <c r="K778" s="24">
        <v>0</v>
      </c>
      <c r="L778" s="24">
        <v>0</v>
      </c>
    </row>
    <row r="779" ht="21.05" customHeight="1" spans="1:12">
      <c r="A779" s="10"/>
      <c r="B779" s="10"/>
      <c r="C779" s="10"/>
      <c r="D779" s="10"/>
      <c r="E779" s="10"/>
      <c r="F779" s="10" t="s">
        <v>869</v>
      </c>
      <c r="G779" s="24">
        <v>0</v>
      </c>
      <c r="H779" s="24">
        <v>0</v>
      </c>
      <c r="I779" s="24">
        <v>0</v>
      </c>
      <c r="J779" s="25">
        <v>0</v>
      </c>
      <c r="K779" s="24">
        <v>0</v>
      </c>
      <c r="L779" s="24">
        <v>0</v>
      </c>
    </row>
    <row r="780" ht="21.05" customHeight="1" spans="1:12">
      <c r="A780" s="10"/>
      <c r="B780" s="10"/>
      <c r="C780" s="10"/>
      <c r="D780" s="10"/>
      <c r="E780" s="10"/>
      <c r="F780" s="10" t="s">
        <v>908</v>
      </c>
      <c r="G780" s="24">
        <v>0</v>
      </c>
      <c r="H780" s="24">
        <v>0</v>
      </c>
      <c r="I780" s="24">
        <v>0</v>
      </c>
      <c r="J780" s="25">
        <v>0</v>
      </c>
      <c r="K780" s="24">
        <v>0</v>
      </c>
      <c r="L780" s="24">
        <v>0</v>
      </c>
    </row>
    <row r="781" ht="21.05" customHeight="1" spans="1:12">
      <c r="A781" s="10"/>
      <c r="B781" s="10"/>
      <c r="C781" s="10"/>
      <c r="D781" s="10"/>
      <c r="E781" s="10"/>
      <c r="F781" s="10" t="s">
        <v>852</v>
      </c>
      <c r="G781" s="24">
        <v>42</v>
      </c>
      <c r="H781" s="24">
        <v>6123</v>
      </c>
      <c r="I781" s="24">
        <v>41.1253</v>
      </c>
      <c r="J781" s="25">
        <v>0.8747</v>
      </c>
      <c r="K781" s="24">
        <v>6042.6216</v>
      </c>
      <c r="L781" s="24">
        <v>6042.6216</v>
      </c>
    </row>
    <row r="782" ht="21.05" customHeight="1" spans="1:12">
      <c r="A782" s="10"/>
      <c r="B782" s="10"/>
      <c r="C782" s="10"/>
      <c r="D782" s="10"/>
      <c r="E782" s="10"/>
      <c r="F782" s="10" t="s">
        <v>860</v>
      </c>
      <c r="G782" s="24">
        <v>0</v>
      </c>
      <c r="H782" s="24">
        <v>0</v>
      </c>
      <c r="I782" s="24">
        <v>0</v>
      </c>
      <c r="J782" s="25">
        <v>0</v>
      </c>
      <c r="K782" s="24">
        <v>0</v>
      </c>
      <c r="L782" s="24">
        <v>0</v>
      </c>
    </row>
    <row r="783" ht="21.05" customHeight="1" spans="1:12">
      <c r="A783" s="10"/>
      <c r="B783" s="10"/>
      <c r="C783" s="10"/>
      <c r="D783" s="10"/>
      <c r="E783" s="10"/>
      <c r="F783" s="10" t="s">
        <v>266</v>
      </c>
      <c r="G783" s="24">
        <v>0</v>
      </c>
      <c r="H783" s="24">
        <v>0</v>
      </c>
      <c r="I783" s="24">
        <v>0</v>
      </c>
      <c r="J783" s="25">
        <v>0</v>
      </c>
      <c r="K783" s="24">
        <v>0</v>
      </c>
      <c r="L783" s="24">
        <v>0</v>
      </c>
    </row>
    <row r="784" ht="21.05" customHeight="1" spans="1:12">
      <c r="A784" s="10"/>
      <c r="B784" s="10"/>
      <c r="C784" s="10"/>
      <c r="D784" s="10"/>
      <c r="E784" s="10"/>
      <c r="F784" s="10" t="s">
        <v>862</v>
      </c>
      <c r="G784" s="24">
        <v>0</v>
      </c>
      <c r="H784" s="24">
        <v>0</v>
      </c>
      <c r="I784" s="24">
        <v>0</v>
      </c>
      <c r="J784" s="25">
        <v>0</v>
      </c>
      <c r="K784" s="24">
        <v>0</v>
      </c>
      <c r="L784" s="24">
        <v>0</v>
      </c>
    </row>
    <row r="785" ht="21.05" customHeight="1" spans="1:12">
      <c r="A785" s="10"/>
      <c r="B785" s="10"/>
      <c r="C785" s="10"/>
      <c r="D785" s="10"/>
      <c r="E785" s="10"/>
      <c r="F785" s="10" t="s">
        <v>868</v>
      </c>
      <c r="G785" s="24">
        <v>0</v>
      </c>
      <c r="H785" s="24">
        <v>0</v>
      </c>
      <c r="I785" s="24">
        <v>0</v>
      </c>
      <c r="J785" s="25">
        <v>0</v>
      </c>
      <c r="K785" s="24">
        <v>0</v>
      </c>
      <c r="L785" s="24">
        <v>0</v>
      </c>
    </row>
    <row r="786" ht="21.05" customHeight="1" spans="1:12">
      <c r="A786" s="10"/>
      <c r="B786" s="10"/>
      <c r="C786" s="10"/>
      <c r="D786" s="10"/>
      <c r="E786" s="10"/>
      <c r="F786" s="10" t="s">
        <v>1009</v>
      </c>
      <c r="G786" s="24">
        <v>0</v>
      </c>
      <c r="H786" s="24">
        <v>0</v>
      </c>
      <c r="I786" s="24">
        <v>0</v>
      </c>
      <c r="J786" s="25">
        <v>0</v>
      </c>
      <c r="K786" s="24">
        <v>0</v>
      </c>
      <c r="L786" s="24">
        <v>0</v>
      </c>
    </row>
    <row r="787" ht="21.05" customHeight="1" spans="1:12">
      <c r="A787" s="10"/>
      <c r="B787" s="10"/>
      <c r="C787" s="10"/>
      <c r="D787" s="10"/>
      <c r="E787" s="10"/>
      <c r="F787" s="10" t="s">
        <v>911</v>
      </c>
      <c r="G787" s="24">
        <v>0</v>
      </c>
      <c r="H787" s="24">
        <v>0</v>
      </c>
      <c r="I787" s="24">
        <v>0</v>
      </c>
      <c r="J787" s="25">
        <v>0</v>
      </c>
      <c r="K787" s="24">
        <v>0</v>
      </c>
      <c r="L787" s="24">
        <v>0</v>
      </c>
    </row>
    <row r="788" ht="21.05" customHeight="1" spans="1:12">
      <c r="A788" s="10"/>
      <c r="B788" s="10"/>
      <c r="C788" s="10"/>
      <c r="D788" s="10"/>
      <c r="E788" s="10"/>
      <c r="F788" s="10" t="s">
        <v>864</v>
      </c>
      <c r="G788" s="24">
        <v>0</v>
      </c>
      <c r="H788" s="24">
        <v>180</v>
      </c>
      <c r="I788" s="24">
        <v>0</v>
      </c>
      <c r="J788" s="25">
        <v>0</v>
      </c>
      <c r="K788" s="24">
        <v>178.5541</v>
      </c>
      <c r="L788" s="24">
        <v>178.5541</v>
      </c>
    </row>
    <row r="789" ht="21.05" customHeight="1" spans="1:12">
      <c r="A789" s="10"/>
      <c r="B789" s="10"/>
      <c r="C789" s="10"/>
      <c r="D789" s="10" t="s">
        <v>781</v>
      </c>
      <c r="E789" s="10" t="s">
        <v>258</v>
      </c>
      <c r="F789" s="10" t="s">
        <v>852</v>
      </c>
      <c r="G789" s="24">
        <v>9</v>
      </c>
      <c r="H789" s="24">
        <v>864</v>
      </c>
      <c r="I789" s="24">
        <v>9</v>
      </c>
      <c r="J789" s="25">
        <v>0</v>
      </c>
      <c r="K789" s="24">
        <v>864</v>
      </c>
      <c r="L789" s="24">
        <v>864</v>
      </c>
    </row>
    <row r="790" ht="21.05" customHeight="1" spans="1:12">
      <c r="A790" s="10"/>
      <c r="B790" s="10"/>
      <c r="C790" s="10"/>
      <c r="D790" s="10" t="s">
        <v>782</v>
      </c>
      <c r="E790" s="10" t="s">
        <v>258</v>
      </c>
      <c r="F790" s="10" t="s">
        <v>852</v>
      </c>
      <c r="G790" s="24">
        <v>0</v>
      </c>
      <c r="H790" s="24">
        <v>0</v>
      </c>
      <c r="I790" s="24">
        <v>0</v>
      </c>
      <c r="J790" s="25">
        <v>0</v>
      </c>
      <c r="K790" s="24">
        <v>0</v>
      </c>
      <c r="L790" s="24">
        <v>0</v>
      </c>
    </row>
    <row r="791" ht="21.05" customHeight="1" spans="1:12">
      <c r="A791" s="10"/>
      <c r="B791" s="10"/>
      <c r="C791" s="10"/>
      <c r="D791" s="10" t="s">
        <v>264</v>
      </c>
      <c r="E791" s="10" t="s">
        <v>258</v>
      </c>
      <c r="F791" s="10" t="s">
        <v>852</v>
      </c>
      <c r="G791" s="24">
        <v>0</v>
      </c>
      <c r="H791" s="24">
        <v>190</v>
      </c>
      <c r="I791" s="24">
        <v>0</v>
      </c>
      <c r="J791" s="25">
        <v>0</v>
      </c>
      <c r="K791" s="24">
        <v>190</v>
      </c>
      <c r="L791" s="24">
        <v>190</v>
      </c>
    </row>
    <row r="792" ht="21.05" customHeight="1" spans="1:12">
      <c r="A792" s="10"/>
      <c r="B792" s="10"/>
      <c r="C792" s="10"/>
      <c r="D792" s="10" t="s">
        <v>783</v>
      </c>
      <c r="E792" s="10" t="s">
        <v>258</v>
      </c>
      <c r="F792" s="10" t="s">
        <v>1007</v>
      </c>
      <c r="G792" s="24">
        <v>0</v>
      </c>
      <c r="H792" s="24">
        <v>0</v>
      </c>
      <c r="I792" s="24">
        <v>0</v>
      </c>
      <c r="J792" s="25">
        <v>0</v>
      </c>
      <c r="K792" s="24">
        <v>0</v>
      </c>
      <c r="L792" s="24">
        <v>0</v>
      </c>
    </row>
    <row r="793" ht="21.05" customHeight="1" spans="1:12">
      <c r="A793" s="10"/>
      <c r="B793" s="10"/>
      <c r="C793" s="10"/>
      <c r="D793" s="10"/>
      <c r="E793" s="10"/>
      <c r="F793" s="10" t="s">
        <v>852</v>
      </c>
      <c r="G793" s="24">
        <v>22</v>
      </c>
      <c r="H793" s="24">
        <v>1836</v>
      </c>
      <c r="I793" s="24">
        <v>22</v>
      </c>
      <c r="J793" s="25">
        <v>0</v>
      </c>
      <c r="K793" s="24">
        <v>1836</v>
      </c>
      <c r="L793" s="24">
        <v>1836</v>
      </c>
    </row>
    <row r="794" ht="21.05" customHeight="1" spans="1:12">
      <c r="A794" s="10"/>
      <c r="B794" s="10"/>
      <c r="C794" s="10"/>
      <c r="D794" s="10"/>
      <c r="E794" s="10"/>
      <c r="F794" s="10" t="s">
        <v>1010</v>
      </c>
      <c r="G794" s="24">
        <v>0</v>
      </c>
      <c r="H794" s="24">
        <v>50</v>
      </c>
      <c r="I794" s="24">
        <v>0</v>
      </c>
      <c r="J794" s="25">
        <v>0</v>
      </c>
      <c r="K794" s="24">
        <v>50</v>
      </c>
      <c r="L794" s="24">
        <v>50</v>
      </c>
    </row>
    <row r="795" ht="21.05" customHeight="1" spans="1:12">
      <c r="A795" s="10"/>
      <c r="B795" s="10"/>
      <c r="C795" s="10" t="s">
        <v>784</v>
      </c>
      <c r="D795" s="10" t="s">
        <v>785</v>
      </c>
      <c r="E795" s="10" t="s">
        <v>258</v>
      </c>
      <c r="F795" s="10" t="s">
        <v>852</v>
      </c>
      <c r="G795" s="24">
        <v>0</v>
      </c>
      <c r="H795" s="24">
        <v>0</v>
      </c>
      <c r="I795" s="24">
        <v>0</v>
      </c>
      <c r="J795" s="25">
        <v>0</v>
      </c>
      <c r="K795" s="24">
        <v>0</v>
      </c>
      <c r="L795" s="24">
        <v>0</v>
      </c>
    </row>
    <row r="796" ht="21.05" customHeight="1" spans="1:12">
      <c r="A796" s="10"/>
      <c r="B796" s="10"/>
      <c r="C796" s="10"/>
      <c r="D796" s="10"/>
      <c r="E796" s="10"/>
      <c r="F796" s="10" t="s">
        <v>906</v>
      </c>
      <c r="G796" s="24">
        <v>0</v>
      </c>
      <c r="H796" s="24">
        <v>0</v>
      </c>
      <c r="I796" s="24">
        <v>0</v>
      </c>
      <c r="J796" s="25">
        <v>0</v>
      </c>
      <c r="K796" s="24">
        <v>0</v>
      </c>
      <c r="L796" s="24">
        <v>0</v>
      </c>
    </row>
    <row r="797" ht="21.05" customHeight="1" spans="1:12">
      <c r="A797" s="10"/>
      <c r="B797" s="10"/>
      <c r="C797" s="10"/>
      <c r="D797" s="10"/>
      <c r="E797" s="10"/>
      <c r="F797" s="10" t="s">
        <v>868</v>
      </c>
      <c r="G797" s="24">
        <v>63</v>
      </c>
      <c r="H797" s="24">
        <v>779</v>
      </c>
      <c r="I797" s="24">
        <v>60.3637</v>
      </c>
      <c r="J797" s="25">
        <v>2.6363</v>
      </c>
      <c r="K797" s="24">
        <v>702.991</v>
      </c>
      <c r="L797" s="24">
        <v>702.991</v>
      </c>
    </row>
    <row r="798" ht="21.05" customHeight="1" spans="1:12">
      <c r="A798" s="10"/>
      <c r="B798" s="10"/>
      <c r="C798" s="10"/>
      <c r="D798" s="10"/>
      <c r="E798" s="10"/>
      <c r="F798" s="10" t="s">
        <v>1011</v>
      </c>
      <c r="G798" s="24">
        <v>0</v>
      </c>
      <c r="H798" s="24">
        <v>0</v>
      </c>
      <c r="I798" s="24">
        <v>0</v>
      </c>
      <c r="J798" s="25">
        <v>0</v>
      </c>
      <c r="K798" s="24">
        <v>0</v>
      </c>
      <c r="L798" s="24">
        <v>0</v>
      </c>
    </row>
    <row r="799" ht="21.05" customHeight="1" spans="1:12">
      <c r="A799" s="10"/>
      <c r="B799" s="10"/>
      <c r="C799" s="10" t="s">
        <v>788</v>
      </c>
      <c r="D799" s="10" t="s">
        <v>789</v>
      </c>
      <c r="E799" s="10" t="s">
        <v>258</v>
      </c>
      <c r="F799" s="10" t="s">
        <v>869</v>
      </c>
      <c r="G799" s="24">
        <v>0</v>
      </c>
      <c r="H799" s="24">
        <v>0</v>
      </c>
      <c r="I799" s="24">
        <v>0</v>
      </c>
      <c r="J799" s="25">
        <v>0</v>
      </c>
      <c r="K799" s="24">
        <v>0</v>
      </c>
      <c r="L799" s="24">
        <v>0</v>
      </c>
    </row>
    <row r="800" ht="21.05" customHeight="1" spans="1:12">
      <c r="A800" s="10"/>
      <c r="B800" s="10"/>
      <c r="C800" s="10"/>
      <c r="D800" s="10"/>
      <c r="E800" s="10"/>
      <c r="F800" s="10" t="s">
        <v>852</v>
      </c>
      <c r="G800" s="24">
        <v>0</v>
      </c>
      <c r="H800" s="24">
        <v>561.5</v>
      </c>
      <c r="I800" s="24">
        <v>0</v>
      </c>
      <c r="J800" s="25">
        <v>0</v>
      </c>
      <c r="K800" s="24">
        <v>564.0897</v>
      </c>
      <c r="L800" s="24">
        <v>564.0897</v>
      </c>
    </row>
    <row r="801" ht="21.05" customHeight="1" spans="1:12">
      <c r="A801" s="10"/>
      <c r="B801" s="10"/>
      <c r="C801" s="10"/>
      <c r="D801" s="10" t="s">
        <v>790</v>
      </c>
      <c r="E801" s="10" t="s">
        <v>258</v>
      </c>
      <c r="F801" s="10" t="s">
        <v>908</v>
      </c>
      <c r="G801" s="24">
        <v>0</v>
      </c>
      <c r="H801" s="24">
        <v>0</v>
      </c>
      <c r="I801" s="24">
        <v>0</v>
      </c>
      <c r="J801" s="25">
        <v>0</v>
      </c>
      <c r="K801" s="24">
        <v>0</v>
      </c>
      <c r="L801" s="24">
        <v>0</v>
      </c>
    </row>
    <row r="802" ht="21.05" customHeight="1" spans="1:12">
      <c r="A802" s="10"/>
      <c r="B802" s="10"/>
      <c r="C802" s="10"/>
      <c r="D802" s="10"/>
      <c r="E802" s="10"/>
      <c r="F802" s="10" t="s">
        <v>852</v>
      </c>
      <c r="G802" s="24">
        <v>30</v>
      </c>
      <c r="H802" s="24">
        <v>3183</v>
      </c>
      <c r="I802" s="24">
        <v>27.2282</v>
      </c>
      <c r="J802" s="25">
        <v>2.7718</v>
      </c>
      <c r="K802" s="24">
        <v>3130.4288</v>
      </c>
      <c r="L802" s="24">
        <v>3130.4288</v>
      </c>
    </row>
    <row r="803" ht="21.05" customHeight="1" spans="1:12">
      <c r="A803" s="10"/>
      <c r="B803" s="10"/>
      <c r="C803" s="10"/>
      <c r="D803" s="10"/>
      <c r="E803" s="10"/>
      <c r="F803" s="10" t="s">
        <v>968</v>
      </c>
      <c r="G803" s="24">
        <v>0</v>
      </c>
      <c r="H803" s="24">
        <v>0</v>
      </c>
      <c r="I803" s="24">
        <v>0</v>
      </c>
      <c r="J803" s="25">
        <v>0</v>
      </c>
      <c r="K803" s="24">
        <v>0</v>
      </c>
      <c r="L803" s="24">
        <v>0</v>
      </c>
    </row>
    <row r="804" ht="21.05" customHeight="1" spans="1:12">
      <c r="A804" s="10"/>
      <c r="B804" s="10"/>
      <c r="C804" s="10"/>
      <c r="D804" s="10"/>
      <c r="E804" s="10"/>
      <c r="F804" s="10" t="s">
        <v>939</v>
      </c>
      <c r="G804" s="24">
        <v>0</v>
      </c>
      <c r="H804" s="24">
        <v>0</v>
      </c>
      <c r="I804" s="24">
        <v>0</v>
      </c>
      <c r="J804" s="25">
        <v>0</v>
      </c>
      <c r="K804" s="24">
        <v>0</v>
      </c>
      <c r="L804" s="24">
        <v>0</v>
      </c>
    </row>
    <row r="805" ht="21.05" customHeight="1" spans="1:12">
      <c r="A805" s="10"/>
      <c r="B805" s="10"/>
      <c r="C805" s="10"/>
      <c r="D805" s="10"/>
      <c r="E805" s="10"/>
      <c r="F805" s="10" t="s">
        <v>892</v>
      </c>
      <c r="G805" s="24">
        <v>0</v>
      </c>
      <c r="H805" s="24">
        <v>0</v>
      </c>
      <c r="I805" s="24">
        <v>0</v>
      </c>
      <c r="J805" s="25">
        <v>0</v>
      </c>
      <c r="K805" s="24">
        <v>0</v>
      </c>
      <c r="L805" s="24">
        <v>0</v>
      </c>
    </row>
    <row r="806" ht="21.05" customHeight="1" spans="1:12">
      <c r="A806" s="10"/>
      <c r="B806" s="10"/>
      <c r="C806" s="10"/>
      <c r="D806" s="10"/>
      <c r="E806" s="10"/>
      <c r="F806" s="10" t="s">
        <v>868</v>
      </c>
      <c r="G806" s="24">
        <v>10</v>
      </c>
      <c r="H806" s="24">
        <v>520</v>
      </c>
      <c r="I806" s="24">
        <v>9.0761</v>
      </c>
      <c r="J806" s="25">
        <v>0.9239</v>
      </c>
      <c r="K806" s="24">
        <v>509.2733</v>
      </c>
      <c r="L806" s="24">
        <v>509.2733</v>
      </c>
    </row>
    <row r="807" ht="21.05" customHeight="1" spans="1:12">
      <c r="A807" s="10"/>
      <c r="B807" s="10"/>
      <c r="C807" s="10"/>
      <c r="D807" s="10"/>
      <c r="E807" s="10"/>
      <c r="F807" s="10" t="s">
        <v>864</v>
      </c>
      <c r="G807" s="24">
        <v>140</v>
      </c>
      <c r="H807" s="24">
        <v>1596</v>
      </c>
      <c r="I807" s="24">
        <v>127.0646</v>
      </c>
      <c r="J807" s="25">
        <v>12.9354</v>
      </c>
      <c r="K807" s="24">
        <v>1547.4451</v>
      </c>
      <c r="L807" s="24">
        <v>1547.4451</v>
      </c>
    </row>
    <row r="808" ht="21.05" customHeight="1" spans="1:12">
      <c r="A808" s="10"/>
      <c r="B808" s="10"/>
      <c r="C808" s="10"/>
      <c r="D808" s="10" t="s">
        <v>266</v>
      </c>
      <c r="E808" s="10" t="s">
        <v>258</v>
      </c>
      <c r="F808" s="10" t="s">
        <v>1012</v>
      </c>
      <c r="G808" s="24">
        <v>0</v>
      </c>
      <c r="H808" s="24">
        <v>0</v>
      </c>
      <c r="I808" s="24">
        <v>0</v>
      </c>
      <c r="J808" s="25">
        <v>0</v>
      </c>
      <c r="K808" s="24">
        <v>0</v>
      </c>
      <c r="L808" s="24">
        <v>0</v>
      </c>
    </row>
    <row r="809" ht="21.05" customHeight="1" spans="1:12">
      <c r="A809" s="10"/>
      <c r="B809" s="10"/>
      <c r="C809" s="10"/>
      <c r="D809" s="10"/>
      <c r="E809" s="10"/>
      <c r="F809" s="10" t="s">
        <v>1007</v>
      </c>
      <c r="G809" s="24">
        <v>0</v>
      </c>
      <c r="H809" s="24">
        <v>0</v>
      </c>
      <c r="I809" s="24">
        <v>0</v>
      </c>
      <c r="J809" s="25">
        <v>0</v>
      </c>
      <c r="K809" s="24">
        <v>0</v>
      </c>
      <c r="L809" s="24">
        <v>0</v>
      </c>
    </row>
    <row r="810" ht="21.05" customHeight="1" spans="1:12">
      <c r="A810" s="10"/>
      <c r="B810" s="10"/>
      <c r="C810" s="10"/>
      <c r="D810" s="10"/>
      <c r="E810" s="10"/>
      <c r="F810" s="10" t="s">
        <v>941</v>
      </c>
      <c r="G810" s="24">
        <v>0</v>
      </c>
      <c r="H810" s="24">
        <v>0</v>
      </c>
      <c r="I810" s="24">
        <v>0</v>
      </c>
      <c r="J810" s="25">
        <v>0</v>
      </c>
      <c r="K810" s="24">
        <v>0</v>
      </c>
      <c r="L810" s="24">
        <v>0</v>
      </c>
    </row>
    <row r="811" ht="21.05" customHeight="1" spans="1:12">
      <c r="A811" s="10"/>
      <c r="B811" s="10"/>
      <c r="C811" s="10"/>
      <c r="D811" s="10"/>
      <c r="E811" s="10"/>
      <c r="F811" s="10" t="s">
        <v>875</v>
      </c>
      <c r="G811" s="24">
        <v>0</v>
      </c>
      <c r="H811" s="24">
        <v>0</v>
      </c>
      <c r="I811" s="24">
        <v>0</v>
      </c>
      <c r="J811" s="25">
        <v>0</v>
      </c>
      <c r="K811" s="24">
        <v>0</v>
      </c>
      <c r="L811" s="24">
        <v>0</v>
      </c>
    </row>
    <row r="812" ht="21.05" customHeight="1" spans="1:12">
      <c r="A812" s="10"/>
      <c r="B812" s="10"/>
      <c r="C812" s="10"/>
      <c r="D812" s="10"/>
      <c r="E812" s="10"/>
      <c r="F812" s="10" t="s">
        <v>856</v>
      </c>
      <c r="G812" s="24">
        <v>0</v>
      </c>
      <c r="H812" s="24">
        <v>0</v>
      </c>
      <c r="I812" s="24">
        <v>0</v>
      </c>
      <c r="J812" s="25">
        <v>0</v>
      </c>
      <c r="K812" s="24">
        <v>0</v>
      </c>
      <c r="L812" s="24">
        <v>0</v>
      </c>
    </row>
    <row r="813" ht="21.05" customHeight="1" spans="1:12">
      <c r="A813" s="10"/>
      <c r="B813" s="10"/>
      <c r="C813" s="10"/>
      <c r="D813" s="10"/>
      <c r="E813" s="10"/>
      <c r="F813" s="10" t="s">
        <v>853</v>
      </c>
      <c r="G813" s="24">
        <v>0</v>
      </c>
      <c r="H813" s="24">
        <v>0</v>
      </c>
      <c r="I813" s="24">
        <v>0</v>
      </c>
      <c r="J813" s="25">
        <v>0</v>
      </c>
      <c r="K813" s="24">
        <v>0</v>
      </c>
      <c r="L813" s="24">
        <v>0</v>
      </c>
    </row>
    <row r="814" ht="21.05" customHeight="1" spans="1:12">
      <c r="A814" s="10"/>
      <c r="B814" s="10"/>
      <c r="C814" s="10"/>
      <c r="D814" s="10"/>
      <c r="E814" s="10"/>
      <c r="F814" s="10" t="s">
        <v>893</v>
      </c>
      <c r="G814" s="24">
        <v>0</v>
      </c>
      <c r="H814" s="24">
        <v>0</v>
      </c>
      <c r="I814" s="24">
        <v>0</v>
      </c>
      <c r="J814" s="25">
        <v>0</v>
      </c>
      <c r="K814" s="24">
        <v>0</v>
      </c>
      <c r="L814" s="24">
        <v>0</v>
      </c>
    </row>
    <row r="815" ht="21.05" customHeight="1" spans="1:12">
      <c r="A815" s="10"/>
      <c r="B815" s="10"/>
      <c r="C815" s="10"/>
      <c r="D815" s="10"/>
      <c r="E815" s="10"/>
      <c r="F815" s="10" t="s">
        <v>908</v>
      </c>
      <c r="G815" s="24">
        <v>0</v>
      </c>
      <c r="H815" s="24">
        <v>0</v>
      </c>
      <c r="I815" s="24">
        <v>0</v>
      </c>
      <c r="J815" s="25">
        <v>0</v>
      </c>
      <c r="K815" s="24">
        <v>0</v>
      </c>
      <c r="L815" s="24">
        <v>0</v>
      </c>
    </row>
    <row r="816" ht="21.05" customHeight="1" spans="1:12">
      <c r="A816" s="10"/>
      <c r="B816" s="10"/>
      <c r="C816" s="10"/>
      <c r="D816" s="10"/>
      <c r="E816" s="10"/>
      <c r="F816" s="10" t="s">
        <v>852</v>
      </c>
      <c r="G816" s="24">
        <v>0</v>
      </c>
      <c r="H816" s="24">
        <v>0</v>
      </c>
      <c r="I816" s="24">
        <v>0</v>
      </c>
      <c r="J816" s="25">
        <v>0</v>
      </c>
      <c r="K816" s="24">
        <v>0</v>
      </c>
      <c r="L816" s="24">
        <v>0</v>
      </c>
    </row>
    <row r="817" ht="21.05" customHeight="1" spans="1:12">
      <c r="A817" s="10"/>
      <c r="B817" s="10"/>
      <c r="C817" s="10"/>
      <c r="D817" s="10"/>
      <c r="E817" s="10"/>
      <c r="F817" s="10" t="s">
        <v>879</v>
      </c>
      <c r="G817" s="24">
        <v>0</v>
      </c>
      <c r="H817" s="24">
        <v>0</v>
      </c>
      <c r="I817" s="24">
        <v>0</v>
      </c>
      <c r="J817" s="25">
        <v>0</v>
      </c>
      <c r="K817" s="24">
        <v>0</v>
      </c>
      <c r="L817" s="24">
        <v>0</v>
      </c>
    </row>
    <row r="818" ht="21.05" customHeight="1" spans="1:12">
      <c r="A818" s="10"/>
      <c r="B818" s="10"/>
      <c r="C818" s="10"/>
      <c r="D818" s="10"/>
      <c r="E818" s="10"/>
      <c r="F818" s="10" t="s">
        <v>861</v>
      </c>
      <c r="G818" s="24">
        <v>0</v>
      </c>
      <c r="H818" s="24">
        <v>0</v>
      </c>
      <c r="I818" s="24">
        <v>0</v>
      </c>
      <c r="J818" s="25">
        <v>0</v>
      </c>
      <c r="K818" s="24">
        <v>0</v>
      </c>
      <c r="L818" s="24">
        <v>0</v>
      </c>
    </row>
    <row r="819" ht="21.05" customHeight="1" spans="1:12">
      <c r="A819" s="10"/>
      <c r="B819" s="10"/>
      <c r="C819" s="10"/>
      <c r="D819" s="10"/>
      <c r="E819" s="10"/>
      <c r="F819" s="10" t="s">
        <v>880</v>
      </c>
      <c r="G819" s="24">
        <v>0</v>
      </c>
      <c r="H819" s="24">
        <v>0</v>
      </c>
      <c r="I819" s="24">
        <v>0</v>
      </c>
      <c r="J819" s="25">
        <v>0</v>
      </c>
      <c r="K819" s="24">
        <v>0</v>
      </c>
      <c r="L819" s="24">
        <v>0</v>
      </c>
    </row>
    <row r="820" ht="21.05" customHeight="1" spans="1:12">
      <c r="A820" s="10"/>
      <c r="B820" s="10"/>
      <c r="C820" s="10"/>
      <c r="D820" s="10"/>
      <c r="E820" s="10"/>
      <c r="F820" s="10" t="s">
        <v>1013</v>
      </c>
      <c r="G820" s="24">
        <v>0</v>
      </c>
      <c r="H820" s="24">
        <v>0</v>
      </c>
      <c r="I820" s="24">
        <v>0</v>
      </c>
      <c r="J820" s="25">
        <v>0</v>
      </c>
      <c r="K820" s="24">
        <v>0</v>
      </c>
      <c r="L820" s="24">
        <v>0</v>
      </c>
    </row>
    <row r="821" ht="21.05" customHeight="1" spans="1:12">
      <c r="A821" s="10"/>
      <c r="B821" s="10"/>
      <c r="C821" s="10"/>
      <c r="D821" s="10"/>
      <c r="E821" s="10"/>
      <c r="F821" s="10" t="s">
        <v>1014</v>
      </c>
      <c r="G821" s="24">
        <v>0</v>
      </c>
      <c r="H821" s="24">
        <v>0</v>
      </c>
      <c r="I821" s="24">
        <v>0</v>
      </c>
      <c r="J821" s="25">
        <v>0</v>
      </c>
      <c r="K821" s="24">
        <v>0</v>
      </c>
      <c r="L821" s="24">
        <v>0</v>
      </c>
    </row>
    <row r="822" ht="21.05" customHeight="1" spans="1:12">
      <c r="A822" s="10"/>
      <c r="B822" s="10"/>
      <c r="C822" s="10"/>
      <c r="D822" s="10"/>
      <c r="E822" s="10"/>
      <c r="F822" s="10" t="s">
        <v>938</v>
      </c>
      <c r="G822" s="24">
        <v>0</v>
      </c>
      <c r="H822" s="24">
        <v>0</v>
      </c>
      <c r="I822" s="24">
        <v>0</v>
      </c>
      <c r="J822" s="25">
        <v>0</v>
      </c>
      <c r="K822" s="24">
        <v>0</v>
      </c>
      <c r="L822" s="24">
        <v>0</v>
      </c>
    </row>
    <row r="823" ht="21.05" customHeight="1" spans="1:12">
      <c r="A823" s="10"/>
      <c r="B823" s="10"/>
      <c r="C823" s="10"/>
      <c r="D823" s="10"/>
      <c r="E823" s="10"/>
      <c r="F823" s="10" t="s">
        <v>1015</v>
      </c>
      <c r="G823" s="24">
        <v>0</v>
      </c>
      <c r="H823" s="24">
        <v>0</v>
      </c>
      <c r="I823" s="24">
        <v>0</v>
      </c>
      <c r="J823" s="25">
        <v>0</v>
      </c>
      <c r="K823" s="24">
        <v>0</v>
      </c>
      <c r="L823" s="24">
        <v>0</v>
      </c>
    </row>
    <row r="824" ht="21.05" customHeight="1" spans="1:12">
      <c r="A824" s="10"/>
      <c r="B824" s="10"/>
      <c r="C824" s="10"/>
      <c r="D824" s="10"/>
      <c r="E824" s="10"/>
      <c r="F824" s="10" t="s">
        <v>1016</v>
      </c>
      <c r="G824" s="24">
        <v>0</v>
      </c>
      <c r="H824" s="24">
        <v>0</v>
      </c>
      <c r="I824" s="24">
        <v>0</v>
      </c>
      <c r="J824" s="25">
        <v>0</v>
      </c>
      <c r="K824" s="24">
        <v>0</v>
      </c>
      <c r="L824" s="24">
        <v>0</v>
      </c>
    </row>
    <row r="825" ht="21.05" customHeight="1" spans="1:12">
      <c r="A825" s="10"/>
      <c r="B825" s="10"/>
      <c r="C825" s="10"/>
      <c r="D825" s="10"/>
      <c r="E825" s="10"/>
      <c r="F825" s="10" t="s">
        <v>1017</v>
      </c>
      <c r="G825" s="24">
        <v>0</v>
      </c>
      <c r="H825" s="24">
        <v>0</v>
      </c>
      <c r="I825" s="24">
        <v>0</v>
      </c>
      <c r="J825" s="25">
        <v>0</v>
      </c>
      <c r="K825" s="24">
        <v>0</v>
      </c>
      <c r="L825" s="24">
        <v>0</v>
      </c>
    </row>
    <row r="826" ht="21.05" customHeight="1" spans="1:12">
      <c r="A826" s="10"/>
      <c r="B826" s="10"/>
      <c r="C826" s="10"/>
      <c r="D826" s="10"/>
      <c r="E826" s="10"/>
      <c r="F826" s="10" t="s">
        <v>1018</v>
      </c>
      <c r="G826" s="24">
        <v>0</v>
      </c>
      <c r="H826" s="24">
        <v>0</v>
      </c>
      <c r="I826" s="24">
        <v>0</v>
      </c>
      <c r="J826" s="25">
        <v>0</v>
      </c>
      <c r="K826" s="24">
        <v>0</v>
      </c>
      <c r="L826" s="24">
        <v>0</v>
      </c>
    </row>
    <row r="827" ht="21.05" customHeight="1" spans="1:12">
      <c r="A827" s="10"/>
      <c r="B827" s="10"/>
      <c r="C827" s="10"/>
      <c r="D827" s="10"/>
      <c r="E827" s="10"/>
      <c r="F827" s="10" t="s">
        <v>868</v>
      </c>
      <c r="G827" s="24">
        <v>50</v>
      </c>
      <c r="H827" s="24">
        <v>861</v>
      </c>
      <c r="I827" s="24">
        <v>45.3802</v>
      </c>
      <c r="J827" s="25">
        <v>4.6198</v>
      </c>
      <c r="K827" s="24">
        <v>831.2115</v>
      </c>
      <c r="L827" s="24">
        <v>831.2115</v>
      </c>
    </row>
    <row r="828" ht="21.05" customHeight="1" spans="1:12">
      <c r="A828" s="10"/>
      <c r="B828" s="10"/>
      <c r="C828" s="10"/>
      <c r="D828" s="10"/>
      <c r="E828" s="10"/>
      <c r="F828" s="10" t="s">
        <v>1009</v>
      </c>
      <c r="G828" s="24">
        <v>0</v>
      </c>
      <c r="H828" s="24">
        <v>0</v>
      </c>
      <c r="I828" s="24">
        <v>0</v>
      </c>
      <c r="J828" s="25">
        <v>0</v>
      </c>
      <c r="K828" s="24">
        <v>0</v>
      </c>
      <c r="L828" s="24">
        <v>0</v>
      </c>
    </row>
    <row r="829" ht="21.05" customHeight="1" spans="1:12">
      <c r="A829" s="10"/>
      <c r="B829" s="10"/>
      <c r="C829" s="10"/>
      <c r="D829" s="10"/>
      <c r="E829" s="10"/>
      <c r="F829" s="10" t="s">
        <v>1019</v>
      </c>
      <c r="G829" s="24">
        <v>0</v>
      </c>
      <c r="H829" s="24">
        <v>0</v>
      </c>
      <c r="I829" s="24">
        <v>0</v>
      </c>
      <c r="J829" s="25">
        <v>0</v>
      </c>
      <c r="K829" s="24">
        <v>0</v>
      </c>
      <c r="L829" s="24">
        <v>0</v>
      </c>
    </row>
    <row r="830" ht="21.05" customHeight="1" spans="1:12">
      <c r="A830" s="10"/>
      <c r="B830" s="10"/>
      <c r="C830" s="10"/>
      <c r="D830" s="10"/>
      <c r="E830" s="10"/>
      <c r="F830" s="10" t="s">
        <v>926</v>
      </c>
      <c r="G830" s="24">
        <v>0</v>
      </c>
      <c r="H830" s="24">
        <v>0</v>
      </c>
      <c r="I830" s="24">
        <v>0</v>
      </c>
      <c r="J830" s="25">
        <v>0</v>
      </c>
      <c r="K830" s="24">
        <v>0</v>
      </c>
      <c r="L830" s="24">
        <v>0</v>
      </c>
    </row>
    <row r="831" ht="21.05" customHeight="1" spans="1:12">
      <c r="A831" s="10"/>
      <c r="B831" s="10"/>
      <c r="C831" s="10"/>
      <c r="D831" s="10"/>
      <c r="E831" s="10"/>
      <c r="F831" s="10" t="s">
        <v>912</v>
      </c>
      <c r="G831" s="24">
        <v>0</v>
      </c>
      <c r="H831" s="24">
        <v>0</v>
      </c>
      <c r="I831" s="24">
        <v>0</v>
      </c>
      <c r="J831" s="25">
        <v>0</v>
      </c>
      <c r="K831" s="24">
        <v>0</v>
      </c>
      <c r="L831" s="24">
        <v>0</v>
      </c>
    </row>
    <row r="832" ht="21.05" customHeight="1" spans="1:12">
      <c r="A832" s="10"/>
      <c r="B832" s="10"/>
      <c r="C832" s="10"/>
      <c r="D832" s="10"/>
      <c r="E832" s="10"/>
      <c r="F832" s="10" t="s">
        <v>1010</v>
      </c>
      <c r="G832" s="24">
        <v>0</v>
      </c>
      <c r="H832" s="24">
        <v>0</v>
      </c>
      <c r="I832" s="24">
        <v>0</v>
      </c>
      <c r="J832" s="25">
        <v>0</v>
      </c>
      <c r="K832" s="24">
        <v>0</v>
      </c>
      <c r="L832" s="24">
        <v>0</v>
      </c>
    </row>
    <row r="833" ht="21.05" customHeight="1" spans="1:12">
      <c r="A833" s="10"/>
      <c r="B833" s="10"/>
      <c r="C833" s="10" t="s">
        <v>792</v>
      </c>
      <c r="D833" s="10" t="s">
        <v>793</v>
      </c>
      <c r="E833" s="10" t="s">
        <v>258</v>
      </c>
      <c r="F833" s="10" t="s">
        <v>908</v>
      </c>
      <c r="G833" s="24">
        <v>0</v>
      </c>
      <c r="H833" s="24">
        <v>0</v>
      </c>
      <c r="I833" s="24">
        <v>0</v>
      </c>
      <c r="J833" s="25">
        <v>0</v>
      </c>
      <c r="K833" s="24">
        <v>0</v>
      </c>
      <c r="L833" s="24">
        <v>0</v>
      </c>
    </row>
    <row r="834" ht="21.05" customHeight="1" spans="1:12">
      <c r="A834" s="10"/>
      <c r="B834" s="10"/>
      <c r="C834" s="10"/>
      <c r="D834" s="10"/>
      <c r="E834" s="10"/>
      <c r="F834" s="10" t="s">
        <v>852</v>
      </c>
      <c r="G834" s="24">
        <v>0.15</v>
      </c>
      <c r="H834" s="24">
        <v>895.1</v>
      </c>
      <c r="I834" s="24">
        <v>0</v>
      </c>
      <c r="J834" s="25">
        <v>0.15</v>
      </c>
      <c r="K834" s="24">
        <v>815.7128</v>
      </c>
      <c r="L834" s="24">
        <v>815.7128</v>
      </c>
    </row>
    <row r="835" ht="21.05" customHeight="1" spans="1:12">
      <c r="A835" s="10"/>
      <c r="B835" s="10"/>
      <c r="C835" s="10"/>
      <c r="D835" s="10"/>
      <c r="E835" s="10"/>
      <c r="F835" s="10" t="s">
        <v>1017</v>
      </c>
      <c r="G835" s="24">
        <v>0</v>
      </c>
      <c r="H835" s="24">
        <v>0</v>
      </c>
      <c r="I835" s="24">
        <v>0</v>
      </c>
      <c r="J835" s="25">
        <v>0</v>
      </c>
      <c r="K835" s="24">
        <v>0</v>
      </c>
      <c r="L835" s="24">
        <v>0</v>
      </c>
    </row>
    <row r="836" ht="21.05" customHeight="1" spans="1:12">
      <c r="A836" s="10"/>
      <c r="B836" s="10" t="s">
        <v>85</v>
      </c>
      <c r="C836" s="10" t="s">
        <v>92</v>
      </c>
      <c r="D836" s="10" t="s">
        <v>794</v>
      </c>
      <c r="E836" s="10" t="s">
        <v>382</v>
      </c>
      <c r="F836" s="10" t="s">
        <v>852</v>
      </c>
      <c r="G836" s="24">
        <v>12.47</v>
      </c>
      <c r="H836" s="24">
        <v>601.8</v>
      </c>
      <c r="I836" s="24">
        <v>12.0296</v>
      </c>
      <c r="J836" s="25">
        <v>0.4404</v>
      </c>
      <c r="K836" s="24">
        <v>586.8502</v>
      </c>
      <c r="L836" s="24">
        <v>586.8502</v>
      </c>
    </row>
    <row r="837" ht="21.05" customHeight="1" spans="1:12">
      <c r="A837" s="10"/>
      <c r="B837" s="10"/>
      <c r="C837" s="10"/>
      <c r="D837" s="10" t="s">
        <v>383</v>
      </c>
      <c r="E837" s="10" t="s">
        <v>382</v>
      </c>
      <c r="F837" s="10" t="s">
        <v>903</v>
      </c>
      <c r="G837" s="24">
        <v>0</v>
      </c>
      <c r="H837" s="24">
        <v>0</v>
      </c>
      <c r="I837" s="24">
        <v>0</v>
      </c>
      <c r="J837" s="25">
        <v>0</v>
      </c>
      <c r="K837" s="24">
        <v>0</v>
      </c>
      <c r="L837" s="24">
        <v>0</v>
      </c>
    </row>
    <row r="838" ht="21.05" customHeight="1" spans="1:12">
      <c r="A838" s="10"/>
      <c r="B838" s="10"/>
      <c r="C838" s="10"/>
      <c r="D838" s="10"/>
      <c r="E838" s="10"/>
      <c r="F838" s="10" t="s">
        <v>852</v>
      </c>
      <c r="G838" s="24">
        <v>49</v>
      </c>
      <c r="H838" s="24">
        <v>2789.9</v>
      </c>
      <c r="I838" s="24">
        <v>49.5196</v>
      </c>
      <c r="J838" s="25">
        <v>-0.5196</v>
      </c>
      <c r="K838" s="24">
        <v>2756.2113</v>
      </c>
      <c r="L838" s="24">
        <v>2756.2113</v>
      </c>
    </row>
    <row r="839" ht="21.05" customHeight="1" spans="1:12">
      <c r="A839" s="10"/>
      <c r="B839" s="10"/>
      <c r="C839" s="10"/>
      <c r="D839" s="10"/>
      <c r="E839" s="10"/>
      <c r="F839" s="10" t="s">
        <v>877</v>
      </c>
      <c r="G839" s="24">
        <v>0</v>
      </c>
      <c r="H839" s="24">
        <v>0</v>
      </c>
      <c r="I839" s="24">
        <v>0</v>
      </c>
      <c r="J839" s="25">
        <v>0</v>
      </c>
      <c r="K839" s="24">
        <v>0</v>
      </c>
      <c r="L839" s="24">
        <v>0</v>
      </c>
    </row>
    <row r="840" ht="21.05" customHeight="1" spans="1:12">
      <c r="A840" s="10"/>
      <c r="B840" s="10"/>
      <c r="C840" s="10"/>
      <c r="D840" s="10"/>
      <c r="E840" s="10"/>
      <c r="F840" s="10" t="s">
        <v>879</v>
      </c>
      <c r="G840" s="24">
        <v>0</v>
      </c>
      <c r="H840" s="24">
        <v>0</v>
      </c>
      <c r="I840" s="24">
        <v>0</v>
      </c>
      <c r="J840" s="25">
        <v>0</v>
      </c>
      <c r="K840" s="24">
        <v>0</v>
      </c>
      <c r="L840" s="24">
        <v>0</v>
      </c>
    </row>
    <row r="841" ht="21.05" customHeight="1" spans="1:12">
      <c r="A841" s="10"/>
      <c r="B841" s="10"/>
      <c r="C841" s="10"/>
      <c r="D841" s="10"/>
      <c r="E841" s="10"/>
      <c r="F841" s="10" t="s">
        <v>860</v>
      </c>
      <c r="G841" s="24">
        <v>0</v>
      </c>
      <c r="H841" s="24">
        <v>0</v>
      </c>
      <c r="I841" s="24">
        <v>0</v>
      </c>
      <c r="J841" s="25">
        <v>0</v>
      </c>
      <c r="K841" s="24">
        <v>0</v>
      </c>
      <c r="L841" s="24">
        <v>0</v>
      </c>
    </row>
    <row r="842" ht="21.05" customHeight="1" spans="1:12">
      <c r="A842" s="10"/>
      <c r="B842" s="10"/>
      <c r="C842" s="10"/>
      <c r="D842" s="10"/>
      <c r="E842" s="10"/>
      <c r="F842" s="10" t="s">
        <v>861</v>
      </c>
      <c r="G842" s="24">
        <v>0</v>
      </c>
      <c r="H842" s="24">
        <v>0</v>
      </c>
      <c r="I842" s="24">
        <v>0</v>
      </c>
      <c r="J842" s="25">
        <v>0</v>
      </c>
      <c r="K842" s="24">
        <v>0</v>
      </c>
      <c r="L842" s="24">
        <v>0</v>
      </c>
    </row>
    <row r="843" ht="21.05" customHeight="1" spans="1:12">
      <c r="A843" s="10"/>
      <c r="B843" s="10"/>
      <c r="C843" s="10"/>
      <c r="D843" s="10"/>
      <c r="E843" s="10"/>
      <c r="F843" s="10" t="s">
        <v>902</v>
      </c>
      <c r="G843" s="24">
        <v>0</v>
      </c>
      <c r="H843" s="24">
        <v>0</v>
      </c>
      <c r="I843" s="24">
        <v>0</v>
      </c>
      <c r="J843" s="25">
        <v>0</v>
      </c>
      <c r="K843" s="24">
        <v>0</v>
      </c>
      <c r="L843" s="24">
        <v>0</v>
      </c>
    </row>
    <row r="844" ht="21.05" customHeight="1" spans="1:12">
      <c r="A844" s="10"/>
      <c r="B844" s="10"/>
      <c r="C844" s="10"/>
      <c r="D844" s="10"/>
      <c r="E844" s="10"/>
      <c r="F844" s="10" t="s">
        <v>928</v>
      </c>
      <c r="G844" s="24">
        <v>0</v>
      </c>
      <c r="H844" s="24">
        <v>0</v>
      </c>
      <c r="I844" s="24">
        <v>0</v>
      </c>
      <c r="J844" s="25">
        <v>0</v>
      </c>
      <c r="K844" s="24">
        <v>0</v>
      </c>
      <c r="L844" s="24">
        <v>0</v>
      </c>
    </row>
    <row r="845" ht="21.05" customHeight="1" spans="1:12">
      <c r="A845" s="10"/>
      <c r="B845" s="10"/>
      <c r="C845" s="10"/>
      <c r="D845" s="10"/>
      <c r="E845" s="10"/>
      <c r="F845" s="10" t="s">
        <v>906</v>
      </c>
      <c r="G845" s="24">
        <v>0</v>
      </c>
      <c r="H845" s="24">
        <v>0</v>
      </c>
      <c r="I845" s="24">
        <v>0</v>
      </c>
      <c r="J845" s="25">
        <v>0</v>
      </c>
      <c r="K845" s="24">
        <v>0</v>
      </c>
      <c r="L845" s="24">
        <v>0</v>
      </c>
    </row>
    <row r="846" ht="21.05" customHeight="1" spans="1:12">
      <c r="A846" s="10"/>
      <c r="B846" s="10"/>
      <c r="C846" s="10"/>
      <c r="D846" s="10"/>
      <c r="E846" s="10"/>
      <c r="F846" s="10" t="s">
        <v>864</v>
      </c>
      <c r="G846" s="24">
        <v>12</v>
      </c>
      <c r="H846" s="24">
        <v>736.5</v>
      </c>
      <c r="I846" s="24">
        <v>12.1273</v>
      </c>
      <c r="J846" s="25">
        <v>-0.1273</v>
      </c>
      <c r="K846" s="24">
        <v>728.6443</v>
      </c>
      <c r="L846" s="24">
        <v>728.6443</v>
      </c>
    </row>
    <row r="847" ht="21.05" customHeight="1" spans="1:12">
      <c r="A847" s="10"/>
      <c r="B847" s="10"/>
      <c r="C847" s="10"/>
      <c r="D847" s="10"/>
      <c r="E847" s="10"/>
      <c r="F847" s="10" t="s">
        <v>898</v>
      </c>
      <c r="G847" s="24">
        <v>0</v>
      </c>
      <c r="H847" s="24">
        <v>0</v>
      </c>
      <c r="I847" s="24">
        <v>0</v>
      </c>
      <c r="J847" s="25">
        <v>0</v>
      </c>
      <c r="K847" s="24">
        <v>0</v>
      </c>
      <c r="L847" s="24">
        <v>0</v>
      </c>
    </row>
    <row r="848" ht="21.05" customHeight="1" spans="1:12">
      <c r="A848" s="10"/>
      <c r="B848" s="10"/>
      <c r="C848" s="10" t="s">
        <v>797</v>
      </c>
      <c r="D848" s="10" t="s">
        <v>798</v>
      </c>
      <c r="E848" s="10" t="s">
        <v>382</v>
      </c>
      <c r="F848" s="10" t="s">
        <v>852</v>
      </c>
      <c r="G848" s="24">
        <v>2.8</v>
      </c>
      <c r="H848" s="24">
        <v>328.9</v>
      </c>
      <c r="I848" s="24">
        <v>2.61</v>
      </c>
      <c r="J848" s="25">
        <v>0.19</v>
      </c>
      <c r="K848" s="24">
        <v>315.5205</v>
      </c>
      <c r="L848" s="24">
        <v>315.5205</v>
      </c>
    </row>
    <row r="849" ht="21.05" customHeight="1" spans="1:12">
      <c r="A849" s="10"/>
      <c r="B849" s="10"/>
      <c r="C849" s="10"/>
      <c r="D849" s="10"/>
      <c r="E849" s="10"/>
      <c r="F849" s="10" t="s">
        <v>877</v>
      </c>
      <c r="G849" s="24">
        <v>0</v>
      </c>
      <c r="H849" s="24">
        <v>0</v>
      </c>
      <c r="I849" s="24">
        <v>0</v>
      </c>
      <c r="J849" s="25">
        <v>0</v>
      </c>
      <c r="K849" s="24">
        <v>0</v>
      </c>
      <c r="L849" s="24">
        <v>0</v>
      </c>
    </row>
    <row r="850" ht="21.05" customHeight="1" spans="1:12">
      <c r="A850" s="10"/>
      <c r="B850" s="10"/>
      <c r="C850" s="10"/>
      <c r="D850" s="10"/>
      <c r="E850" s="10"/>
      <c r="F850" s="10" t="s">
        <v>860</v>
      </c>
      <c r="G850" s="24">
        <v>0</v>
      </c>
      <c r="H850" s="24">
        <v>0</v>
      </c>
      <c r="I850" s="24">
        <v>0</v>
      </c>
      <c r="J850" s="25">
        <v>0</v>
      </c>
      <c r="K850" s="24">
        <v>0</v>
      </c>
      <c r="L850" s="24">
        <v>0</v>
      </c>
    </row>
    <row r="851" ht="21.05" customHeight="1" spans="1:12">
      <c r="A851" s="10"/>
      <c r="B851" s="10"/>
      <c r="C851" s="10"/>
      <c r="D851" s="10"/>
      <c r="E851" s="10"/>
      <c r="F851" s="10" t="s">
        <v>864</v>
      </c>
      <c r="G851" s="24">
        <v>0</v>
      </c>
      <c r="H851" s="24">
        <v>0</v>
      </c>
      <c r="I851" s="24">
        <v>0</v>
      </c>
      <c r="J851" s="25">
        <v>0</v>
      </c>
      <c r="K851" s="24">
        <v>0</v>
      </c>
      <c r="L851" s="24">
        <v>0</v>
      </c>
    </row>
    <row r="852" ht="21.05" customHeight="1" spans="1:12">
      <c r="A852" s="10"/>
      <c r="B852" s="10"/>
      <c r="C852" s="10"/>
      <c r="D852" s="10"/>
      <c r="E852" s="10"/>
      <c r="F852" s="10" t="s">
        <v>898</v>
      </c>
      <c r="G852" s="24">
        <v>0</v>
      </c>
      <c r="H852" s="24">
        <v>0</v>
      </c>
      <c r="I852" s="24">
        <v>0</v>
      </c>
      <c r="J852" s="25">
        <v>0</v>
      </c>
      <c r="K852" s="24">
        <v>0</v>
      </c>
      <c r="L852" s="24">
        <v>0</v>
      </c>
    </row>
    <row r="853" ht="21.05" customHeight="1" spans="1:12">
      <c r="A853" s="10"/>
      <c r="B853" s="10"/>
      <c r="C853" s="10" t="s">
        <v>801</v>
      </c>
      <c r="D853" s="10" t="s">
        <v>383</v>
      </c>
      <c r="E853" s="10" t="s">
        <v>382</v>
      </c>
      <c r="F853" s="10" t="s">
        <v>906</v>
      </c>
      <c r="G853" s="24">
        <v>0</v>
      </c>
      <c r="H853" s="24">
        <v>0</v>
      </c>
      <c r="I853" s="24">
        <v>0</v>
      </c>
      <c r="J853" s="25">
        <v>0</v>
      </c>
      <c r="K853" s="24">
        <v>0</v>
      </c>
      <c r="L853" s="24">
        <v>0</v>
      </c>
    </row>
    <row r="854" ht="21.05" customHeight="1" spans="1:12">
      <c r="A854" s="10"/>
      <c r="B854" s="10"/>
      <c r="C854" s="10" t="s">
        <v>802</v>
      </c>
      <c r="D854" s="10" t="s">
        <v>383</v>
      </c>
      <c r="E854" s="10" t="s">
        <v>382</v>
      </c>
      <c r="F854" s="10" t="s">
        <v>852</v>
      </c>
      <c r="G854" s="24">
        <v>11.1</v>
      </c>
      <c r="H854" s="24">
        <v>441.08</v>
      </c>
      <c r="I854" s="24">
        <v>7.6232</v>
      </c>
      <c r="J854" s="25">
        <v>3.4768</v>
      </c>
      <c r="K854" s="24">
        <v>409.4393</v>
      </c>
      <c r="L854" s="24">
        <v>409.4393</v>
      </c>
    </row>
    <row r="855" ht="21.05" customHeight="1" spans="1:12">
      <c r="A855" s="10"/>
      <c r="B855" s="10"/>
      <c r="C855" s="10"/>
      <c r="D855" s="10"/>
      <c r="E855" s="10"/>
      <c r="F855" s="10" t="s">
        <v>860</v>
      </c>
      <c r="G855" s="24">
        <v>0</v>
      </c>
      <c r="H855" s="24">
        <v>0</v>
      </c>
      <c r="I855" s="24">
        <v>0</v>
      </c>
      <c r="J855" s="25">
        <v>0</v>
      </c>
      <c r="K855" s="24">
        <v>0</v>
      </c>
      <c r="L855" s="24">
        <v>0</v>
      </c>
    </row>
    <row r="856" ht="21.05" customHeight="1" spans="1:12">
      <c r="A856" s="10"/>
      <c r="B856" s="10"/>
      <c r="C856" s="10"/>
      <c r="D856" s="10"/>
      <c r="E856" s="10"/>
      <c r="F856" s="10" t="s">
        <v>906</v>
      </c>
      <c r="G856" s="24">
        <v>0</v>
      </c>
      <c r="H856" s="24">
        <v>0</v>
      </c>
      <c r="I856" s="24">
        <v>0</v>
      </c>
      <c r="J856" s="25">
        <v>0</v>
      </c>
      <c r="K856" s="24">
        <v>0</v>
      </c>
      <c r="L856" s="24">
        <v>0</v>
      </c>
    </row>
    <row r="857" ht="21.05" customHeight="1" spans="1:12">
      <c r="A857" s="10"/>
      <c r="B857" s="10"/>
      <c r="C857" s="10"/>
      <c r="D857" s="10"/>
      <c r="E857" s="10"/>
      <c r="F857" s="10" t="s">
        <v>181</v>
      </c>
      <c r="G857" s="24">
        <v>0</v>
      </c>
      <c r="H857" s="24">
        <v>0</v>
      </c>
      <c r="I857" s="24">
        <v>0</v>
      </c>
      <c r="J857" s="25">
        <v>0</v>
      </c>
      <c r="K857" s="24">
        <v>0</v>
      </c>
      <c r="L857" s="24">
        <v>0</v>
      </c>
    </row>
    <row r="858" ht="21.05" customHeight="1" spans="1:12">
      <c r="A858" s="10"/>
      <c r="B858" s="10"/>
      <c r="C858" s="10"/>
      <c r="D858" s="10"/>
      <c r="E858" s="10"/>
      <c r="F858" s="10" t="s">
        <v>864</v>
      </c>
      <c r="G858" s="24">
        <v>0</v>
      </c>
      <c r="H858" s="24">
        <v>0</v>
      </c>
      <c r="I858" s="24">
        <v>0</v>
      </c>
      <c r="J858" s="25">
        <v>0</v>
      </c>
      <c r="K858" s="24">
        <v>0</v>
      </c>
      <c r="L858" s="24">
        <v>0</v>
      </c>
    </row>
    <row r="859" ht="21.05" customHeight="1" spans="1:12">
      <c r="A859" s="10"/>
      <c r="B859" s="10"/>
      <c r="C859" s="10"/>
      <c r="D859" s="10"/>
      <c r="E859" s="10"/>
      <c r="F859" s="10" t="s">
        <v>898</v>
      </c>
      <c r="G859" s="24">
        <v>0</v>
      </c>
      <c r="H859" s="24">
        <v>0</v>
      </c>
      <c r="I859" s="24">
        <v>0</v>
      </c>
      <c r="J859" s="25">
        <v>0</v>
      </c>
      <c r="K859" s="24">
        <v>0</v>
      </c>
      <c r="L859" s="24">
        <v>0</v>
      </c>
    </row>
    <row r="860" ht="21.05" customHeight="1" spans="1:12">
      <c r="A860" s="10"/>
      <c r="B860" s="10"/>
      <c r="C860" s="10" t="s">
        <v>804</v>
      </c>
      <c r="D860" s="10" t="s">
        <v>805</v>
      </c>
      <c r="E860" s="10" t="s">
        <v>382</v>
      </c>
      <c r="F860" s="10" t="s">
        <v>869</v>
      </c>
      <c r="G860" s="24">
        <v>0</v>
      </c>
      <c r="H860" s="24">
        <v>0</v>
      </c>
      <c r="I860" s="24">
        <v>0</v>
      </c>
      <c r="J860" s="25">
        <v>0</v>
      </c>
      <c r="K860" s="24">
        <v>0</v>
      </c>
      <c r="L860" s="24">
        <v>0</v>
      </c>
    </row>
    <row r="861" ht="21.05" customHeight="1" spans="1:12">
      <c r="A861" s="10"/>
      <c r="B861" s="10"/>
      <c r="C861" s="10"/>
      <c r="D861" s="10"/>
      <c r="E861" s="10"/>
      <c r="F861" s="10" t="s">
        <v>852</v>
      </c>
      <c r="G861" s="24">
        <v>0.08</v>
      </c>
      <c r="H861" s="24">
        <v>98.48</v>
      </c>
      <c r="I861" s="24">
        <v>0.0783</v>
      </c>
      <c r="J861" s="25">
        <v>0.0017</v>
      </c>
      <c r="K861" s="24">
        <v>97.0335</v>
      </c>
      <c r="L861" s="24">
        <v>97.0335</v>
      </c>
    </row>
    <row r="862" ht="21.05" customHeight="1" spans="1:12">
      <c r="A862" s="10"/>
      <c r="B862" s="10" t="s">
        <v>86</v>
      </c>
      <c r="C862" s="10" t="s">
        <v>807</v>
      </c>
      <c r="D862" s="10" t="s">
        <v>383</v>
      </c>
      <c r="E862" s="10" t="s">
        <v>382</v>
      </c>
      <c r="F862" s="10" t="s">
        <v>1020</v>
      </c>
      <c r="G862" s="24">
        <v>0</v>
      </c>
      <c r="H862" s="24">
        <v>0</v>
      </c>
      <c r="I862" s="24">
        <v>0</v>
      </c>
      <c r="J862" s="25">
        <v>0</v>
      </c>
      <c r="K862" s="24">
        <v>0</v>
      </c>
      <c r="L862" s="24">
        <v>0</v>
      </c>
    </row>
    <row r="863" ht="21.05" customHeight="1" spans="1:12">
      <c r="A863" s="10"/>
      <c r="B863" s="10"/>
      <c r="C863" s="10"/>
      <c r="D863" s="10"/>
      <c r="E863" s="10"/>
      <c r="F863" s="10" t="s">
        <v>852</v>
      </c>
      <c r="G863" s="24">
        <v>14.1</v>
      </c>
      <c r="H863" s="24">
        <v>874.38</v>
      </c>
      <c r="I863" s="24">
        <v>10.6024</v>
      </c>
      <c r="J863" s="25">
        <v>3.4976</v>
      </c>
      <c r="K863" s="24">
        <v>809.9176</v>
      </c>
      <c r="L863" s="24">
        <v>809.9176</v>
      </c>
    </row>
    <row r="864" ht="21.05" customHeight="1" spans="1:12">
      <c r="A864" s="10"/>
      <c r="B864" s="10"/>
      <c r="C864" s="10"/>
      <c r="D864" s="10"/>
      <c r="E864" s="10"/>
      <c r="F864" s="10" t="s">
        <v>877</v>
      </c>
      <c r="G864" s="24">
        <v>0</v>
      </c>
      <c r="H864" s="24">
        <v>0</v>
      </c>
      <c r="I864" s="24">
        <v>0</v>
      </c>
      <c r="J864" s="25">
        <v>0</v>
      </c>
      <c r="K864" s="24">
        <v>0</v>
      </c>
      <c r="L864" s="24">
        <v>0</v>
      </c>
    </row>
    <row r="865" ht="21.05" customHeight="1" spans="1:12">
      <c r="A865" s="10"/>
      <c r="B865" s="10"/>
      <c r="C865" s="10"/>
      <c r="D865" s="10"/>
      <c r="E865" s="10"/>
      <c r="F865" s="10" t="s">
        <v>879</v>
      </c>
      <c r="G865" s="24">
        <v>0</v>
      </c>
      <c r="H865" s="24">
        <v>0</v>
      </c>
      <c r="I865" s="24">
        <v>0</v>
      </c>
      <c r="J865" s="25">
        <v>0</v>
      </c>
      <c r="K865" s="24">
        <v>0</v>
      </c>
      <c r="L865" s="24">
        <v>0</v>
      </c>
    </row>
    <row r="866" ht="21.05" customHeight="1" spans="1:12">
      <c r="A866" s="10"/>
      <c r="B866" s="10"/>
      <c r="C866" s="10"/>
      <c r="D866" s="10"/>
      <c r="E866" s="10"/>
      <c r="F866" s="10" t="s">
        <v>860</v>
      </c>
      <c r="G866" s="24">
        <v>0</v>
      </c>
      <c r="H866" s="24">
        <v>0</v>
      </c>
      <c r="I866" s="24">
        <v>0</v>
      </c>
      <c r="J866" s="25">
        <v>0</v>
      </c>
      <c r="K866" s="24">
        <v>0</v>
      </c>
      <c r="L866" s="24">
        <v>0</v>
      </c>
    </row>
    <row r="867" ht="21.05" customHeight="1" spans="1:12">
      <c r="A867" s="10"/>
      <c r="B867" s="10"/>
      <c r="C867" s="10"/>
      <c r="D867" s="10"/>
      <c r="E867" s="10"/>
      <c r="F867" s="10" t="s">
        <v>906</v>
      </c>
      <c r="G867" s="24">
        <v>0</v>
      </c>
      <c r="H867" s="24">
        <v>0</v>
      </c>
      <c r="I867" s="24">
        <v>0</v>
      </c>
      <c r="J867" s="25">
        <v>0</v>
      </c>
      <c r="K867" s="24">
        <v>0</v>
      </c>
      <c r="L867" s="24">
        <v>0</v>
      </c>
    </row>
    <row r="868" ht="21.05" customHeight="1" spans="1:12">
      <c r="A868" s="10"/>
      <c r="B868" s="10"/>
      <c r="C868" s="10"/>
      <c r="D868" s="10"/>
      <c r="E868" s="10"/>
      <c r="F868" s="10" t="s">
        <v>864</v>
      </c>
      <c r="G868" s="24">
        <v>0</v>
      </c>
      <c r="H868" s="24">
        <v>0</v>
      </c>
      <c r="I868" s="24">
        <v>0</v>
      </c>
      <c r="J868" s="25">
        <v>0</v>
      </c>
      <c r="K868" s="24">
        <v>0</v>
      </c>
      <c r="L868" s="24">
        <v>0</v>
      </c>
    </row>
    <row r="869" ht="21.05" customHeight="1" spans="1:12">
      <c r="A869" s="10"/>
      <c r="B869" s="10"/>
      <c r="C869" s="10"/>
      <c r="D869" s="10"/>
      <c r="E869" s="10"/>
      <c r="F869" s="10" t="s">
        <v>898</v>
      </c>
      <c r="G869" s="24">
        <v>0.7</v>
      </c>
      <c r="H869" s="24">
        <v>55.21</v>
      </c>
      <c r="I869" s="24">
        <v>0.5264</v>
      </c>
      <c r="J869" s="25">
        <v>0.1736</v>
      </c>
      <c r="K869" s="24">
        <v>51.5648</v>
      </c>
      <c r="L869" s="24">
        <v>51.5648</v>
      </c>
    </row>
    <row r="870" ht="21.05" customHeight="1" spans="1:12">
      <c r="A870" s="10"/>
      <c r="B870" s="10"/>
      <c r="C870" s="10"/>
      <c r="D870" s="10"/>
      <c r="E870" s="10"/>
      <c r="F870" s="10" t="s">
        <v>927</v>
      </c>
      <c r="G870" s="24">
        <v>0</v>
      </c>
      <c r="H870" s="24">
        <v>0</v>
      </c>
      <c r="I870" s="24">
        <v>0</v>
      </c>
      <c r="J870" s="25">
        <v>0</v>
      </c>
      <c r="K870" s="24">
        <v>0</v>
      </c>
      <c r="L870" s="24">
        <v>0</v>
      </c>
    </row>
    <row r="871" ht="21.05" customHeight="1" spans="1:12">
      <c r="A871" s="10"/>
      <c r="B871" s="10"/>
      <c r="C871" s="10"/>
      <c r="D871" s="10" t="s">
        <v>809</v>
      </c>
      <c r="E871" s="10" t="s">
        <v>382</v>
      </c>
      <c r="F871" s="10" t="s">
        <v>852</v>
      </c>
      <c r="G871" s="24">
        <v>1</v>
      </c>
      <c r="H871" s="24">
        <v>182.2</v>
      </c>
      <c r="I871" s="24">
        <v>0.8285</v>
      </c>
      <c r="J871" s="25">
        <v>0.1715</v>
      </c>
      <c r="K871" s="24">
        <v>172.0998</v>
      </c>
      <c r="L871" s="24">
        <v>172.0998</v>
      </c>
    </row>
    <row r="872" ht="21.05" customHeight="1" spans="1:12">
      <c r="A872" s="10"/>
      <c r="B872" s="10"/>
      <c r="C872" s="10"/>
      <c r="D872" s="10"/>
      <c r="E872" s="10"/>
      <c r="F872" s="10" t="s">
        <v>877</v>
      </c>
      <c r="G872" s="24">
        <v>0</v>
      </c>
      <c r="H872" s="24">
        <v>0</v>
      </c>
      <c r="I872" s="24">
        <v>0</v>
      </c>
      <c r="J872" s="25">
        <v>0</v>
      </c>
      <c r="K872" s="24">
        <v>0</v>
      </c>
      <c r="L872" s="24">
        <v>0</v>
      </c>
    </row>
    <row r="873" ht="21.05" customHeight="1" spans="1:12">
      <c r="A873" s="10"/>
      <c r="B873" s="10"/>
      <c r="C873" s="10"/>
      <c r="D873" s="10"/>
      <c r="E873" s="10"/>
      <c r="F873" s="10" t="s">
        <v>879</v>
      </c>
      <c r="G873" s="24">
        <v>0</v>
      </c>
      <c r="H873" s="24">
        <v>0</v>
      </c>
      <c r="I873" s="24">
        <v>0</v>
      </c>
      <c r="J873" s="25">
        <v>0</v>
      </c>
      <c r="K873" s="24">
        <v>0</v>
      </c>
      <c r="L873" s="24">
        <v>0</v>
      </c>
    </row>
    <row r="874" ht="21.05" customHeight="1" spans="1:12">
      <c r="A874" s="10"/>
      <c r="B874" s="10"/>
      <c r="C874" s="10"/>
      <c r="D874" s="10"/>
      <c r="E874" s="10"/>
      <c r="F874" s="10" t="s">
        <v>864</v>
      </c>
      <c r="G874" s="24">
        <v>9.5</v>
      </c>
      <c r="H874" s="24">
        <v>235.3</v>
      </c>
      <c r="I874" s="24">
        <v>7.8708</v>
      </c>
      <c r="J874" s="25">
        <v>1.6292</v>
      </c>
      <c r="K874" s="24">
        <v>219.4769</v>
      </c>
      <c r="L874" s="24">
        <v>219.4769</v>
      </c>
    </row>
    <row r="875" ht="21.05" customHeight="1" spans="1:12">
      <c r="A875" s="10"/>
      <c r="B875" s="10"/>
      <c r="C875" s="10"/>
      <c r="D875" s="10"/>
      <c r="E875" s="10"/>
      <c r="F875" s="10" t="s">
        <v>898</v>
      </c>
      <c r="G875" s="24">
        <v>0</v>
      </c>
      <c r="H875" s="24">
        <v>39.95</v>
      </c>
      <c r="I875" s="24">
        <v>0</v>
      </c>
      <c r="J875" s="25">
        <v>0</v>
      </c>
      <c r="K875" s="24">
        <v>37.4955</v>
      </c>
      <c r="L875" s="24">
        <v>37.4955</v>
      </c>
    </row>
    <row r="876" ht="21.05" customHeight="1" spans="1:12">
      <c r="A876" s="10"/>
      <c r="B876" s="10" t="s">
        <v>87</v>
      </c>
      <c r="C876" s="10" t="s">
        <v>811</v>
      </c>
      <c r="D876" s="10" t="s">
        <v>383</v>
      </c>
      <c r="E876" s="10" t="s">
        <v>382</v>
      </c>
      <c r="F876" s="10" t="s">
        <v>903</v>
      </c>
      <c r="G876" s="24">
        <v>0</v>
      </c>
      <c r="H876" s="24">
        <v>0</v>
      </c>
      <c r="I876" s="24">
        <v>0</v>
      </c>
      <c r="J876" s="25">
        <v>0</v>
      </c>
      <c r="K876" s="24">
        <v>0</v>
      </c>
      <c r="L876" s="24">
        <v>0</v>
      </c>
    </row>
    <row r="877" ht="21.05" customHeight="1" spans="1:12">
      <c r="A877" s="10"/>
      <c r="B877" s="10"/>
      <c r="C877" s="10"/>
      <c r="D877" s="10"/>
      <c r="E877" s="10"/>
      <c r="F877" s="10" t="s">
        <v>922</v>
      </c>
      <c r="G877" s="24">
        <v>0</v>
      </c>
      <c r="H877" s="24">
        <v>0</v>
      </c>
      <c r="I877" s="24">
        <v>0</v>
      </c>
      <c r="J877" s="25">
        <v>0</v>
      </c>
      <c r="K877" s="24">
        <v>0</v>
      </c>
      <c r="L877" s="24">
        <v>0</v>
      </c>
    </row>
    <row r="878" ht="21.05" customHeight="1" spans="1:12">
      <c r="A878" s="10"/>
      <c r="B878" s="10"/>
      <c r="C878" s="10"/>
      <c r="D878" s="10"/>
      <c r="E878" s="10"/>
      <c r="F878" s="10" t="s">
        <v>906</v>
      </c>
      <c r="G878" s="24">
        <v>0</v>
      </c>
      <c r="H878" s="24">
        <v>0</v>
      </c>
      <c r="I878" s="24">
        <v>0</v>
      </c>
      <c r="J878" s="25">
        <v>0</v>
      </c>
      <c r="K878" s="24">
        <v>0</v>
      </c>
      <c r="L878" s="24">
        <v>0</v>
      </c>
    </row>
    <row r="879" ht="21.05" customHeight="1" spans="1:12">
      <c r="A879" s="10"/>
      <c r="B879" s="10"/>
      <c r="C879" s="10"/>
      <c r="D879" s="10"/>
      <c r="E879" s="10"/>
      <c r="F879" s="10" t="s">
        <v>864</v>
      </c>
      <c r="G879" s="24">
        <v>0</v>
      </c>
      <c r="H879" s="24">
        <v>0</v>
      </c>
      <c r="I879" s="24">
        <v>0</v>
      </c>
      <c r="J879" s="25">
        <v>0</v>
      </c>
      <c r="K879" s="24">
        <v>0</v>
      </c>
      <c r="L879" s="24">
        <v>0</v>
      </c>
    </row>
    <row r="880" ht="21.05" customHeight="1" spans="1:12">
      <c r="A880" s="10"/>
      <c r="B880" s="10"/>
      <c r="C880" s="10"/>
      <c r="D880" s="10"/>
      <c r="E880" s="10"/>
      <c r="F880" s="10" t="s">
        <v>898</v>
      </c>
      <c r="G880" s="24">
        <v>0</v>
      </c>
      <c r="H880" s="24">
        <v>0</v>
      </c>
      <c r="I880" s="24">
        <v>0</v>
      </c>
      <c r="J880" s="25">
        <v>0</v>
      </c>
      <c r="K880" s="24">
        <v>0</v>
      </c>
      <c r="L880" s="24">
        <v>0</v>
      </c>
    </row>
    <row r="881" ht="21.05" customHeight="1" spans="1:12">
      <c r="A881" s="10"/>
      <c r="B881" s="10"/>
      <c r="C881" s="10" t="s">
        <v>812</v>
      </c>
      <c r="D881" s="10" t="s">
        <v>813</v>
      </c>
      <c r="E881" s="10" t="s">
        <v>382</v>
      </c>
      <c r="F881" s="10" t="s">
        <v>852</v>
      </c>
      <c r="G881" s="24">
        <v>13</v>
      </c>
      <c r="H881" s="24">
        <v>261.8</v>
      </c>
      <c r="I881" s="24">
        <v>12.4829</v>
      </c>
      <c r="J881" s="25">
        <v>0.5171</v>
      </c>
      <c r="K881" s="24">
        <v>247.2928</v>
      </c>
      <c r="L881" s="24">
        <v>247.2928</v>
      </c>
    </row>
    <row r="882" ht="21.05" customHeight="1" spans="1:12">
      <c r="A882" s="10"/>
      <c r="B882" s="10"/>
      <c r="C882" s="10"/>
      <c r="D882" s="10"/>
      <c r="E882" s="10"/>
      <c r="F882" s="10" t="s">
        <v>902</v>
      </c>
      <c r="G882" s="24">
        <v>0</v>
      </c>
      <c r="H882" s="24">
        <v>0</v>
      </c>
      <c r="I882" s="24">
        <v>0</v>
      </c>
      <c r="J882" s="25">
        <v>0</v>
      </c>
      <c r="K882" s="24">
        <v>0</v>
      </c>
      <c r="L882" s="24">
        <v>0</v>
      </c>
    </row>
    <row r="883" ht="21.05" customHeight="1" spans="1:12">
      <c r="A883" s="10"/>
      <c r="B883" s="10"/>
      <c r="C883" s="10"/>
      <c r="D883" s="10"/>
      <c r="E883" s="10"/>
      <c r="F883" s="10" t="s">
        <v>898</v>
      </c>
      <c r="G883" s="24">
        <v>0</v>
      </c>
      <c r="H883" s="24">
        <v>0</v>
      </c>
      <c r="I883" s="24">
        <v>0</v>
      </c>
      <c r="J883" s="25">
        <v>0</v>
      </c>
      <c r="K883" s="24">
        <v>0</v>
      </c>
      <c r="L883" s="24">
        <v>0</v>
      </c>
    </row>
    <row r="884" ht="21.05" customHeight="1" spans="1:12">
      <c r="A884" s="10"/>
      <c r="B884" s="10"/>
      <c r="C884" s="10"/>
      <c r="D884" s="10" t="s">
        <v>383</v>
      </c>
      <c r="E884" s="10" t="s">
        <v>382</v>
      </c>
      <c r="F884" s="10" t="s">
        <v>903</v>
      </c>
      <c r="G884" s="24">
        <v>0</v>
      </c>
      <c r="H884" s="24">
        <v>0</v>
      </c>
      <c r="I884" s="24">
        <v>0</v>
      </c>
      <c r="J884" s="25">
        <v>0</v>
      </c>
      <c r="K884" s="24">
        <v>0</v>
      </c>
      <c r="L884" s="24">
        <v>0</v>
      </c>
    </row>
    <row r="885" ht="21.05" customHeight="1" spans="1:12">
      <c r="A885" s="10"/>
      <c r="B885" s="10"/>
      <c r="C885" s="10"/>
      <c r="D885" s="10"/>
      <c r="E885" s="10"/>
      <c r="F885" s="10" t="s">
        <v>852</v>
      </c>
      <c r="G885" s="24">
        <v>14</v>
      </c>
      <c r="H885" s="24">
        <v>431.5</v>
      </c>
      <c r="I885" s="24">
        <v>10.5902</v>
      </c>
      <c r="J885" s="25">
        <v>3.4098</v>
      </c>
      <c r="K885" s="24">
        <v>407.4023</v>
      </c>
      <c r="L885" s="24">
        <v>407.4023</v>
      </c>
    </row>
    <row r="886" ht="21.05" customHeight="1" spans="1:12">
      <c r="A886" s="10"/>
      <c r="B886" s="10"/>
      <c r="C886" s="10"/>
      <c r="D886" s="10"/>
      <c r="E886" s="10"/>
      <c r="F886" s="10" t="s">
        <v>860</v>
      </c>
      <c r="G886" s="24">
        <v>0</v>
      </c>
      <c r="H886" s="24">
        <v>0</v>
      </c>
      <c r="I886" s="24">
        <v>0</v>
      </c>
      <c r="J886" s="25">
        <v>0</v>
      </c>
      <c r="K886" s="24">
        <v>0</v>
      </c>
      <c r="L886" s="24">
        <v>0</v>
      </c>
    </row>
    <row r="887" ht="21.05" customHeight="1" spans="1:12">
      <c r="A887" s="10"/>
      <c r="B887" s="10"/>
      <c r="C887" s="10"/>
      <c r="D887" s="10"/>
      <c r="E887" s="10"/>
      <c r="F887" s="10" t="s">
        <v>906</v>
      </c>
      <c r="G887" s="24">
        <v>0</v>
      </c>
      <c r="H887" s="24">
        <v>0</v>
      </c>
      <c r="I887" s="24">
        <v>0</v>
      </c>
      <c r="J887" s="25">
        <v>0</v>
      </c>
      <c r="K887" s="24">
        <v>0</v>
      </c>
      <c r="L887" s="24">
        <v>0</v>
      </c>
    </row>
    <row r="888" ht="21.05" customHeight="1" spans="1:12">
      <c r="A888" s="10"/>
      <c r="B888" s="10"/>
      <c r="C888" s="10"/>
      <c r="D888" s="10"/>
      <c r="E888" s="10"/>
      <c r="F888" s="10" t="s">
        <v>1021</v>
      </c>
      <c r="G888" s="24">
        <v>0</v>
      </c>
      <c r="H888" s="24">
        <v>0</v>
      </c>
      <c r="I888" s="24">
        <v>0</v>
      </c>
      <c r="J888" s="25">
        <v>0</v>
      </c>
      <c r="K888" s="24">
        <v>0</v>
      </c>
      <c r="L888" s="24">
        <v>0</v>
      </c>
    </row>
    <row r="889" ht="21.05" customHeight="1" spans="1:12">
      <c r="A889" s="10"/>
      <c r="B889" s="10"/>
      <c r="C889" s="10"/>
      <c r="D889" s="10"/>
      <c r="E889" s="10"/>
      <c r="F889" s="10" t="s">
        <v>864</v>
      </c>
      <c r="G889" s="24">
        <v>0</v>
      </c>
      <c r="H889" s="24">
        <v>0</v>
      </c>
      <c r="I889" s="24">
        <v>0</v>
      </c>
      <c r="J889" s="25">
        <v>0</v>
      </c>
      <c r="K889" s="24">
        <v>0</v>
      </c>
      <c r="L889" s="24">
        <v>0</v>
      </c>
    </row>
    <row r="890" ht="21.05" customHeight="1" spans="1:12">
      <c r="A890" s="10"/>
      <c r="B890" s="10"/>
      <c r="C890" s="10"/>
      <c r="D890" s="10"/>
      <c r="E890" s="10"/>
      <c r="F890" s="10" t="s">
        <v>898</v>
      </c>
      <c r="G890" s="24">
        <v>0.5</v>
      </c>
      <c r="H890" s="24">
        <v>80.5</v>
      </c>
      <c r="I890" s="24">
        <v>0.3782</v>
      </c>
      <c r="J890" s="25">
        <v>0.1218</v>
      </c>
      <c r="K890" s="24">
        <v>76.8345</v>
      </c>
      <c r="L890" s="24">
        <v>76.8345</v>
      </c>
    </row>
    <row r="891" ht="21.05" customHeight="1" spans="1:12">
      <c r="A891" s="10"/>
      <c r="B891" s="10"/>
      <c r="C891" s="10" t="s">
        <v>816</v>
      </c>
      <c r="D891" s="10" t="s">
        <v>817</v>
      </c>
      <c r="E891" s="10" t="s">
        <v>382</v>
      </c>
      <c r="F891" s="10" t="s">
        <v>852</v>
      </c>
      <c r="G891" s="24">
        <v>11.5</v>
      </c>
      <c r="H891" s="24">
        <v>528.6</v>
      </c>
      <c r="I891" s="24">
        <v>10.2422</v>
      </c>
      <c r="J891" s="25">
        <v>1.2578</v>
      </c>
      <c r="K891" s="24">
        <v>521.0543</v>
      </c>
      <c r="L891" s="24">
        <v>521.0543</v>
      </c>
    </row>
    <row r="892" ht="21.05" customHeight="1" spans="1:12">
      <c r="A892" s="10"/>
      <c r="B892" s="10"/>
      <c r="C892" s="10"/>
      <c r="D892" s="10"/>
      <c r="E892" s="10"/>
      <c r="F892" s="10" t="s">
        <v>902</v>
      </c>
      <c r="G892" s="24">
        <v>0</v>
      </c>
      <c r="H892" s="24">
        <v>0</v>
      </c>
      <c r="I892" s="24">
        <v>0</v>
      </c>
      <c r="J892" s="25">
        <v>0</v>
      </c>
      <c r="K892" s="24">
        <v>0</v>
      </c>
      <c r="L892" s="24">
        <v>0</v>
      </c>
    </row>
    <row r="893" ht="21.05" customHeight="1" spans="1:12">
      <c r="A893" s="10"/>
      <c r="B893" s="10"/>
      <c r="C893" s="10"/>
      <c r="D893" s="10" t="s">
        <v>383</v>
      </c>
      <c r="E893" s="10" t="s">
        <v>382</v>
      </c>
      <c r="F893" s="10" t="s">
        <v>852</v>
      </c>
      <c r="G893" s="24">
        <v>0</v>
      </c>
      <c r="H893" s="24">
        <v>0</v>
      </c>
      <c r="I893" s="24">
        <v>0</v>
      </c>
      <c r="J893" s="25">
        <v>0</v>
      </c>
      <c r="K893" s="24">
        <v>0</v>
      </c>
      <c r="L893" s="24">
        <v>0</v>
      </c>
    </row>
    <row r="894" ht="21.05" customHeight="1" spans="1:12">
      <c r="A894" s="10"/>
      <c r="B894" s="10"/>
      <c r="C894" s="10"/>
      <c r="D894" s="10"/>
      <c r="E894" s="10"/>
      <c r="F894" s="10" t="s">
        <v>860</v>
      </c>
      <c r="G894" s="24">
        <v>0</v>
      </c>
      <c r="H894" s="24">
        <v>0</v>
      </c>
      <c r="I894" s="24">
        <v>0</v>
      </c>
      <c r="J894" s="25">
        <v>0</v>
      </c>
      <c r="K894" s="24">
        <v>0</v>
      </c>
      <c r="L894" s="24">
        <v>0</v>
      </c>
    </row>
    <row r="895" ht="21.05" customHeight="1" spans="1:12">
      <c r="A895" s="10"/>
      <c r="B895" s="10"/>
      <c r="C895" s="10"/>
      <c r="D895" s="10"/>
      <c r="E895" s="10"/>
      <c r="F895" s="10" t="s">
        <v>864</v>
      </c>
      <c r="G895" s="24">
        <v>0</v>
      </c>
      <c r="H895" s="24">
        <v>0</v>
      </c>
      <c r="I895" s="24">
        <v>0</v>
      </c>
      <c r="J895" s="25">
        <v>0</v>
      </c>
      <c r="K895" s="24">
        <v>0</v>
      </c>
      <c r="L895" s="24">
        <v>0</v>
      </c>
    </row>
    <row r="896" ht="21.05" customHeight="1" spans="1:12">
      <c r="A896" s="10"/>
      <c r="B896" s="10"/>
      <c r="C896" s="10"/>
      <c r="D896" s="10"/>
      <c r="E896" s="10"/>
      <c r="F896" s="10" t="s">
        <v>898</v>
      </c>
      <c r="G896" s="24">
        <v>0</v>
      </c>
      <c r="H896" s="24">
        <v>0</v>
      </c>
      <c r="I896" s="24">
        <v>0</v>
      </c>
      <c r="J896" s="25">
        <v>0</v>
      </c>
      <c r="K896" s="24">
        <v>0</v>
      </c>
      <c r="L896" s="24">
        <v>0</v>
      </c>
    </row>
    <row r="897" ht="21.05" customHeight="1" spans="1:12">
      <c r="A897" s="10"/>
      <c r="B897" s="10"/>
      <c r="C897" s="10" t="s">
        <v>819</v>
      </c>
      <c r="D897" s="10" t="s">
        <v>822</v>
      </c>
      <c r="E897" s="10" t="s">
        <v>382</v>
      </c>
      <c r="F897" s="10" t="s">
        <v>902</v>
      </c>
      <c r="G897" s="24">
        <v>0</v>
      </c>
      <c r="H897" s="24">
        <v>0</v>
      </c>
      <c r="I897" s="24">
        <v>0</v>
      </c>
      <c r="J897" s="25">
        <v>0</v>
      </c>
      <c r="K897" s="24">
        <v>0</v>
      </c>
      <c r="L897" s="24">
        <v>0</v>
      </c>
    </row>
    <row r="898" ht="21.05" customHeight="1" spans="1:12">
      <c r="A898" s="10"/>
      <c r="B898" s="10"/>
      <c r="C898" s="10"/>
      <c r="D898" s="10" t="s">
        <v>383</v>
      </c>
      <c r="E898" s="10" t="s">
        <v>382</v>
      </c>
      <c r="F898" s="10" t="s">
        <v>852</v>
      </c>
      <c r="G898" s="24">
        <v>0</v>
      </c>
      <c r="H898" s="24">
        <v>0</v>
      </c>
      <c r="I898" s="24">
        <v>0</v>
      </c>
      <c r="J898" s="25">
        <v>0</v>
      </c>
      <c r="K898" s="24">
        <v>0</v>
      </c>
      <c r="L898" s="24">
        <v>0</v>
      </c>
    </row>
    <row r="899" ht="21.05" customHeight="1" spans="1:12">
      <c r="A899" s="10"/>
      <c r="B899" s="10"/>
      <c r="C899" s="10" t="s">
        <v>820</v>
      </c>
      <c r="D899" s="10" t="s">
        <v>383</v>
      </c>
      <c r="E899" s="10" t="s">
        <v>382</v>
      </c>
      <c r="F899" s="10" t="s">
        <v>852</v>
      </c>
      <c r="G899" s="24">
        <v>0</v>
      </c>
      <c r="H899" s="24">
        <v>22.2</v>
      </c>
      <c r="I899" s="24">
        <v>0</v>
      </c>
      <c r="J899" s="25">
        <v>0</v>
      </c>
      <c r="K899" s="24">
        <v>22.2688</v>
      </c>
      <c r="L899" s="24">
        <v>22.2688</v>
      </c>
    </row>
    <row r="900" ht="21.05" customHeight="1" spans="1:12">
      <c r="A900" s="10"/>
      <c r="B900" s="10"/>
      <c r="C900" s="10" t="s">
        <v>821</v>
      </c>
      <c r="D900" s="10" t="s">
        <v>822</v>
      </c>
      <c r="E900" s="10" t="s">
        <v>382</v>
      </c>
      <c r="F900" s="10" t="s">
        <v>852</v>
      </c>
      <c r="G900" s="24">
        <v>8.9</v>
      </c>
      <c r="H900" s="24">
        <v>365.9</v>
      </c>
      <c r="I900" s="24">
        <v>9.8241</v>
      </c>
      <c r="J900" s="25">
        <v>-0.9241</v>
      </c>
      <c r="K900" s="24">
        <v>361.7196</v>
      </c>
      <c r="L900" s="24">
        <v>361.7196</v>
      </c>
    </row>
    <row r="901" ht="21.05" customHeight="1" spans="1:12">
      <c r="A901" s="10"/>
      <c r="B901" s="10"/>
      <c r="C901" s="10"/>
      <c r="D901" s="10"/>
      <c r="E901" s="10"/>
      <c r="F901" s="10" t="s">
        <v>902</v>
      </c>
      <c r="G901" s="24">
        <v>0</v>
      </c>
      <c r="H901" s="24">
        <v>7.56</v>
      </c>
      <c r="I901" s="24">
        <v>0</v>
      </c>
      <c r="J901" s="25">
        <v>0</v>
      </c>
      <c r="K901" s="24">
        <v>7.9273</v>
      </c>
      <c r="L901" s="24">
        <v>7.9273</v>
      </c>
    </row>
    <row r="902" ht="21.05" customHeight="1" spans="1:12">
      <c r="A902" s="10"/>
      <c r="B902" s="10"/>
      <c r="C902" s="10"/>
      <c r="D902" s="10" t="s">
        <v>383</v>
      </c>
      <c r="E902" s="10" t="s">
        <v>382</v>
      </c>
      <c r="F902" s="10" t="s">
        <v>906</v>
      </c>
      <c r="G902" s="24">
        <v>0</v>
      </c>
      <c r="H902" s="24">
        <v>0</v>
      </c>
      <c r="I902" s="24">
        <v>0</v>
      </c>
      <c r="J902" s="25">
        <v>0</v>
      </c>
      <c r="K902" s="24">
        <v>0</v>
      </c>
      <c r="L902" s="24">
        <v>0</v>
      </c>
    </row>
    <row r="903" ht="21.05" customHeight="1" spans="1:12">
      <c r="A903" s="10"/>
      <c r="B903" s="10"/>
      <c r="C903" s="10"/>
      <c r="D903" s="10"/>
      <c r="E903" s="10"/>
      <c r="F903" s="10" t="s">
        <v>898</v>
      </c>
      <c r="G903" s="24">
        <v>0</v>
      </c>
      <c r="H903" s="24">
        <v>9</v>
      </c>
      <c r="I903" s="24">
        <v>0</v>
      </c>
      <c r="J903" s="25">
        <v>0</v>
      </c>
      <c r="K903" s="24">
        <v>8.9497</v>
      </c>
      <c r="L903" s="24">
        <v>8.9497</v>
      </c>
    </row>
    <row r="904" ht="21.05" customHeight="1" spans="1:12">
      <c r="A904" s="10" t="s">
        <v>255</v>
      </c>
      <c r="B904" s="10" t="s">
        <v>824</v>
      </c>
      <c r="C904" s="10" t="s">
        <v>825</v>
      </c>
      <c r="D904" s="10" t="s">
        <v>826</v>
      </c>
      <c r="E904" s="10" t="s">
        <v>258</v>
      </c>
      <c r="F904" s="10" t="s">
        <v>1004</v>
      </c>
      <c r="G904" s="24">
        <v>0</v>
      </c>
      <c r="H904" s="24">
        <v>0</v>
      </c>
      <c r="I904" s="24">
        <v>0</v>
      </c>
      <c r="J904" s="25">
        <v>0</v>
      </c>
      <c r="K904" s="24">
        <v>0</v>
      </c>
      <c r="L904" s="24">
        <v>0</v>
      </c>
    </row>
    <row r="905" ht="21.05" customHeight="1" spans="1:12">
      <c r="A905" s="10"/>
      <c r="B905" s="10"/>
      <c r="C905" s="10"/>
      <c r="D905" s="10"/>
      <c r="E905" s="10"/>
      <c r="F905" s="10" t="s">
        <v>1022</v>
      </c>
      <c r="G905" s="24">
        <v>0</v>
      </c>
      <c r="H905" s="24">
        <v>0</v>
      </c>
      <c r="I905" s="24">
        <v>0</v>
      </c>
      <c r="J905" s="25">
        <v>0</v>
      </c>
      <c r="K905" s="24">
        <v>0</v>
      </c>
      <c r="L905" s="24">
        <v>0</v>
      </c>
    </row>
    <row r="906" ht="21.05" customHeight="1" spans="1:12">
      <c r="A906" s="10"/>
      <c r="B906" s="10"/>
      <c r="C906" s="10"/>
      <c r="D906" s="10"/>
      <c r="E906" s="10"/>
      <c r="F906" s="10" t="s">
        <v>852</v>
      </c>
      <c r="G906" s="24">
        <v>0</v>
      </c>
      <c r="H906" s="24">
        <v>2104</v>
      </c>
      <c r="I906" s="24">
        <v>0</v>
      </c>
      <c r="J906" s="25">
        <v>0</v>
      </c>
      <c r="K906" s="24">
        <v>1646.3464</v>
      </c>
      <c r="L906" s="24">
        <v>1646.3464</v>
      </c>
    </row>
    <row r="907" ht="21.05" customHeight="1" spans="1:12">
      <c r="A907" s="10"/>
      <c r="B907" s="10"/>
      <c r="C907" s="10"/>
      <c r="D907" s="10"/>
      <c r="E907" s="10"/>
      <c r="F907" s="10" t="s">
        <v>879</v>
      </c>
      <c r="G907" s="24">
        <v>0</v>
      </c>
      <c r="H907" s="24">
        <v>0</v>
      </c>
      <c r="I907" s="24">
        <v>0</v>
      </c>
      <c r="J907" s="25">
        <v>0</v>
      </c>
      <c r="K907" s="24">
        <v>0</v>
      </c>
      <c r="L907" s="24">
        <v>0</v>
      </c>
    </row>
    <row r="908" ht="21.05" customHeight="1" spans="1:12">
      <c r="A908" s="10"/>
      <c r="B908" s="10"/>
      <c r="C908" s="10"/>
      <c r="D908" s="10"/>
      <c r="E908" s="10"/>
      <c r="F908" s="10" t="s">
        <v>939</v>
      </c>
      <c r="G908" s="24">
        <v>0</v>
      </c>
      <c r="H908" s="24">
        <v>0</v>
      </c>
      <c r="I908" s="24">
        <v>0</v>
      </c>
      <c r="J908" s="25">
        <v>0</v>
      </c>
      <c r="K908" s="24">
        <v>0</v>
      </c>
      <c r="L908" s="24">
        <v>0</v>
      </c>
    </row>
    <row r="909" ht="21.05" customHeight="1" spans="1:12">
      <c r="A909" s="10"/>
      <c r="B909" s="10"/>
      <c r="C909" s="10"/>
      <c r="D909" s="10"/>
      <c r="E909" s="10"/>
      <c r="F909" s="10" t="s">
        <v>860</v>
      </c>
      <c r="G909" s="24">
        <v>0</v>
      </c>
      <c r="H909" s="24">
        <v>0</v>
      </c>
      <c r="I909" s="24">
        <v>0</v>
      </c>
      <c r="J909" s="25">
        <v>0</v>
      </c>
      <c r="K909" s="24">
        <v>0</v>
      </c>
      <c r="L909" s="24">
        <v>0</v>
      </c>
    </row>
    <row r="910" ht="21.05" customHeight="1" spans="1:12">
      <c r="A910" s="10"/>
      <c r="B910" s="10"/>
      <c r="C910" s="10"/>
      <c r="D910" s="10"/>
      <c r="E910" s="10"/>
      <c r="F910" s="10" t="s">
        <v>861</v>
      </c>
      <c r="G910" s="24">
        <v>0</v>
      </c>
      <c r="H910" s="24">
        <v>0</v>
      </c>
      <c r="I910" s="24">
        <v>0</v>
      </c>
      <c r="J910" s="25">
        <v>0</v>
      </c>
      <c r="K910" s="24">
        <v>0</v>
      </c>
      <c r="L910" s="24">
        <v>0</v>
      </c>
    </row>
    <row r="911" ht="21.05" customHeight="1" spans="1:12">
      <c r="A911" s="10"/>
      <c r="B911" s="10"/>
      <c r="C911" s="10"/>
      <c r="D911" s="10"/>
      <c r="E911" s="10"/>
      <c r="F911" s="10" t="s">
        <v>892</v>
      </c>
      <c r="G911" s="24">
        <v>0</v>
      </c>
      <c r="H911" s="24">
        <v>0</v>
      </c>
      <c r="I911" s="24">
        <v>0</v>
      </c>
      <c r="J911" s="25">
        <v>0</v>
      </c>
      <c r="K911" s="24">
        <v>0</v>
      </c>
      <c r="L911" s="24">
        <v>0</v>
      </c>
    </row>
    <row r="912" ht="21.05" customHeight="1" spans="1:12">
      <c r="A912" s="10"/>
      <c r="B912" s="10"/>
      <c r="C912" s="10"/>
      <c r="D912" s="10"/>
      <c r="E912" s="10"/>
      <c r="F912" s="10" t="s">
        <v>868</v>
      </c>
      <c r="G912" s="24">
        <v>0</v>
      </c>
      <c r="H912" s="24">
        <v>40</v>
      </c>
      <c r="I912" s="24">
        <v>0</v>
      </c>
      <c r="J912" s="25">
        <v>0</v>
      </c>
      <c r="K912" s="24">
        <v>31.211</v>
      </c>
      <c r="L912" s="24">
        <v>31.211</v>
      </c>
    </row>
    <row r="913" ht="21.05" customHeight="1" spans="1:12">
      <c r="A913" s="10"/>
      <c r="B913" s="10"/>
      <c r="C913" s="10"/>
      <c r="D913" s="10"/>
      <c r="E913" s="10"/>
      <c r="F913" s="10" t="s">
        <v>864</v>
      </c>
      <c r="G913" s="24">
        <v>0</v>
      </c>
      <c r="H913" s="24">
        <v>195</v>
      </c>
      <c r="I913" s="24">
        <v>0</v>
      </c>
      <c r="J913" s="25">
        <v>0</v>
      </c>
      <c r="K913" s="24">
        <v>132.4125</v>
      </c>
      <c r="L913" s="24">
        <v>132.4125</v>
      </c>
    </row>
    <row r="914" ht="21.05" customHeight="1" spans="1:12">
      <c r="A914" s="10"/>
      <c r="B914" s="10"/>
      <c r="C914" s="10" t="s">
        <v>230</v>
      </c>
      <c r="D914" s="10" t="s">
        <v>827</v>
      </c>
      <c r="E914" s="10" t="s">
        <v>258</v>
      </c>
      <c r="F914" s="10" t="s">
        <v>852</v>
      </c>
      <c r="G914" s="24">
        <v>0</v>
      </c>
      <c r="H914" s="24">
        <v>0</v>
      </c>
      <c r="I914" s="24">
        <v>0</v>
      </c>
      <c r="J914" s="25">
        <v>0</v>
      </c>
      <c r="K914" s="24">
        <v>0</v>
      </c>
      <c r="L914" s="24">
        <v>0</v>
      </c>
    </row>
    <row r="915" ht="21.05" customHeight="1" spans="1:12">
      <c r="A915" s="10"/>
      <c r="B915" s="10"/>
      <c r="C915" s="10"/>
      <c r="D915" s="10" t="s">
        <v>828</v>
      </c>
      <c r="E915" s="10" t="s">
        <v>258</v>
      </c>
      <c r="F915" s="10" t="s">
        <v>875</v>
      </c>
      <c r="G915" s="24">
        <v>0</v>
      </c>
      <c r="H915" s="24">
        <v>0</v>
      </c>
      <c r="I915" s="24">
        <v>0</v>
      </c>
      <c r="J915" s="25">
        <v>0</v>
      </c>
      <c r="K915" s="24">
        <v>0</v>
      </c>
      <c r="L915" s="24">
        <v>0</v>
      </c>
    </row>
    <row r="916" ht="21.05" customHeight="1" spans="1:12">
      <c r="A916" s="10"/>
      <c r="B916" s="10"/>
      <c r="C916" s="10"/>
      <c r="D916" s="10"/>
      <c r="E916" s="10"/>
      <c r="F916" s="10" t="s">
        <v>1004</v>
      </c>
      <c r="G916" s="24">
        <v>0</v>
      </c>
      <c r="H916" s="24">
        <v>0</v>
      </c>
      <c r="I916" s="24">
        <v>0</v>
      </c>
      <c r="J916" s="25">
        <v>0</v>
      </c>
      <c r="K916" s="24">
        <v>0</v>
      </c>
      <c r="L916" s="24">
        <v>0</v>
      </c>
    </row>
    <row r="917" ht="21.05" customHeight="1" spans="1:12">
      <c r="A917" s="10"/>
      <c r="B917" s="10"/>
      <c r="C917" s="10"/>
      <c r="D917" s="10"/>
      <c r="E917" s="10"/>
      <c r="F917" s="10" t="s">
        <v>1022</v>
      </c>
      <c r="G917" s="24">
        <v>0</v>
      </c>
      <c r="H917" s="24">
        <v>0</v>
      </c>
      <c r="I917" s="24">
        <v>0</v>
      </c>
      <c r="J917" s="25">
        <v>0</v>
      </c>
      <c r="K917" s="24">
        <v>0</v>
      </c>
      <c r="L917" s="24">
        <v>0</v>
      </c>
    </row>
    <row r="918" ht="21.05" customHeight="1" spans="1:12">
      <c r="A918" s="10"/>
      <c r="B918" s="10"/>
      <c r="C918" s="10"/>
      <c r="D918" s="10"/>
      <c r="E918" s="10"/>
      <c r="F918" s="10" t="s">
        <v>856</v>
      </c>
      <c r="G918" s="24">
        <v>0</v>
      </c>
      <c r="H918" s="24">
        <v>0</v>
      </c>
      <c r="I918" s="24">
        <v>0</v>
      </c>
      <c r="J918" s="25">
        <v>0</v>
      </c>
      <c r="K918" s="24">
        <v>0</v>
      </c>
      <c r="L918" s="24">
        <v>0</v>
      </c>
    </row>
    <row r="919" ht="21.05" customHeight="1" spans="1:12">
      <c r="A919" s="10"/>
      <c r="B919" s="10"/>
      <c r="C919" s="10"/>
      <c r="D919" s="10"/>
      <c r="E919" s="10"/>
      <c r="F919" s="10" t="s">
        <v>869</v>
      </c>
      <c r="G919" s="24">
        <v>0</v>
      </c>
      <c r="H919" s="24">
        <v>0</v>
      </c>
      <c r="I919" s="24">
        <v>0</v>
      </c>
      <c r="J919" s="25">
        <v>0</v>
      </c>
      <c r="K919" s="24">
        <v>0</v>
      </c>
      <c r="L919" s="24">
        <v>0</v>
      </c>
    </row>
    <row r="920" ht="21.05" customHeight="1" spans="1:12">
      <c r="A920" s="10"/>
      <c r="B920" s="10"/>
      <c r="C920" s="10"/>
      <c r="D920" s="10"/>
      <c r="E920" s="10"/>
      <c r="F920" s="10" t="s">
        <v>908</v>
      </c>
      <c r="G920" s="24">
        <v>0</v>
      </c>
      <c r="H920" s="24">
        <v>0</v>
      </c>
      <c r="I920" s="24">
        <v>0</v>
      </c>
      <c r="J920" s="25">
        <v>0</v>
      </c>
      <c r="K920" s="24">
        <v>0</v>
      </c>
      <c r="L920" s="24">
        <v>0</v>
      </c>
    </row>
    <row r="921" ht="21.05" customHeight="1" spans="1:12">
      <c r="A921" s="10"/>
      <c r="B921" s="10"/>
      <c r="C921" s="10"/>
      <c r="D921" s="10"/>
      <c r="E921" s="10"/>
      <c r="F921" s="10" t="s">
        <v>852</v>
      </c>
      <c r="G921" s="24">
        <v>76.1</v>
      </c>
      <c r="H921" s="24">
        <v>7693</v>
      </c>
      <c r="I921" s="24">
        <v>74.4527</v>
      </c>
      <c r="J921" s="25">
        <v>1.6473</v>
      </c>
      <c r="K921" s="24">
        <v>7559.1621</v>
      </c>
      <c r="L921" s="24">
        <v>7559.1621</v>
      </c>
    </row>
    <row r="922" ht="21.05" customHeight="1" spans="1:12">
      <c r="A922" s="10"/>
      <c r="B922" s="10"/>
      <c r="C922" s="10"/>
      <c r="D922" s="10"/>
      <c r="E922" s="10"/>
      <c r="F922" s="10" t="s">
        <v>915</v>
      </c>
      <c r="G922" s="24">
        <v>0</v>
      </c>
      <c r="H922" s="24">
        <v>0</v>
      </c>
      <c r="I922" s="24">
        <v>0</v>
      </c>
      <c r="J922" s="25">
        <v>0</v>
      </c>
      <c r="K922" s="24">
        <v>0</v>
      </c>
      <c r="L922" s="24">
        <v>0</v>
      </c>
    </row>
    <row r="923" ht="21.05" customHeight="1" spans="1:12">
      <c r="A923" s="10"/>
      <c r="B923" s="10"/>
      <c r="C923" s="10"/>
      <c r="D923" s="10"/>
      <c r="E923" s="10"/>
      <c r="F923" s="10" t="s">
        <v>939</v>
      </c>
      <c r="G923" s="24">
        <v>0</v>
      </c>
      <c r="H923" s="24">
        <v>0</v>
      </c>
      <c r="I923" s="24">
        <v>0</v>
      </c>
      <c r="J923" s="25">
        <v>0</v>
      </c>
      <c r="K923" s="24">
        <v>0</v>
      </c>
      <c r="L923" s="24">
        <v>0</v>
      </c>
    </row>
    <row r="924" ht="21.05" customHeight="1" spans="1:12">
      <c r="A924" s="10"/>
      <c r="B924" s="10"/>
      <c r="C924" s="10"/>
      <c r="D924" s="10"/>
      <c r="E924" s="10"/>
      <c r="F924" s="10" t="s">
        <v>861</v>
      </c>
      <c r="G924" s="24">
        <v>0</v>
      </c>
      <c r="H924" s="24">
        <v>0</v>
      </c>
      <c r="I924" s="24">
        <v>0</v>
      </c>
      <c r="J924" s="25">
        <v>0</v>
      </c>
      <c r="K924" s="24">
        <v>0</v>
      </c>
      <c r="L924" s="24">
        <v>0</v>
      </c>
    </row>
    <row r="925" ht="21.05" customHeight="1" spans="1:12">
      <c r="A925" s="10"/>
      <c r="B925" s="10"/>
      <c r="C925" s="10"/>
      <c r="D925" s="10"/>
      <c r="E925" s="10"/>
      <c r="F925" s="10" t="s">
        <v>181</v>
      </c>
      <c r="G925" s="24">
        <v>0</v>
      </c>
      <c r="H925" s="24">
        <v>0</v>
      </c>
      <c r="I925" s="24">
        <v>0</v>
      </c>
      <c r="J925" s="25">
        <v>0</v>
      </c>
      <c r="K925" s="24">
        <v>0</v>
      </c>
      <c r="L925" s="24">
        <v>0</v>
      </c>
    </row>
    <row r="926" ht="21.05" customHeight="1" spans="1:12">
      <c r="A926" s="10"/>
      <c r="B926" s="10"/>
      <c r="C926" s="10"/>
      <c r="D926" s="10"/>
      <c r="E926" s="10"/>
      <c r="F926" s="10" t="s">
        <v>1009</v>
      </c>
      <c r="G926" s="24">
        <v>0</v>
      </c>
      <c r="H926" s="24">
        <v>0</v>
      </c>
      <c r="I926" s="24">
        <v>0</v>
      </c>
      <c r="J926" s="25">
        <v>0</v>
      </c>
      <c r="K926" s="24">
        <v>0</v>
      </c>
      <c r="L926" s="24">
        <v>0</v>
      </c>
    </row>
    <row r="927" ht="21.05" customHeight="1" spans="1:12">
      <c r="A927" s="10"/>
      <c r="B927" s="10"/>
      <c r="C927" s="10"/>
      <c r="D927" s="10"/>
      <c r="E927" s="10"/>
      <c r="F927" s="10" t="s">
        <v>911</v>
      </c>
      <c r="G927" s="24">
        <v>0</v>
      </c>
      <c r="H927" s="24">
        <v>0</v>
      </c>
      <c r="I927" s="24">
        <v>0</v>
      </c>
      <c r="J927" s="25">
        <v>0</v>
      </c>
      <c r="K927" s="24">
        <v>0</v>
      </c>
      <c r="L927" s="24">
        <v>0</v>
      </c>
    </row>
    <row r="928" ht="21.05" customHeight="1" spans="1:12">
      <c r="A928" s="10"/>
      <c r="B928" s="10"/>
      <c r="C928" s="10"/>
      <c r="D928" s="10"/>
      <c r="E928" s="10"/>
      <c r="F928" s="10" t="s">
        <v>864</v>
      </c>
      <c r="G928" s="24">
        <v>0</v>
      </c>
      <c r="H928" s="24">
        <v>0</v>
      </c>
      <c r="I928" s="24">
        <v>0</v>
      </c>
      <c r="J928" s="25">
        <v>0</v>
      </c>
      <c r="K928" s="24">
        <v>0</v>
      </c>
      <c r="L928" s="24">
        <v>0</v>
      </c>
    </row>
    <row r="929" ht="21.05" customHeight="1" spans="1:12">
      <c r="A929" s="10"/>
      <c r="B929" s="10"/>
      <c r="C929" s="10"/>
      <c r="D929" s="10"/>
      <c r="E929" s="10"/>
      <c r="F929" s="10" t="s">
        <v>1023</v>
      </c>
      <c r="G929" s="24">
        <v>0</v>
      </c>
      <c r="H929" s="24">
        <v>0</v>
      </c>
      <c r="I929" s="24">
        <v>0</v>
      </c>
      <c r="J929" s="25">
        <v>0</v>
      </c>
      <c r="K929" s="24">
        <v>0</v>
      </c>
      <c r="L929" s="24">
        <v>0</v>
      </c>
    </row>
    <row r="930" ht="21.05" customHeight="1" spans="1:12">
      <c r="A930" s="10"/>
      <c r="B930" s="10"/>
      <c r="C930" s="10"/>
      <c r="D930" s="10" t="s">
        <v>830</v>
      </c>
      <c r="E930" s="10" t="s">
        <v>258</v>
      </c>
      <c r="F930" s="10" t="s">
        <v>852</v>
      </c>
      <c r="G930" s="24">
        <v>0</v>
      </c>
      <c r="H930" s="24">
        <v>0</v>
      </c>
      <c r="I930" s="24">
        <v>0</v>
      </c>
      <c r="J930" s="25">
        <v>0</v>
      </c>
      <c r="K930" s="24">
        <v>0</v>
      </c>
      <c r="L930" s="24">
        <v>0</v>
      </c>
    </row>
    <row r="931" ht="21.05" customHeight="1" spans="1:12">
      <c r="A931" s="10"/>
      <c r="B931" s="10"/>
      <c r="C931" s="10"/>
      <c r="D931" s="10" t="s">
        <v>831</v>
      </c>
      <c r="E931" s="10" t="s">
        <v>258</v>
      </c>
      <c r="F931" s="10" t="s">
        <v>852</v>
      </c>
      <c r="G931" s="24">
        <v>0</v>
      </c>
      <c r="H931" s="24">
        <v>0</v>
      </c>
      <c r="I931" s="24">
        <v>0</v>
      </c>
      <c r="J931" s="25">
        <v>0</v>
      </c>
      <c r="K931" s="24">
        <v>0</v>
      </c>
      <c r="L931" s="24">
        <v>0</v>
      </c>
    </row>
    <row r="932" ht="21.05" customHeight="1" spans="1:12">
      <c r="A932" s="10"/>
      <c r="B932" s="10"/>
      <c r="C932" s="10"/>
      <c r="D932" s="10" t="s">
        <v>832</v>
      </c>
      <c r="E932" s="10" t="s">
        <v>258</v>
      </c>
      <c r="F932" s="10" t="s">
        <v>852</v>
      </c>
      <c r="G932" s="24">
        <v>0</v>
      </c>
      <c r="H932" s="24">
        <v>0</v>
      </c>
      <c r="I932" s="24">
        <v>0</v>
      </c>
      <c r="J932" s="25">
        <v>0</v>
      </c>
      <c r="K932" s="24">
        <v>0</v>
      </c>
      <c r="L932" s="24">
        <v>0</v>
      </c>
    </row>
    <row r="933" ht="21.05" customHeight="1" spans="1:12">
      <c r="A933" s="10"/>
      <c r="B933" s="10"/>
      <c r="C933" s="10"/>
      <c r="D933" s="10" t="s">
        <v>833</v>
      </c>
      <c r="E933" s="10" t="s">
        <v>258</v>
      </c>
      <c r="F933" s="10" t="s">
        <v>864</v>
      </c>
      <c r="G933" s="24">
        <v>0</v>
      </c>
      <c r="H933" s="24">
        <v>0</v>
      </c>
      <c r="I933" s="24">
        <v>0</v>
      </c>
      <c r="J933" s="25">
        <v>0</v>
      </c>
      <c r="K933" s="24">
        <v>0</v>
      </c>
      <c r="L933" s="24">
        <v>0</v>
      </c>
    </row>
    <row r="934" ht="21.05" customHeight="1" spans="1:12">
      <c r="A934" s="10"/>
      <c r="B934" s="10"/>
      <c r="C934" s="10"/>
      <c r="D934" s="10" t="s">
        <v>834</v>
      </c>
      <c r="E934" s="10" t="s">
        <v>258</v>
      </c>
      <c r="F934" s="10" t="s">
        <v>852</v>
      </c>
      <c r="G934" s="24">
        <v>45</v>
      </c>
      <c r="H934" s="24">
        <v>5379</v>
      </c>
      <c r="I934" s="24">
        <v>0</v>
      </c>
      <c r="J934" s="25">
        <v>45</v>
      </c>
      <c r="K934" s="24">
        <v>4724.2228</v>
      </c>
      <c r="L934" s="24">
        <v>4724.2228</v>
      </c>
    </row>
    <row r="935" ht="21.05" customHeight="1" spans="1:12">
      <c r="A935" s="10"/>
      <c r="B935" s="10"/>
      <c r="C935" s="10"/>
      <c r="D935" s="10"/>
      <c r="E935" s="10"/>
      <c r="F935" s="10" t="s">
        <v>968</v>
      </c>
      <c r="G935" s="24">
        <v>0</v>
      </c>
      <c r="H935" s="24">
        <v>0</v>
      </c>
      <c r="I935" s="24">
        <v>0</v>
      </c>
      <c r="J935" s="25">
        <v>0</v>
      </c>
      <c r="K935" s="24">
        <v>0</v>
      </c>
      <c r="L935" s="24">
        <v>0</v>
      </c>
    </row>
    <row r="936" ht="21.05" customHeight="1" spans="1:12">
      <c r="A936" s="10"/>
      <c r="B936" s="10"/>
      <c r="C936" s="10"/>
      <c r="D936" s="10"/>
      <c r="E936" s="10"/>
      <c r="F936" s="10" t="s">
        <v>860</v>
      </c>
      <c r="G936" s="24">
        <v>0</v>
      </c>
      <c r="H936" s="24">
        <v>0</v>
      </c>
      <c r="I936" s="24">
        <v>0</v>
      </c>
      <c r="J936" s="25">
        <v>0</v>
      </c>
      <c r="K936" s="24">
        <v>0</v>
      </c>
      <c r="L936" s="24">
        <v>0</v>
      </c>
    </row>
    <row r="937" ht="21.05" customHeight="1" spans="1:12">
      <c r="A937" s="10"/>
      <c r="B937" s="10"/>
      <c r="C937" s="10"/>
      <c r="D937" s="10"/>
      <c r="E937" s="10"/>
      <c r="F937" s="10" t="s">
        <v>864</v>
      </c>
      <c r="G937" s="24">
        <v>0</v>
      </c>
      <c r="H937" s="24">
        <v>0</v>
      </c>
      <c r="I937" s="24">
        <v>0</v>
      </c>
      <c r="J937" s="25">
        <v>0</v>
      </c>
      <c r="K937" s="24">
        <v>0</v>
      </c>
      <c r="L937" s="24">
        <v>0</v>
      </c>
    </row>
    <row r="938" ht="21.05" customHeight="1" spans="1:12">
      <c r="A938" s="10"/>
      <c r="B938" s="10"/>
      <c r="C938" s="10"/>
      <c r="D938" s="10" t="s">
        <v>835</v>
      </c>
      <c r="E938" s="10" t="s">
        <v>258</v>
      </c>
      <c r="F938" s="10" t="s">
        <v>852</v>
      </c>
      <c r="G938" s="24">
        <v>0</v>
      </c>
      <c r="H938" s="24">
        <v>0</v>
      </c>
      <c r="I938" s="24">
        <v>0</v>
      </c>
      <c r="J938" s="25">
        <v>0</v>
      </c>
      <c r="K938" s="24">
        <v>0</v>
      </c>
      <c r="L938" s="24">
        <v>0</v>
      </c>
    </row>
    <row r="939" ht="21.05" customHeight="1" spans="1:12">
      <c r="A939" s="10"/>
      <c r="B939" s="10"/>
      <c r="C939" s="10"/>
      <c r="D939" s="10" t="s">
        <v>836</v>
      </c>
      <c r="E939" s="10" t="s">
        <v>258</v>
      </c>
      <c r="F939" s="10" t="s">
        <v>852</v>
      </c>
      <c r="G939" s="24">
        <v>0</v>
      </c>
      <c r="H939" s="24">
        <v>0</v>
      </c>
      <c r="I939" s="24">
        <v>0</v>
      </c>
      <c r="J939" s="25">
        <v>0</v>
      </c>
      <c r="K939" s="24">
        <v>0</v>
      </c>
      <c r="L939" s="24">
        <v>0</v>
      </c>
    </row>
    <row r="940" ht="21.05" customHeight="1" spans="1:12">
      <c r="A940" s="10"/>
      <c r="B940" s="10"/>
      <c r="C940" s="10"/>
      <c r="D940" s="10" t="s">
        <v>837</v>
      </c>
      <c r="E940" s="10" t="s">
        <v>258</v>
      </c>
      <c r="F940" s="10" t="s">
        <v>875</v>
      </c>
      <c r="G940" s="24">
        <v>0</v>
      </c>
      <c r="H940" s="24">
        <v>0</v>
      </c>
      <c r="I940" s="24">
        <v>0</v>
      </c>
      <c r="J940" s="25">
        <v>0</v>
      </c>
      <c r="K940" s="24">
        <v>0</v>
      </c>
      <c r="L940" s="24">
        <v>0</v>
      </c>
    </row>
    <row r="941" ht="21.05" customHeight="1" spans="1:12">
      <c r="A941" s="10"/>
      <c r="B941" s="10"/>
      <c r="C941" s="10"/>
      <c r="D941" s="10"/>
      <c r="E941" s="10"/>
      <c r="F941" s="10" t="s">
        <v>852</v>
      </c>
      <c r="G941" s="24">
        <v>0</v>
      </c>
      <c r="H941" s="24">
        <v>0</v>
      </c>
      <c r="I941" s="24">
        <v>0</v>
      </c>
      <c r="J941" s="25">
        <v>0</v>
      </c>
      <c r="K941" s="24">
        <v>0</v>
      </c>
      <c r="L941" s="24">
        <v>0</v>
      </c>
    </row>
    <row r="942" ht="21.05" customHeight="1" spans="1:12">
      <c r="A942" s="10"/>
      <c r="B942" s="10"/>
      <c r="C942" s="10"/>
      <c r="D942" s="10"/>
      <c r="E942" s="10"/>
      <c r="F942" s="10" t="s">
        <v>915</v>
      </c>
      <c r="G942" s="24">
        <v>0</v>
      </c>
      <c r="H942" s="24">
        <v>0</v>
      </c>
      <c r="I942" s="24">
        <v>0</v>
      </c>
      <c r="J942" s="25">
        <v>0</v>
      </c>
      <c r="K942" s="24">
        <v>0</v>
      </c>
      <c r="L942" s="24">
        <v>0</v>
      </c>
    </row>
    <row r="943" ht="21.05" customHeight="1" spans="1:12">
      <c r="A943" s="10"/>
      <c r="B943" s="10"/>
      <c r="C943" s="10"/>
      <c r="D943" s="10" t="s">
        <v>838</v>
      </c>
      <c r="E943" s="10" t="s">
        <v>258</v>
      </c>
      <c r="F943" s="10" t="s">
        <v>852</v>
      </c>
      <c r="G943" s="24">
        <v>0</v>
      </c>
      <c r="H943" s="24">
        <v>0</v>
      </c>
      <c r="I943" s="24">
        <v>0</v>
      </c>
      <c r="J943" s="25">
        <v>0</v>
      </c>
      <c r="K943" s="24">
        <v>0</v>
      </c>
      <c r="L943" s="24">
        <v>0</v>
      </c>
    </row>
    <row r="944" ht="21.05" customHeight="1" spans="1:12">
      <c r="A944" s="10"/>
      <c r="B944" s="10"/>
      <c r="C944" s="10" t="s">
        <v>839</v>
      </c>
      <c r="D944" s="10" t="s">
        <v>840</v>
      </c>
      <c r="E944" s="10" t="s">
        <v>841</v>
      </c>
      <c r="F944" s="10" t="s">
        <v>1004</v>
      </c>
      <c r="G944" s="24">
        <v>0</v>
      </c>
      <c r="H944" s="24">
        <v>0</v>
      </c>
      <c r="I944" s="24">
        <v>0</v>
      </c>
      <c r="J944" s="25">
        <v>0</v>
      </c>
      <c r="K944" s="24">
        <v>0</v>
      </c>
      <c r="L944" s="24">
        <v>0</v>
      </c>
    </row>
    <row r="945" ht="21.05" customHeight="1" spans="1:12">
      <c r="A945" s="10"/>
      <c r="B945" s="10"/>
      <c r="C945" s="10"/>
      <c r="D945" s="10"/>
      <c r="E945" s="10"/>
      <c r="F945" s="10" t="s">
        <v>908</v>
      </c>
      <c r="G945" s="24">
        <v>0</v>
      </c>
      <c r="H945" s="24">
        <v>0</v>
      </c>
      <c r="I945" s="24">
        <v>0</v>
      </c>
      <c r="J945" s="25">
        <v>0</v>
      </c>
      <c r="K945" s="24">
        <v>0</v>
      </c>
      <c r="L945" s="24">
        <v>0</v>
      </c>
    </row>
    <row r="946" ht="21.05" customHeight="1" spans="1:12">
      <c r="A946" s="10"/>
      <c r="B946" s="10"/>
      <c r="C946" s="10"/>
      <c r="D946" s="10"/>
      <c r="E946" s="10"/>
      <c r="F946" s="10" t="s">
        <v>892</v>
      </c>
      <c r="G946" s="24">
        <v>0</v>
      </c>
      <c r="H946" s="24">
        <v>0</v>
      </c>
      <c r="I946" s="24">
        <v>0</v>
      </c>
      <c r="J946" s="25">
        <v>0</v>
      </c>
      <c r="K946" s="24">
        <v>0</v>
      </c>
      <c r="L946" s="24">
        <v>0</v>
      </c>
    </row>
    <row r="947" ht="21.05" customHeight="1" spans="1:12">
      <c r="A947" s="10"/>
      <c r="B947" s="10"/>
      <c r="C947" s="10"/>
      <c r="D947" s="10"/>
      <c r="E947" s="10"/>
      <c r="F947" s="10" t="s">
        <v>868</v>
      </c>
      <c r="G947" s="24">
        <v>0</v>
      </c>
      <c r="H947" s="24">
        <v>0</v>
      </c>
      <c r="I947" s="24">
        <v>0</v>
      </c>
      <c r="J947" s="25">
        <v>0</v>
      </c>
      <c r="K947" s="24">
        <v>0</v>
      </c>
      <c r="L947" s="24">
        <v>0</v>
      </c>
    </row>
    <row r="948" ht="21.05" customHeight="1" spans="1:12">
      <c r="A948" s="10"/>
      <c r="B948" s="10"/>
      <c r="C948" s="10"/>
      <c r="D948" s="10"/>
      <c r="E948" s="10"/>
      <c r="F948" s="10" t="s">
        <v>864</v>
      </c>
      <c r="G948" s="24">
        <v>0</v>
      </c>
      <c r="H948" s="24">
        <v>0</v>
      </c>
      <c r="I948" s="24">
        <v>0</v>
      </c>
      <c r="J948" s="25">
        <v>0</v>
      </c>
      <c r="K948" s="24">
        <v>0</v>
      </c>
      <c r="L948" s="24">
        <v>0</v>
      </c>
    </row>
    <row r="949" ht="21.05" customHeight="1" spans="1:12">
      <c r="A949" s="10"/>
      <c r="B949" s="10"/>
      <c r="C949" s="10"/>
      <c r="D949" s="10" t="s">
        <v>842</v>
      </c>
      <c r="E949" s="10" t="s">
        <v>841</v>
      </c>
      <c r="F949" s="10" t="s">
        <v>852</v>
      </c>
      <c r="G949" s="24">
        <v>74</v>
      </c>
      <c r="H949" s="24">
        <v>7676</v>
      </c>
      <c r="I949" s="24">
        <v>73.5323</v>
      </c>
      <c r="J949" s="25">
        <v>0.4677</v>
      </c>
      <c r="K949" s="24">
        <v>7663.9403</v>
      </c>
      <c r="L949" s="24">
        <v>7663.9403</v>
      </c>
    </row>
    <row r="950" ht="21.05" customHeight="1" spans="1:12">
      <c r="A950" s="10"/>
      <c r="B950" s="10"/>
      <c r="C950" s="10" t="s">
        <v>844</v>
      </c>
      <c r="D950" s="10" t="s">
        <v>845</v>
      </c>
      <c r="E950" s="10" t="s">
        <v>258</v>
      </c>
      <c r="F950" s="10" t="s">
        <v>1007</v>
      </c>
      <c r="G950" s="24">
        <v>0</v>
      </c>
      <c r="H950" s="24">
        <v>0</v>
      </c>
      <c r="I950" s="24">
        <v>0</v>
      </c>
      <c r="J950" s="25">
        <v>0</v>
      </c>
      <c r="K950" s="24">
        <v>0</v>
      </c>
      <c r="L950" s="24">
        <v>0</v>
      </c>
    </row>
    <row r="951" ht="21.05" customHeight="1" spans="1:12">
      <c r="A951" s="10"/>
      <c r="B951" s="10"/>
      <c r="C951" s="10"/>
      <c r="D951" s="10"/>
      <c r="E951" s="10"/>
      <c r="F951" s="10" t="s">
        <v>1022</v>
      </c>
      <c r="G951" s="24">
        <v>0</v>
      </c>
      <c r="H951" s="24">
        <v>2.5</v>
      </c>
      <c r="I951" s="24">
        <v>0</v>
      </c>
      <c r="J951" s="25">
        <v>0</v>
      </c>
      <c r="K951" s="24">
        <v>2.3309</v>
      </c>
      <c r="L951" s="24">
        <v>2.3309</v>
      </c>
    </row>
    <row r="952" ht="21.05" customHeight="1" spans="1:12">
      <c r="A952" s="10"/>
      <c r="B952" s="10"/>
      <c r="C952" s="10"/>
      <c r="D952" s="10"/>
      <c r="E952" s="10"/>
      <c r="F952" s="10" t="s">
        <v>908</v>
      </c>
      <c r="G952" s="24">
        <v>0</v>
      </c>
      <c r="H952" s="24">
        <v>0</v>
      </c>
      <c r="I952" s="24">
        <v>0</v>
      </c>
      <c r="J952" s="25">
        <v>0</v>
      </c>
      <c r="K952" s="24">
        <v>0</v>
      </c>
      <c r="L952" s="24">
        <v>0</v>
      </c>
    </row>
    <row r="953" ht="21.05" customHeight="1" spans="1:12">
      <c r="A953" s="10"/>
      <c r="B953" s="10"/>
      <c r="C953" s="10"/>
      <c r="D953" s="10"/>
      <c r="E953" s="10"/>
      <c r="F953" s="10" t="s">
        <v>852</v>
      </c>
      <c r="G953" s="24">
        <v>0</v>
      </c>
      <c r="H953" s="24">
        <v>500</v>
      </c>
      <c r="I953" s="24">
        <v>0</v>
      </c>
      <c r="J953" s="25">
        <v>0</v>
      </c>
      <c r="K953" s="24">
        <v>385.1462</v>
      </c>
      <c r="L953" s="24">
        <v>385.1462</v>
      </c>
    </row>
    <row r="954" ht="21.05" customHeight="1" spans="1:12">
      <c r="A954" s="10"/>
      <c r="B954" s="10"/>
      <c r="C954" s="10"/>
      <c r="D954" s="10"/>
      <c r="E954" s="10"/>
      <c r="F954" s="10" t="s">
        <v>892</v>
      </c>
      <c r="G954" s="24">
        <v>0</v>
      </c>
      <c r="H954" s="24">
        <v>0</v>
      </c>
      <c r="I954" s="24">
        <v>0</v>
      </c>
      <c r="J954" s="25">
        <v>0</v>
      </c>
      <c r="K954" s="24">
        <v>0</v>
      </c>
      <c r="L954" s="24">
        <v>0</v>
      </c>
    </row>
    <row r="955" ht="21.05" customHeight="1" spans="1:12">
      <c r="A955" s="10"/>
      <c r="B955" s="10"/>
      <c r="C955" s="10"/>
      <c r="D955" s="10"/>
      <c r="E955" s="10"/>
      <c r="F955" s="10" t="s">
        <v>868</v>
      </c>
      <c r="G955" s="24">
        <v>0</v>
      </c>
      <c r="H955" s="24">
        <v>3155</v>
      </c>
      <c r="I955" s="24">
        <v>0</v>
      </c>
      <c r="J955" s="25">
        <v>0</v>
      </c>
      <c r="K955" s="24">
        <v>3091.4136</v>
      </c>
      <c r="L955" s="24">
        <v>3091.4136</v>
      </c>
    </row>
    <row r="956" ht="21.05" customHeight="1" spans="1:12">
      <c r="A956" s="10"/>
      <c r="B956" s="10"/>
      <c r="C956" s="10"/>
      <c r="D956" s="10"/>
      <c r="E956" s="10"/>
      <c r="F956" s="10" t="s">
        <v>864</v>
      </c>
      <c r="G956" s="24">
        <v>0.2</v>
      </c>
      <c r="H956" s="24">
        <v>1077.6</v>
      </c>
      <c r="I956" s="24">
        <v>0.0002</v>
      </c>
      <c r="J956" s="25">
        <v>0.1998</v>
      </c>
      <c r="K956" s="24">
        <v>1076.7008</v>
      </c>
      <c r="L956" s="24">
        <v>1076.7008</v>
      </c>
    </row>
    <row r="957" ht="21.05" customHeight="1" spans="1:12">
      <c r="A957" s="10"/>
      <c r="B957" s="10"/>
      <c r="C957" s="10" t="s">
        <v>848</v>
      </c>
      <c r="D957" s="10" t="s">
        <v>849</v>
      </c>
      <c r="E957" s="10" t="s">
        <v>258</v>
      </c>
      <c r="F957" s="10" t="s">
        <v>875</v>
      </c>
      <c r="G957" s="24">
        <v>0</v>
      </c>
      <c r="H957" s="24">
        <v>0</v>
      </c>
      <c r="I957" s="24">
        <v>0</v>
      </c>
      <c r="J957" s="25">
        <v>0</v>
      </c>
      <c r="K957" s="24">
        <v>0</v>
      </c>
      <c r="L957" s="24">
        <v>0</v>
      </c>
    </row>
    <row r="958" ht="21.05" customHeight="1" spans="1:12">
      <c r="A958" s="10"/>
      <c r="B958" s="10"/>
      <c r="C958" s="10"/>
      <c r="D958" s="10"/>
      <c r="E958" s="10"/>
      <c r="F958" s="10" t="s">
        <v>1022</v>
      </c>
      <c r="G958" s="24">
        <v>50</v>
      </c>
      <c r="H958" s="24">
        <v>300</v>
      </c>
      <c r="I958" s="24">
        <v>49.942</v>
      </c>
      <c r="J958" s="25">
        <v>0.058</v>
      </c>
      <c r="K958" s="24">
        <v>299.7804</v>
      </c>
      <c r="L958" s="24">
        <v>299.7804</v>
      </c>
    </row>
    <row r="959" ht="21.05" customHeight="1" spans="1:12">
      <c r="A959" s="10"/>
      <c r="B959" s="10"/>
      <c r="C959" s="10"/>
      <c r="D959" s="10"/>
      <c r="E959" s="10"/>
      <c r="F959" s="10" t="s">
        <v>908</v>
      </c>
      <c r="G959" s="24">
        <v>0</v>
      </c>
      <c r="H959" s="24">
        <v>0</v>
      </c>
      <c r="I959" s="24">
        <v>0</v>
      </c>
      <c r="J959" s="25">
        <v>0</v>
      </c>
      <c r="K959" s="24">
        <v>0</v>
      </c>
      <c r="L959" s="24">
        <v>0</v>
      </c>
    </row>
    <row r="960" ht="21.05" customHeight="1" spans="1:12">
      <c r="A960" s="10"/>
      <c r="B960" s="10"/>
      <c r="C960" s="10"/>
      <c r="D960" s="10"/>
      <c r="E960" s="10"/>
      <c r="F960" s="10" t="s">
        <v>852</v>
      </c>
      <c r="G960" s="24">
        <v>50</v>
      </c>
      <c r="H960" s="24">
        <v>7665</v>
      </c>
      <c r="I960" s="24">
        <v>49.942</v>
      </c>
      <c r="J960" s="25">
        <v>0.058</v>
      </c>
      <c r="K960" s="24">
        <v>7480.4468</v>
      </c>
      <c r="L960" s="24">
        <v>7480.4468</v>
      </c>
    </row>
    <row r="961" ht="21.05" customHeight="1" spans="1:12">
      <c r="A961" s="10"/>
      <c r="B961" s="10"/>
      <c r="C961" s="10"/>
      <c r="D961" s="10"/>
      <c r="E961" s="10"/>
      <c r="F961" s="10" t="s">
        <v>968</v>
      </c>
      <c r="G961" s="24">
        <v>0</v>
      </c>
      <c r="H961" s="24">
        <v>0</v>
      </c>
      <c r="I961" s="24">
        <v>0</v>
      </c>
      <c r="J961" s="25">
        <v>0</v>
      </c>
      <c r="K961" s="24">
        <v>0</v>
      </c>
      <c r="L961" s="24">
        <v>0</v>
      </c>
    </row>
    <row r="962" ht="21.05" customHeight="1" spans="1:12">
      <c r="A962" s="10"/>
      <c r="B962" s="10"/>
      <c r="C962" s="10"/>
      <c r="D962" s="10"/>
      <c r="E962" s="10"/>
      <c r="F962" s="10" t="s">
        <v>904</v>
      </c>
      <c r="G962" s="24">
        <v>0</v>
      </c>
      <c r="H962" s="24">
        <v>0</v>
      </c>
      <c r="I962" s="24">
        <v>0</v>
      </c>
      <c r="J962" s="25">
        <v>0</v>
      </c>
      <c r="K962" s="24">
        <v>0</v>
      </c>
      <c r="L962" s="24">
        <v>0</v>
      </c>
    </row>
    <row r="963" ht="21.05" customHeight="1" spans="1:12">
      <c r="A963" s="10"/>
      <c r="B963" s="10"/>
      <c r="C963" s="10"/>
      <c r="D963" s="10"/>
      <c r="E963" s="10"/>
      <c r="F963" s="10" t="s">
        <v>887</v>
      </c>
      <c r="G963" s="24">
        <v>0</v>
      </c>
      <c r="H963" s="24">
        <v>0</v>
      </c>
      <c r="I963" s="24">
        <v>0</v>
      </c>
      <c r="J963" s="25">
        <v>0</v>
      </c>
      <c r="K963" s="24">
        <v>0</v>
      </c>
      <c r="L963" s="24">
        <v>0</v>
      </c>
    </row>
    <row r="964" ht="21.05" customHeight="1" spans="1:12">
      <c r="A964" s="10"/>
      <c r="B964" s="10"/>
      <c r="C964" s="10"/>
      <c r="D964" s="10"/>
      <c r="E964" s="10"/>
      <c r="F964" s="10" t="s">
        <v>864</v>
      </c>
      <c r="G964" s="24">
        <v>0</v>
      </c>
      <c r="H964" s="24">
        <v>0</v>
      </c>
      <c r="I964" s="24">
        <v>0</v>
      </c>
      <c r="J964" s="25">
        <v>0</v>
      </c>
      <c r="K964" s="24">
        <v>0</v>
      </c>
      <c r="L964" s="24">
        <v>0</v>
      </c>
    </row>
    <row r="965" ht="21.05" customHeight="1" spans="1:12">
      <c r="A965" s="10"/>
      <c r="B965" s="10"/>
      <c r="C965" s="10"/>
      <c r="D965" s="10"/>
      <c r="E965" s="10"/>
      <c r="F965" s="10" t="s">
        <v>1010</v>
      </c>
      <c r="G965" s="24">
        <v>0</v>
      </c>
      <c r="H965" s="24">
        <v>0</v>
      </c>
      <c r="I965" s="24">
        <v>0</v>
      </c>
      <c r="J965" s="25">
        <v>0</v>
      </c>
      <c r="K965" s="24">
        <v>0</v>
      </c>
      <c r="L965" s="24">
        <v>0</v>
      </c>
    </row>
    <row r="966" ht="21.05" customHeight="1" spans="1:12">
      <c r="A966" s="10" t="s">
        <v>1024</v>
      </c>
      <c r="B966" s="10" t="s">
        <v>1024</v>
      </c>
      <c r="C966" s="10" t="s">
        <v>1025</v>
      </c>
      <c r="D966" s="10" t="s">
        <v>1026</v>
      </c>
      <c r="E966" s="10" t="s">
        <v>382</v>
      </c>
      <c r="F966" s="10" t="s">
        <v>383</v>
      </c>
      <c r="G966" s="24">
        <v>0</v>
      </c>
      <c r="H966" s="24">
        <v>0</v>
      </c>
      <c r="I966" s="24">
        <v>0</v>
      </c>
      <c r="J966" s="25">
        <v>0</v>
      </c>
      <c r="K966" s="24">
        <v>0</v>
      </c>
      <c r="L966" s="24">
        <v>0</v>
      </c>
    </row>
    <row r="967" ht="21.05" customHeight="1" spans="1:12">
      <c r="A967" s="10"/>
      <c r="B967" s="10"/>
      <c r="C967" s="10" t="s">
        <v>1027</v>
      </c>
      <c r="D967" s="10" t="s">
        <v>1028</v>
      </c>
      <c r="E967" s="10" t="s">
        <v>382</v>
      </c>
      <c r="F967" s="10" t="s">
        <v>383</v>
      </c>
      <c r="G967" s="24">
        <v>0</v>
      </c>
      <c r="H967" s="24">
        <v>0</v>
      </c>
      <c r="I967" s="24">
        <v>0</v>
      </c>
      <c r="J967" s="25">
        <v>0</v>
      </c>
      <c r="K967" s="24">
        <v>0</v>
      </c>
      <c r="L967" s="24">
        <v>0</v>
      </c>
    </row>
    <row r="968" ht="21.05" customHeight="1" spans="1:12">
      <c r="A968" s="10"/>
      <c r="B968" s="10"/>
      <c r="C968" s="10" t="s">
        <v>1029</v>
      </c>
      <c r="D968" s="10" t="s">
        <v>1030</v>
      </c>
      <c r="E968" s="10" t="s">
        <v>382</v>
      </c>
      <c r="F968" s="10" t="s">
        <v>383</v>
      </c>
      <c r="G968" s="24">
        <v>0</v>
      </c>
      <c r="H968" s="24">
        <v>0</v>
      </c>
      <c r="I968" s="24">
        <v>0</v>
      </c>
      <c r="J968" s="25">
        <v>0</v>
      </c>
      <c r="K968" s="24">
        <v>0</v>
      </c>
      <c r="L968" s="24">
        <v>0</v>
      </c>
    </row>
    <row r="969" ht="21.05" customHeight="1" spans="1:12">
      <c r="A969" s="10"/>
      <c r="B969" s="10"/>
      <c r="C969" s="10" t="s">
        <v>1031</v>
      </c>
      <c r="D969" s="10" t="s">
        <v>1032</v>
      </c>
      <c r="E969" s="10" t="s">
        <v>382</v>
      </c>
      <c r="F969" s="10" t="s">
        <v>383</v>
      </c>
      <c r="G969" s="24">
        <v>0</v>
      </c>
      <c r="H969" s="24">
        <v>0</v>
      </c>
      <c r="I969" s="24">
        <v>0</v>
      </c>
      <c r="J969" s="25">
        <v>0</v>
      </c>
      <c r="K969" s="24">
        <v>0</v>
      </c>
      <c r="L969" s="24">
        <v>0</v>
      </c>
    </row>
    <row r="970" ht="21.05" customHeight="1" spans="1:12">
      <c r="A970" s="10"/>
      <c r="B970" s="10"/>
      <c r="C970" s="10"/>
      <c r="D970" s="10" t="s">
        <v>1033</v>
      </c>
      <c r="E970" s="10" t="s">
        <v>382</v>
      </c>
      <c r="F970" s="10" t="s">
        <v>383</v>
      </c>
      <c r="G970" s="24">
        <v>0</v>
      </c>
      <c r="H970" s="24">
        <v>0</v>
      </c>
      <c r="I970" s="24">
        <v>0</v>
      </c>
      <c r="J970" s="25">
        <v>0</v>
      </c>
      <c r="K970" s="24">
        <v>0</v>
      </c>
      <c r="L970" s="24">
        <v>0</v>
      </c>
    </row>
    <row r="971" ht="21.05" customHeight="1" spans="1:12">
      <c r="A971" s="10"/>
      <c r="B971" s="10"/>
      <c r="C971" s="10"/>
      <c r="D971" s="10" t="s">
        <v>444</v>
      </c>
      <c r="E971" s="10" t="s">
        <v>382</v>
      </c>
      <c r="F971" s="10" t="s">
        <v>383</v>
      </c>
      <c r="G971" s="24">
        <v>0</v>
      </c>
      <c r="H971" s="24">
        <v>0</v>
      </c>
      <c r="I971" s="24">
        <v>0</v>
      </c>
      <c r="J971" s="25">
        <v>0</v>
      </c>
      <c r="K971" s="24">
        <v>0</v>
      </c>
      <c r="L971" s="24">
        <v>0</v>
      </c>
    </row>
    <row r="972" ht="21.05" customHeight="1" spans="1:12">
      <c r="A972" s="10"/>
      <c r="B972" s="10"/>
      <c r="C972" s="10" t="s">
        <v>1034</v>
      </c>
      <c r="D972" s="10" t="s">
        <v>1028</v>
      </c>
      <c r="E972" s="10" t="s">
        <v>382</v>
      </c>
      <c r="F972" s="10" t="s">
        <v>383</v>
      </c>
      <c r="G972" s="24">
        <v>0</v>
      </c>
      <c r="H972" s="24">
        <v>0</v>
      </c>
      <c r="I972" s="24">
        <v>0</v>
      </c>
      <c r="J972" s="25">
        <v>0</v>
      </c>
      <c r="K972" s="24">
        <v>0</v>
      </c>
      <c r="L972" s="24">
        <v>0</v>
      </c>
    </row>
    <row r="973" ht="21.05" customHeight="1" spans="1:12">
      <c r="A973" s="10"/>
      <c r="B973" s="10"/>
      <c r="C973" s="10" t="s">
        <v>1035</v>
      </c>
      <c r="D973" s="10" t="s">
        <v>805</v>
      </c>
      <c r="E973" s="10" t="s">
        <v>382</v>
      </c>
      <c r="F973" s="10" t="s">
        <v>383</v>
      </c>
      <c r="G973" s="24">
        <v>0</v>
      </c>
      <c r="H973" s="24">
        <v>0</v>
      </c>
      <c r="I973" s="24">
        <v>0</v>
      </c>
      <c r="J973" s="25">
        <v>0</v>
      </c>
      <c r="K973" s="24">
        <v>0</v>
      </c>
      <c r="L973" s="24">
        <v>0</v>
      </c>
    </row>
  </sheetData>
  <mergeCells count="620">
    <mergeCell ref="A1:L1"/>
    <mergeCell ref="A2:L2"/>
    <mergeCell ref="A4:F4"/>
    <mergeCell ref="A5:F5"/>
    <mergeCell ref="A6:A81"/>
    <mergeCell ref="A82:A168"/>
    <mergeCell ref="A169:A170"/>
    <mergeCell ref="A171:A352"/>
    <mergeCell ref="A353:A396"/>
    <mergeCell ref="A397:A516"/>
    <mergeCell ref="A517:A575"/>
    <mergeCell ref="A576:A669"/>
    <mergeCell ref="A670:A675"/>
    <mergeCell ref="A676:A689"/>
    <mergeCell ref="A690:A692"/>
    <mergeCell ref="A693:A696"/>
    <mergeCell ref="A697:A723"/>
    <mergeCell ref="A724:A903"/>
    <mergeCell ref="A904:A965"/>
    <mergeCell ref="A966:A973"/>
    <mergeCell ref="B6:B81"/>
    <mergeCell ref="B82:B84"/>
    <mergeCell ref="B85:B153"/>
    <mergeCell ref="B154:B168"/>
    <mergeCell ref="B169:B170"/>
    <mergeCell ref="B171:B238"/>
    <mergeCell ref="B239:B259"/>
    <mergeCell ref="B260:B276"/>
    <mergeCell ref="B277:B278"/>
    <mergeCell ref="B279:B280"/>
    <mergeCell ref="B281:B298"/>
    <mergeCell ref="B299:B319"/>
    <mergeCell ref="B320:B330"/>
    <mergeCell ref="B331:B344"/>
    <mergeCell ref="B345:B351"/>
    <mergeCell ref="B353:B362"/>
    <mergeCell ref="B363:B387"/>
    <mergeCell ref="B388:B396"/>
    <mergeCell ref="B397:B400"/>
    <mergeCell ref="B401:B404"/>
    <mergeCell ref="B405:B511"/>
    <mergeCell ref="B512:B513"/>
    <mergeCell ref="B514:B515"/>
    <mergeCell ref="B517:B539"/>
    <mergeCell ref="B540:B545"/>
    <mergeCell ref="B546:B570"/>
    <mergeCell ref="B571:B575"/>
    <mergeCell ref="B576:B589"/>
    <mergeCell ref="B590:B595"/>
    <mergeCell ref="B596:B602"/>
    <mergeCell ref="B603:B611"/>
    <mergeCell ref="B612:B618"/>
    <mergeCell ref="B619:B643"/>
    <mergeCell ref="B644:B648"/>
    <mergeCell ref="B649:B669"/>
    <mergeCell ref="B670:B675"/>
    <mergeCell ref="B676:B680"/>
    <mergeCell ref="B681:B684"/>
    <mergeCell ref="B685:B689"/>
    <mergeCell ref="B690:B692"/>
    <mergeCell ref="B693:B696"/>
    <mergeCell ref="B697:B723"/>
    <mergeCell ref="B724:B726"/>
    <mergeCell ref="B727:B749"/>
    <mergeCell ref="B750:B835"/>
    <mergeCell ref="B836:B861"/>
    <mergeCell ref="B862:B875"/>
    <mergeCell ref="B876:B903"/>
    <mergeCell ref="B904:B965"/>
    <mergeCell ref="B966:B973"/>
    <mergeCell ref="C6:C16"/>
    <mergeCell ref="C17:C43"/>
    <mergeCell ref="C44:C51"/>
    <mergeCell ref="C52:C57"/>
    <mergeCell ref="C58:C61"/>
    <mergeCell ref="C62:C81"/>
    <mergeCell ref="C82:C84"/>
    <mergeCell ref="C85:C90"/>
    <mergeCell ref="C91:C94"/>
    <mergeCell ref="C95:C101"/>
    <mergeCell ref="C102:C105"/>
    <mergeCell ref="C106:C116"/>
    <mergeCell ref="C117:C123"/>
    <mergeCell ref="C124:C130"/>
    <mergeCell ref="C132:C133"/>
    <mergeCell ref="C134:C137"/>
    <mergeCell ref="C138:C143"/>
    <mergeCell ref="C144:C149"/>
    <mergeCell ref="C151:C152"/>
    <mergeCell ref="C154:C161"/>
    <mergeCell ref="C162:C168"/>
    <mergeCell ref="C172:C174"/>
    <mergeCell ref="C175:C177"/>
    <mergeCell ref="C178:C180"/>
    <mergeCell ref="C181:C188"/>
    <mergeCell ref="C189:C192"/>
    <mergeCell ref="C193:C196"/>
    <mergeCell ref="C198:C201"/>
    <mergeCell ref="C203:C204"/>
    <mergeCell ref="C205:C208"/>
    <mergeCell ref="C209:C210"/>
    <mergeCell ref="C211:C215"/>
    <mergeCell ref="C216:C217"/>
    <mergeCell ref="C218:C219"/>
    <mergeCell ref="C222:C228"/>
    <mergeCell ref="C229:C233"/>
    <mergeCell ref="C236:C238"/>
    <mergeCell ref="C239:C240"/>
    <mergeCell ref="C241:C244"/>
    <mergeCell ref="C245:C255"/>
    <mergeCell ref="C256:C259"/>
    <mergeCell ref="C260:C276"/>
    <mergeCell ref="C277:C278"/>
    <mergeCell ref="C279:C280"/>
    <mergeCell ref="C281:C287"/>
    <mergeCell ref="C288:C290"/>
    <mergeCell ref="C291:C298"/>
    <mergeCell ref="C299:C301"/>
    <mergeCell ref="C302:C305"/>
    <mergeCell ref="C306:C307"/>
    <mergeCell ref="C308:C319"/>
    <mergeCell ref="C320:C321"/>
    <mergeCell ref="C322:C323"/>
    <mergeCell ref="C325:C327"/>
    <mergeCell ref="C328:C330"/>
    <mergeCell ref="C331:C337"/>
    <mergeCell ref="C338:C339"/>
    <mergeCell ref="C340:C344"/>
    <mergeCell ref="C345:C351"/>
    <mergeCell ref="C354:C357"/>
    <mergeCell ref="C358:C362"/>
    <mergeCell ref="C363:C364"/>
    <mergeCell ref="C365:C367"/>
    <mergeCell ref="C368:C370"/>
    <mergeCell ref="C371:C373"/>
    <mergeCell ref="C374:C375"/>
    <mergeCell ref="C376:C378"/>
    <mergeCell ref="C379:C381"/>
    <mergeCell ref="C382:C384"/>
    <mergeCell ref="C385:C387"/>
    <mergeCell ref="C388:C390"/>
    <mergeCell ref="C391:C393"/>
    <mergeCell ref="C394:C396"/>
    <mergeCell ref="C398:C399"/>
    <mergeCell ref="C401:C404"/>
    <mergeCell ref="C405:C413"/>
    <mergeCell ref="C414:C415"/>
    <mergeCell ref="C417:C425"/>
    <mergeCell ref="C426:C429"/>
    <mergeCell ref="C430:C433"/>
    <mergeCell ref="C434:C438"/>
    <mergeCell ref="C441:C444"/>
    <mergeCell ref="C446:C447"/>
    <mergeCell ref="C448:C457"/>
    <mergeCell ref="C459:C466"/>
    <mergeCell ref="C469:C479"/>
    <mergeCell ref="C480:C487"/>
    <mergeCell ref="C488:C490"/>
    <mergeCell ref="C491:C492"/>
    <mergeCell ref="C493:C495"/>
    <mergeCell ref="C496:C498"/>
    <mergeCell ref="C499:C500"/>
    <mergeCell ref="C502:C511"/>
    <mergeCell ref="C512:C513"/>
    <mergeCell ref="C514:C515"/>
    <mergeCell ref="C517:C525"/>
    <mergeCell ref="C526:C536"/>
    <mergeCell ref="C537:C539"/>
    <mergeCell ref="C540:C545"/>
    <mergeCell ref="C546:C555"/>
    <mergeCell ref="C557:C563"/>
    <mergeCell ref="C564:C567"/>
    <mergeCell ref="C569:C570"/>
    <mergeCell ref="C571:C575"/>
    <mergeCell ref="C576:C581"/>
    <mergeCell ref="C582:C589"/>
    <mergeCell ref="C590:C595"/>
    <mergeCell ref="C597:C600"/>
    <mergeCell ref="C603:C610"/>
    <mergeCell ref="C612:C613"/>
    <mergeCell ref="C614:C618"/>
    <mergeCell ref="C619:C627"/>
    <mergeCell ref="C628:C635"/>
    <mergeCell ref="C636:C639"/>
    <mergeCell ref="C640:C643"/>
    <mergeCell ref="C644:C648"/>
    <mergeCell ref="C649:C651"/>
    <mergeCell ref="C652:C665"/>
    <mergeCell ref="C666:C669"/>
    <mergeCell ref="C670:C675"/>
    <mergeCell ref="C676:C680"/>
    <mergeCell ref="C681:C684"/>
    <mergeCell ref="C685:C688"/>
    <mergeCell ref="C691:C692"/>
    <mergeCell ref="C693:C696"/>
    <mergeCell ref="C697:C701"/>
    <mergeCell ref="C703:C704"/>
    <mergeCell ref="C705:C707"/>
    <mergeCell ref="C709:C711"/>
    <mergeCell ref="C712:C714"/>
    <mergeCell ref="C715:C718"/>
    <mergeCell ref="C720:C721"/>
    <mergeCell ref="C722:C723"/>
    <mergeCell ref="C724:C726"/>
    <mergeCell ref="C727:C731"/>
    <mergeCell ref="C732:C738"/>
    <mergeCell ref="C740:C744"/>
    <mergeCell ref="C745:C749"/>
    <mergeCell ref="C750:C772"/>
    <mergeCell ref="C773:C774"/>
    <mergeCell ref="C775:C794"/>
    <mergeCell ref="C795:C798"/>
    <mergeCell ref="C799:C832"/>
    <mergeCell ref="C833:C835"/>
    <mergeCell ref="C836:C847"/>
    <mergeCell ref="C848:C852"/>
    <mergeCell ref="C854:C859"/>
    <mergeCell ref="C860:C861"/>
    <mergeCell ref="C862:C875"/>
    <mergeCell ref="C876:C880"/>
    <mergeCell ref="C881:C890"/>
    <mergeCell ref="C891:C896"/>
    <mergeCell ref="C897:C898"/>
    <mergeCell ref="C900:C903"/>
    <mergeCell ref="C904:C913"/>
    <mergeCell ref="C914:C943"/>
    <mergeCell ref="C944:C949"/>
    <mergeCell ref="C950:C956"/>
    <mergeCell ref="C957:C965"/>
    <mergeCell ref="C969:C971"/>
    <mergeCell ref="D17:D18"/>
    <mergeCell ref="D19:D33"/>
    <mergeCell ref="D34:D43"/>
    <mergeCell ref="D44:D51"/>
    <mergeCell ref="D52:D54"/>
    <mergeCell ref="D55:D57"/>
    <mergeCell ref="D58:D61"/>
    <mergeCell ref="D62:D79"/>
    <mergeCell ref="D82:D84"/>
    <mergeCell ref="D85:D90"/>
    <mergeCell ref="D91:D94"/>
    <mergeCell ref="D95:D101"/>
    <mergeCell ref="D102:D105"/>
    <mergeCell ref="D106:D116"/>
    <mergeCell ref="D117:D123"/>
    <mergeCell ref="D124:D130"/>
    <mergeCell ref="D134:D137"/>
    <mergeCell ref="D138:D143"/>
    <mergeCell ref="D144:D149"/>
    <mergeCell ref="D151:D152"/>
    <mergeCell ref="D154:D155"/>
    <mergeCell ref="D156:D159"/>
    <mergeCell ref="D160:D161"/>
    <mergeCell ref="D162:D163"/>
    <mergeCell ref="D164:D166"/>
    <mergeCell ref="D167:D168"/>
    <mergeCell ref="D172:D173"/>
    <mergeCell ref="D175:D177"/>
    <mergeCell ref="D179:D180"/>
    <mergeCell ref="D181:D182"/>
    <mergeCell ref="D183:D188"/>
    <mergeCell ref="D189:D192"/>
    <mergeCell ref="D194:D196"/>
    <mergeCell ref="D199:D201"/>
    <mergeCell ref="D203:D204"/>
    <mergeCell ref="D205:D208"/>
    <mergeCell ref="D211:D215"/>
    <mergeCell ref="D216:D217"/>
    <mergeCell ref="D222:D228"/>
    <mergeCell ref="D229:D233"/>
    <mergeCell ref="D236:D238"/>
    <mergeCell ref="D239:D240"/>
    <mergeCell ref="D241:D244"/>
    <mergeCell ref="D245:D248"/>
    <mergeCell ref="D250:D254"/>
    <mergeCell ref="D256:D259"/>
    <mergeCell ref="D260:D268"/>
    <mergeCell ref="D269:D276"/>
    <mergeCell ref="D277:D278"/>
    <mergeCell ref="D279:D280"/>
    <mergeCell ref="D281:D286"/>
    <mergeCell ref="D288:D290"/>
    <mergeCell ref="D291:D296"/>
    <mergeCell ref="D299:D300"/>
    <mergeCell ref="D302:D303"/>
    <mergeCell ref="D306:D307"/>
    <mergeCell ref="D308:D312"/>
    <mergeCell ref="D316:D319"/>
    <mergeCell ref="D322:D323"/>
    <mergeCell ref="D325:D327"/>
    <mergeCell ref="D328:D330"/>
    <mergeCell ref="D331:D334"/>
    <mergeCell ref="D335:D337"/>
    <mergeCell ref="D338:D339"/>
    <mergeCell ref="D341:D344"/>
    <mergeCell ref="D345:D347"/>
    <mergeCell ref="D348:D351"/>
    <mergeCell ref="D354:D355"/>
    <mergeCell ref="D356:D357"/>
    <mergeCell ref="D358:D360"/>
    <mergeCell ref="D361:D362"/>
    <mergeCell ref="D365:D367"/>
    <mergeCell ref="D368:D370"/>
    <mergeCell ref="D371:D373"/>
    <mergeCell ref="D374:D375"/>
    <mergeCell ref="D376:D378"/>
    <mergeCell ref="D379:D381"/>
    <mergeCell ref="D382:D384"/>
    <mergeCell ref="D385:D387"/>
    <mergeCell ref="D388:D390"/>
    <mergeCell ref="D391:D393"/>
    <mergeCell ref="D394:D396"/>
    <mergeCell ref="D401:D404"/>
    <mergeCell ref="D405:D413"/>
    <mergeCell ref="D414:D415"/>
    <mergeCell ref="D417:D425"/>
    <mergeCell ref="D426:D429"/>
    <mergeCell ref="D430:D433"/>
    <mergeCell ref="D434:D438"/>
    <mergeCell ref="D441:D444"/>
    <mergeCell ref="D448:D457"/>
    <mergeCell ref="D459:D461"/>
    <mergeCell ref="D462:D466"/>
    <mergeCell ref="D469:D470"/>
    <mergeCell ref="D471:D474"/>
    <mergeCell ref="D475:D477"/>
    <mergeCell ref="D480:D487"/>
    <mergeCell ref="D488:D490"/>
    <mergeCell ref="D491:D492"/>
    <mergeCell ref="D493:D495"/>
    <mergeCell ref="D496:D498"/>
    <mergeCell ref="D499:D500"/>
    <mergeCell ref="D502:D511"/>
    <mergeCell ref="D512:D513"/>
    <mergeCell ref="D514:D515"/>
    <mergeCell ref="D517:D520"/>
    <mergeCell ref="D521:D525"/>
    <mergeCell ref="D526:D528"/>
    <mergeCell ref="D529:D536"/>
    <mergeCell ref="D537:D539"/>
    <mergeCell ref="D540:D545"/>
    <mergeCell ref="D546:D555"/>
    <mergeCell ref="D557:D563"/>
    <mergeCell ref="D564:D567"/>
    <mergeCell ref="D569:D570"/>
    <mergeCell ref="D571:D575"/>
    <mergeCell ref="D576:D577"/>
    <mergeCell ref="D578:D579"/>
    <mergeCell ref="D580:D581"/>
    <mergeCell ref="D582:D583"/>
    <mergeCell ref="D584:D585"/>
    <mergeCell ref="D588:D589"/>
    <mergeCell ref="D590:D592"/>
    <mergeCell ref="D594:D595"/>
    <mergeCell ref="D597:D598"/>
    <mergeCell ref="D599:D600"/>
    <mergeCell ref="D603:D605"/>
    <mergeCell ref="D607:D608"/>
    <mergeCell ref="D609:D610"/>
    <mergeCell ref="D614:D615"/>
    <mergeCell ref="D620:D621"/>
    <mergeCell ref="D622:D624"/>
    <mergeCell ref="D625:D627"/>
    <mergeCell ref="D628:D630"/>
    <mergeCell ref="D631:D632"/>
    <mergeCell ref="D633:D635"/>
    <mergeCell ref="D636:D638"/>
    <mergeCell ref="D640:D642"/>
    <mergeCell ref="D644:D646"/>
    <mergeCell ref="D647:D648"/>
    <mergeCell ref="D649:D650"/>
    <mergeCell ref="D652:D654"/>
    <mergeCell ref="D655:D656"/>
    <mergeCell ref="D660:D661"/>
    <mergeCell ref="D662:D663"/>
    <mergeCell ref="D664:D665"/>
    <mergeCell ref="D667:D669"/>
    <mergeCell ref="D670:D675"/>
    <mergeCell ref="D676:D680"/>
    <mergeCell ref="D681:D684"/>
    <mergeCell ref="D685:D688"/>
    <mergeCell ref="D691:D692"/>
    <mergeCell ref="D694:D695"/>
    <mergeCell ref="D698:D699"/>
    <mergeCell ref="D710:D711"/>
    <mergeCell ref="D712:D713"/>
    <mergeCell ref="D716:D717"/>
    <mergeCell ref="D720:D721"/>
    <mergeCell ref="D722:D723"/>
    <mergeCell ref="D724:D726"/>
    <mergeCell ref="D727:D731"/>
    <mergeCell ref="D732:D738"/>
    <mergeCell ref="D740:D744"/>
    <mergeCell ref="D745:D749"/>
    <mergeCell ref="D752:D762"/>
    <mergeCell ref="D763:D766"/>
    <mergeCell ref="D770:D772"/>
    <mergeCell ref="D773:D774"/>
    <mergeCell ref="D775:D788"/>
    <mergeCell ref="D792:D794"/>
    <mergeCell ref="D795:D798"/>
    <mergeCell ref="D799:D800"/>
    <mergeCell ref="D801:D807"/>
    <mergeCell ref="D808:D832"/>
    <mergeCell ref="D833:D835"/>
    <mergeCell ref="D837:D847"/>
    <mergeCell ref="D848:D852"/>
    <mergeCell ref="D854:D859"/>
    <mergeCell ref="D860:D861"/>
    <mergeCell ref="D862:D870"/>
    <mergeCell ref="D871:D875"/>
    <mergeCell ref="D876:D880"/>
    <mergeCell ref="D881:D883"/>
    <mergeCell ref="D884:D890"/>
    <mergeCell ref="D891:D892"/>
    <mergeCell ref="D893:D896"/>
    <mergeCell ref="D900:D901"/>
    <mergeCell ref="D902:D903"/>
    <mergeCell ref="D904:D913"/>
    <mergeCell ref="D915:D929"/>
    <mergeCell ref="D934:D937"/>
    <mergeCell ref="D940:D942"/>
    <mergeCell ref="D944:D948"/>
    <mergeCell ref="D950:D956"/>
    <mergeCell ref="D957:D965"/>
    <mergeCell ref="E17:E18"/>
    <mergeCell ref="E19:E33"/>
    <mergeCell ref="E34:E43"/>
    <mergeCell ref="E44:E51"/>
    <mergeCell ref="E52:E54"/>
    <mergeCell ref="E55:E57"/>
    <mergeCell ref="E58:E61"/>
    <mergeCell ref="E62:E79"/>
    <mergeCell ref="E82:E84"/>
    <mergeCell ref="E85:E90"/>
    <mergeCell ref="E91:E94"/>
    <mergeCell ref="E95:E101"/>
    <mergeCell ref="E102:E105"/>
    <mergeCell ref="E106:E116"/>
    <mergeCell ref="E117:E123"/>
    <mergeCell ref="E124:E130"/>
    <mergeCell ref="E134:E137"/>
    <mergeCell ref="E138:E143"/>
    <mergeCell ref="E144:E149"/>
    <mergeCell ref="E151:E152"/>
    <mergeCell ref="E154:E155"/>
    <mergeCell ref="E156:E159"/>
    <mergeCell ref="E160:E161"/>
    <mergeCell ref="E162:E163"/>
    <mergeCell ref="E164:E166"/>
    <mergeCell ref="E167:E168"/>
    <mergeCell ref="E172:E173"/>
    <mergeCell ref="E175:E177"/>
    <mergeCell ref="E179:E180"/>
    <mergeCell ref="E181:E182"/>
    <mergeCell ref="E183:E188"/>
    <mergeCell ref="E189:E192"/>
    <mergeCell ref="E194:E196"/>
    <mergeCell ref="E199:E201"/>
    <mergeCell ref="E203:E204"/>
    <mergeCell ref="E205:E208"/>
    <mergeCell ref="E211:E215"/>
    <mergeCell ref="E216:E217"/>
    <mergeCell ref="E222:E228"/>
    <mergeCell ref="E229:E233"/>
    <mergeCell ref="E236:E238"/>
    <mergeCell ref="E239:E240"/>
    <mergeCell ref="E241:E244"/>
    <mergeCell ref="E245:E248"/>
    <mergeCell ref="E250:E254"/>
    <mergeCell ref="E256:E259"/>
    <mergeCell ref="E260:E268"/>
    <mergeCell ref="E269:E276"/>
    <mergeCell ref="E277:E278"/>
    <mergeCell ref="E279:E280"/>
    <mergeCell ref="E281:E286"/>
    <mergeCell ref="E288:E290"/>
    <mergeCell ref="E291:E296"/>
    <mergeCell ref="E299:E300"/>
    <mergeCell ref="E302:E303"/>
    <mergeCell ref="E306:E307"/>
    <mergeCell ref="E308:E312"/>
    <mergeCell ref="E316:E319"/>
    <mergeCell ref="E322:E323"/>
    <mergeCell ref="E325:E327"/>
    <mergeCell ref="E328:E330"/>
    <mergeCell ref="E331:E334"/>
    <mergeCell ref="E335:E337"/>
    <mergeCell ref="E338:E339"/>
    <mergeCell ref="E341:E344"/>
    <mergeCell ref="E345:E347"/>
    <mergeCell ref="E348:E351"/>
    <mergeCell ref="E354:E355"/>
    <mergeCell ref="E356:E357"/>
    <mergeCell ref="E358:E360"/>
    <mergeCell ref="E361:E362"/>
    <mergeCell ref="E365:E367"/>
    <mergeCell ref="E368:E370"/>
    <mergeCell ref="E371:E373"/>
    <mergeCell ref="E374:E375"/>
    <mergeCell ref="E376:E378"/>
    <mergeCell ref="E379:E381"/>
    <mergeCell ref="E382:E384"/>
    <mergeCell ref="E385:E387"/>
    <mergeCell ref="E388:E390"/>
    <mergeCell ref="E391:E393"/>
    <mergeCell ref="E394:E396"/>
    <mergeCell ref="E401:E404"/>
    <mergeCell ref="E405:E413"/>
    <mergeCell ref="E414:E415"/>
    <mergeCell ref="E417:E425"/>
    <mergeCell ref="E426:E429"/>
    <mergeCell ref="E430:E433"/>
    <mergeCell ref="E434:E438"/>
    <mergeCell ref="E441:E444"/>
    <mergeCell ref="E448:E457"/>
    <mergeCell ref="E459:E461"/>
    <mergeCell ref="E462:E466"/>
    <mergeCell ref="E469:E470"/>
    <mergeCell ref="E471:E474"/>
    <mergeCell ref="E475:E477"/>
    <mergeCell ref="E480:E487"/>
    <mergeCell ref="E488:E490"/>
    <mergeCell ref="E491:E492"/>
    <mergeCell ref="E493:E495"/>
    <mergeCell ref="E496:E498"/>
    <mergeCell ref="E499:E500"/>
    <mergeCell ref="E502:E511"/>
    <mergeCell ref="E512:E513"/>
    <mergeCell ref="E514:E515"/>
    <mergeCell ref="E517:E520"/>
    <mergeCell ref="E521:E525"/>
    <mergeCell ref="E526:E528"/>
    <mergeCell ref="E529:E536"/>
    <mergeCell ref="E537:E539"/>
    <mergeCell ref="E540:E545"/>
    <mergeCell ref="E546:E555"/>
    <mergeCell ref="E557:E563"/>
    <mergeCell ref="E564:E567"/>
    <mergeCell ref="E569:E570"/>
    <mergeCell ref="E571:E575"/>
    <mergeCell ref="E576:E577"/>
    <mergeCell ref="E578:E579"/>
    <mergeCell ref="E580:E581"/>
    <mergeCell ref="E582:E583"/>
    <mergeCell ref="E584:E585"/>
    <mergeCell ref="E588:E589"/>
    <mergeCell ref="E590:E592"/>
    <mergeCell ref="E594:E595"/>
    <mergeCell ref="E597:E598"/>
    <mergeCell ref="E599:E600"/>
    <mergeCell ref="E603:E605"/>
    <mergeCell ref="E607:E608"/>
    <mergeCell ref="E609:E610"/>
    <mergeCell ref="E614:E615"/>
    <mergeCell ref="E620:E621"/>
    <mergeCell ref="E622:E624"/>
    <mergeCell ref="E625:E627"/>
    <mergeCell ref="E628:E630"/>
    <mergeCell ref="E631:E632"/>
    <mergeCell ref="E633:E635"/>
    <mergeCell ref="E636:E638"/>
    <mergeCell ref="E640:E642"/>
    <mergeCell ref="E644:E646"/>
    <mergeCell ref="E647:E648"/>
    <mergeCell ref="E649:E650"/>
    <mergeCell ref="E652:E654"/>
    <mergeCell ref="E655:E656"/>
    <mergeCell ref="E660:E661"/>
    <mergeCell ref="E662:E663"/>
    <mergeCell ref="E664:E665"/>
    <mergeCell ref="E667:E669"/>
    <mergeCell ref="E670:E675"/>
    <mergeCell ref="E676:E680"/>
    <mergeCell ref="E681:E684"/>
    <mergeCell ref="E685:E688"/>
    <mergeCell ref="E691:E692"/>
    <mergeCell ref="E694:E695"/>
    <mergeCell ref="E698:E699"/>
    <mergeCell ref="E710:E711"/>
    <mergeCell ref="E712:E713"/>
    <mergeCell ref="E716:E717"/>
    <mergeCell ref="E720:E721"/>
    <mergeCell ref="E722:E723"/>
    <mergeCell ref="E724:E726"/>
    <mergeCell ref="E727:E731"/>
    <mergeCell ref="E732:E738"/>
    <mergeCell ref="E740:E744"/>
    <mergeCell ref="E745:E749"/>
    <mergeCell ref="E752:E762"/>
    <mergeCell ref="E763:E766"/>
    <mergeCell ref="E770:E772"/>
    <mergeCell ref="E773:E774"/>
    <mergeCell ref="E775:E788"/>
    <mergeCell ref="E792:E794"/>
    <mergeCell ref="E795:E798"/>
    <mergeCell ref="E799:E800"/>
    <mergeCell ref="E801:E807"/>
    <mergeCell ref="E808:E832"/>
    <mergeCell ref="E833:E835"/>
    <mergeCell ref="E837:E847"/>
    <mergeCell ref="E848:E852"/>
    <mergeCell ref="E854:E859"/>
    <mergeCell ref="E860:E861"/>
    <mergeCell ref="E862:E870"/>
    <mergeCell ref="E871:E875"/>
    <mergeCell ref="E876:E880"/>
    <mergeCell ref="E881:E883"/>
    <mergeCell ref="E884:E890"/>
    <mergeCell ref="E891:E892"/>
    <mergeCell ref="E893:E896"/>
    <mergeCell ref="E900:E901"/>
    <mergeCell ref="E902:E903"/>
    <mergeCell ref="E904:E913"/>
    <mergeCell ref="E915:E929"/>
    <mergeCell ref="E934:E937"/>
    <mergeCell ref="E940:E942"/>
    <mergeCell ref="E944:E948"/>
    <mergeCell ref="E950:E956"/>
    <mergeCell ref="E957:E965"/>
  </mergeCells>
  <pageMargins left="0.75" right="0.75" top="0.270000010728836" bottom="0.270000010728836" header="0" footer="0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7"/>
  <sheetViews>
    <sheetView workbookViewId="0">
      <selection activeCell="A1" sqref="A1:C1"/>
    </sheetView>
  </sheetViews>
  <sheetFormatPr defaultColWidth="10" defaultRowHeight="13.5"/>
  <cols>
    <col min="1" max="1" width="13.3333333333333" customWidth="1"/>
    <col min="2" max="49" width="11.2833333333333" customWidth="1"/>
    <col min="50" max="55" width="13.3333333333333" customWidth="1"/>
  </cols>
  <sheetData>
    <row r="1" ht="27.1" customHeight="1" spans="1:3">
      <c r="A1" s="7" t="s">
        <v>1036</v>
      </c>
      <c r="B1" s="7"/>
      <c r="C1" s="7"/>
    </row>
    <row r="2" ht="17.05" customHeight="1" spans="1:55">
      <c r="A2" s="8" t="s">
        <v>1</v>
      </c>
      <c r="B2" s="8" t="s">
        <v>1037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 t="s">
        <v>1038</v>
      </c>
      <c r="AY2" s="8"/>
      <c r="AZ2" s="8"/>
      <c r="BA2" s="8"/>
      <c r="BB2" s="8"/>
      <c r="BC2" s="8"/>
    </row>
    <row r="3" ht="17.05" customHeight="1" spans="1:55">
      <c r="A3" s="8"/>
      <c r="B3" s="8" t="s">
        <v>600</v>
      </c>
      <c r="C3" s="8"/>
      <c r="D3" s="8"/>
      <c r="E3" s="8" t="s">
        <v>410</v>
      </c>
      <c r="F3" s="8"/>
      <c r="G3" s="8"/>
      <c r="H3" s="8" t="s">
        <v>1039</v>
      </c>
      <c r="I3" s="8"/>
      <c r="J3" s="8"/>
      <c r="K3" s="8" t="s">
        <v>1040</v>
      </c>
      <c r="L3" s="8"/>
      <c r="M3" s="8"/>
      <c r="N3" s="8" t="s">
        <v>802</v>
      </c>
      <c r="O3" s="8"/>
      <c r="P3" s="8"/>
      <c r="Q3" s="8" t="s">
        <v>1041</v>
      </c>
      <c r="R3" s="8"/>
      <c r="S3" s="8"/>
      <c r="T3" s="8" t="s">
        <v>1042</v>
      </c>
      <c r="U3" s="8"/>
      <c r="V3" s="8"/>
      <c r="W3" s="8" t="s">
        <v>1043</v>
      </c>
      <c r="X3" s="8"/>
      <c r="Y3" s="8"/>
      <c r="Z3" s="8" t="s">
        <v>839</v>
      </c>
      <c r="AA3" s="8"/>
      <c r="AB3" s="8"/>
      <c r="AC3" s="8" t="s">
        <v>577</v>
      </c>
      <c r="AD3" s="8"/>
      <c r="AE3" s="8"/>
      <c r="AF3" s="8" t="s">
        <v>563</v>
      </c>
      <c r="AG3" s="8"/>
      <c r="AH3" s="8"/>
      <c r="AI3" s="8" t="s">
        <v>227</v>
      </c>
      <c r="AJ3" s="8"/>
      <c r="AK3" s="8"/>
      <c r="AL3" s="8" t="s">
        <v>580</v>
      </c>
      <c r="AM3" s="8"/>
      <c r="AN3" s="8"/>
      <c r="AO3" s="8" t="s">
        <v>66</v>
      </c>
      <c r="AP3" s="8"/>
      <c r="AQ3" s="8"/>
      <c r="AR3" s="8" t="s">
        <v>1044</v>
      </c>
      <c r="AS3" s="8"/>
      <c r="AT3" s="8"/>
      <c r="AU3" s="8" t="s">
        <v>67</v>
      </c>
      <c r="AV3" s="8"/>
      <c r="AW3" s="8"/>
      <c r="AX3" s="8" t="s">
        <v>1045</v>
      </c>
      <c r="AY3" s="8" t="s">
        <v>152</v>
      </c>
      <c r="AZ3" s="8" t="s">
        <v>201</v>
      </c>
      <c r="BA3" s="8" t="s">
        <v>1046</v>
      </c>
      <c r="BB3" s="8" t="s">
        <v>1047</v>
      </c>
      <c r="BC3" s="8" t="s">
        <v>1048</v>
      </c>
    </row>
    <row r="4" ht="28.6" customHeight="1" spans="1:55">
      <c r="A4" s="8"/>
      <c r="B4" s="8" t="s">
        <v>1049</v>
      </c>
      <c r="C4" s="8" t="s">
        <v>1050</v>
      </c>
      <c r="D4" s="9" t="s">
        <v>1051</v>
      </c>
      <c r="E4" s="8" t="s">
        <v>1049</v>
      </c>
      <c r="F4" s="8" t="s">
        <v>1050</v>
      </c>
      <c r="G4" s="9" t="s">
        <v>1051</v>
      </c>
      <c r="H4" s="8" t="s">
        <v>1049</v>
      </c>
      <c r="I4" s="8" t="s">
        <v>1050</v>
      </c>
      <c r="J4" s="9" t="s">
        <v>1051</v>
      </c>
      <c r="K4" s="8" t="s">
        <v>1049</v>
      </c>
      <c r="L4" s="8" t="s">
        <v>1050</v>
      </c>
      <c r="M4" s="9" t="s">
        <v>1051</v>
      </c>
      <c r="N4" s="8" t="s">
        <v>1049</v>
      </c>
      <c r="O4" s="8" t="s">
        <v>1050</v>
      </c>
      <c r="P4" s="9" t="s">
        <v>1051</v>
      </c>
      <c r="Q4" s="8" t="s">
        <v>1049</v>
      </c>
      <c r="R4" s="8" t="s">
        <v>1050</v>
      </c>
      <c r="S4" s="9" t="s">
        <v>1051</v>
      </c>
      <c r="T4" s="8" t="s">
        <v>1049</v>
      </c>
      <c r="U4" s="8" t="s">
        <v>1050</v>
      </c>
      <c r="V4" s="9" t="s">
        <v>1051</v>
      </c>
      <c r="W4" s="8" t="s">
        <v>1049</v>
      </c>
      <c r="X4" s="8" t="s">
        <v>1050</v>
      </c>
      <c r="Y4" s="9" t="s">
        <v>1051</v>
      </c>
      <c r="Z4" s="8" t="s">
        <v>1049</v>
      </c>
      <c r="AA4" s="8" t="s">
        <v>1050</v>
      </c>
      <c r="AB4" s="9" t="s">
        <v>1051</v>
      </c>
      <c r="AC4" s="8" t="s">
        <v>1049</v>
      </c>
      <c r="AD4" s="8" t="s">
        <v>1050</v>
      </c>
      <c r="AE4" s="9" t="s">
        <v>1051</v>
      </c>
      <c r="AF4" s="8" t="s">
        <v>1049</v>
      </c>
      <c r="AG4" s="8" t="s">
        <v>1050</v>
      </c>
      <c r="AH4" s="9" t="s">
        <v>1051</v>
      </c>
      <c r="AI4" s="8" t="s">
        <v>1049</v>
      </c>
      <c r="AJ4" s="8" t="s">
        <v>1050</v>
      </c>
      <c r="AK4" s="9" t="s">
        <v>1051</v>
      </c>
      <c r="AL4" s="8" t="s">
        <v>1049</v>
      </c>
      <c r="AM4" s="8" t="s">
        <v>1050</v>
      </c>
      <c r="AN4" s="9" t="s">
        <v>1051</v>
      </c>
      <c r="AO4" s="8" t="s">
        <v>1049</v>
      </c>
      <c r="AP4" s="8" t="s">
        <v>1050</v>
      </c>
      <c r="AQ4" s="9" t="s">
        <v>1051</v>
      </c>
      <c r="AR4" s="8" t="s">
        <v>1049</v>
      </c>
      <c r="AS4" s="8" t="s">
        <v>1050</v>
      </c>
      <c r="AT4" s="9" t="s">
        <v>1051</v>
      </c>
      <c r="AU4" s="8" t="s">
        <v>1049</v>
      </c>
      <c r="AV4" s="8" t="s">
        <v>1050</v>
      </c>
      <c r="AW4" s="9" t="s">
        <v>1051</v>
      </c>
      <c r="AX4" s="8" t="s">
        <v>1052</v>
      </c>
      <c r="AY4" s="8" t="s">
        <v>152</v>
      </c>
      <c r="AZ4" s="8" t="s">
        <v>1053</v>
      </c>
      <c r="BA4" s="8" t="s">
        <v>1054</v>
      </c>
      <c r="BB4" s="8" t="s">
        <v>304</v>
      </c>
      <c r="BC4" s="8" t="s">
        <v>1055</v>
      </c>
    </row>
    <row r="5" ht="19.9" customHeight="1" spans="1:55">
      <c r="A5" s="10" t="s">
        <v>15</v>
      </c>
      <c r="B5" s="11">
        <v>2</v>
      </c>
      <c r="C5" s="11">
        <v>1</v>
      </c>
      <c r="D5" s="12" t="s">
        <v>1056</v>
      </c>
      <c r="E5" s="11">
        <v>0</v>
      </c>
      <c r="F5" s="11">
        <v>2</v>
      </c>
      <c r="G5" s="12" t="s">
        <v>1057</v>
      </c>
      <c r="H5" s="11">
        <v>0</v>
      </c>
      <c r="I5" s="11">
        <v>2</v>
      </c>
      <c r="J5" s="12" t="s">
        <v>1058</v>
      </c>
      <c r="K5" s="11">
        <v>1</v>
      </c>
      <c r="L5" s="11">
        <v>2</v>
      </c>
      <c r="M5" s="12" t="s">
        <v>1059</v>
      </c>
      <c r="N5" s="11">
        <v>1</v>
      </c>
      <c r="O5" s="11">
        <v>1</v>
      </c>
      <c r="P5" s="12" t="s">
        <v>1060</v>
      </c>
      <c r="Q5" s="11">
        <v>0</v>
      </c>
      <c r="R5" s="11">
        <v>3</v>
      </c>
      <c r="S5" s="12" t="s">
        <v>1061</v>
      </c>
      <c r="T5" s="11">
        <v>1</v>
      </c>
      <c r="U5" s="11">
        <v>1</v>
      </c>
      <c r="V5" s="12" t="s">
        <v>1062</v>
      </c>
      <c r="W5" s="11">
        <v>1</v>
      </c>
      <c r="X5" s="11">
        <v>1</v>
      </c>
      <c r="Y5" s="12" t="s">
        <v>1063</v>
      </c>
      <c r="Z5" s="11">
        <v>2</v>
      </c>
      <c r="AA5" s="11">
        <v>2</v>
      </c>
      <c r="AB5" s="12" t="s">
        <v>1064</v>
      </c>
      <c r="AC5" s="11">
        <v>1</v>
      </c>
      <c r="AD5" s="11">
        <v>2</v>
      </c>
      <c r="AE5" s="12" t="s">
        <v>1065</v>
      </c>
      <c r="AF5" s="11">
        <v>1</v>
      </c>
      <c r="AG5" s="11">
        <v>2</v>
      </c>
      <c r="AH5" s="12" t="s">
        <v>1066</v>
      </c>
      <c r="AI5" s="11">
        <v>2</v>
      </c>
      <c r="AJ5" s="11">
        <v>0</v>
      </c>
      <c r="AK5" s="12" t="s">
        <v>1067</v>
      </c>
      <c r="AL5" s="11">
        <v>2</v>
      </c>
      <c r="AM5" s="11">
        <v>0</v>
      </c>
      <c r="AN5" s="12" t="s">
        <v>1068</v>
      </c>
      <c r="AO5" s="11">
        <v>0</v>
      </c>
      <c r="AP5" s="11">
        <v>3</v>
      </c>
      <c r="AQ5" s="12" t="s">
        <v>1069</v>
      </c>
      <c r="AR5" s="11">
        <v>2</v>
      </c>
      <c r="AS5" s="11">
        <v>1</v>
      </c>
      <c r="AT5" s="12" t="s">
        <v>1070</v>
      </c>
      <c r="AU5" s="11">
        <v>2</v>
      </c>
      <c r="AV5" s="11">
        <v>0</v>
      </c>
      <c r="AW5" s="12" t="s">
        <v>1071</v>
      </c>
      <c r="AX5" s="14">
        <v>6.8</v>
      </c>
      <c r="AY5" s="14">
        <v>4.989</v>
      </c>
      <c r="AZ5" s="14">
        <v>7.25</v>
      </c>
      <c r="BA5" s="14">
        <v>7.325</v>
      </c>
      <c r="BB5" s="14">
        <v>5.362</v>
      </c>
      <c r="BC5" s="14">
        <v>5.45</v>
      </c>
    </row>
    <row r="6" ht="19.9" customHeight="1" spans="1:55">
      <c r="A6" s="10" t="s">
        <v>16</v>
      </c>
      <c r="B6" s="11">
        <v>2</v>
      </c>
      <c r="C6" s="11">
        <v>1</v>
      </c>
      <c r="D6" s="12" t="s">
        <v>1072</v>
      </c>
      <c r="E6" s="11">
        <v>0</v>
      </c>
      <c r="F6" s="11">
        <v>2</v>
      </c>
      <c r="G6" s="12" t="s">
        <v>1073</v>
      </c>
      <c r="H6" s="11">
        <v>0</v>
      </c>
      <c r="I6" s="11">
        <v>2</v>
      </c>
      <c r="J6" s="12" t="s">
        <v>1074</v>
      </c>
      <c r="K6" s="11">
        <v>1</v>
      </c>
      <c r="L6" s="11">
        <v>2</v>
      </c>
      <c r="M6" s="12" t="s">
        <v>1075</v>
      </c>
      <c r="N6" s="11">
        <v>1</v>
      </c>
      <c r="O6" s="11">
        <v>1</v>
      </c>
      <c r="P6" s="12" t="s">
        <v>1076</v>
      </c>
      <c r="Q6" s="11">
        <v>0</v>
      </c>
      <c r="R6" s="11">
        <v>3</v>
      </c>
      <c r="S6" s="12" t="s">
        <v>1077</v>
      </c>
      <c r="T6" s="11">
        <v>1</v>
      </c>
      <c r="U6" s="11">
        <v>1</v>
      </c>
      <c r="V6" s="12" t="s">
        <v>1078</v>
      </c>
      <c r="W6" s="11">
        <v>1</v>
      </c>
      <c r="X6" s="11">
        <v>1</v>
      </c>
      <c r="Y6" s="12" t="s">
        <v>1079</v>
      </c>
      <c r="Z6" s="11">
        <v>2</v>
      </c>
      <c r="AA6" s="11">
        <v>2</v>
      </c>
      <c r="AB6" s="12" t="s">
        <v>1080</v>
      </c>
      <c r="AC6" s="11">
        <v>1</v>
      </c>
      <c r="AD6" s="11">
        <v>2</v>
      </c>
      <c r="AE6" s="12" t="s">
        <v>1081</v>
      </c>
      <c r="AF6" s="11">
        <v>1</v>
      </c>
      <c r="AG6" s="11">
        <v>2</v>
      </c>
      <c r="AH6" s="12" t="s">
        <v>1082</v>
      </c>
      <c r="AI6" s="11">
        <v>0</v>
      </c>
      <c r="AJ6" s="11">
        <v>2</v>
      </c>
      <c r="AK6" s="12" t="s">
        <v>1083</v>
      </c>
      <c r="AL6" s="11">
        <v>2</v>
      </c>
      <c r="AM6" s="11">
        <v>0</v>
      </c>
      <c r="AN6" s="12" t="s">
        <v>1084</v>
      </c>
      <c r="AO6" s="11">
        <v>0</v>
      </c>
      <c r="AP6" s="11">
        <v>3</v>
      </c>
      <c r="AQ6" s="12" t="s">
        <v>1085</v>
      </c>
      <c r="AR6" s="11">
        <v>2</v>
      </c>
      <c r="AS6" s="11">
        <v>1</v>
      </c>
      <c r="AT6" s="12" t="s">
        <v>1086</v>
      </c>
      <c r="AU6" s="11">
        <v>1</v>
      </c>
      <c r="AV6" s="11">
        <v>1</v>
      </c>
      <c r="AW6" s="12" t="s">
        <v>1087</v>
      </c>
      <c r="AX6" s="14">
        <v>6.848</v>
      </c>
      <c r="AY6" s="14">
        <v>4.861</v>
      </c>
      <c r="AZ6" s="14">
        <v>7.49</v>
      </c>
      <c r="BA6" s="14">
        <v>7.09</v>
      </c>
      <c r="BB6" s="14">
        <v>5.586</v>
      </c>
      <c r="BC6" s="14">
        <v>5.69</v>
      </c>
    </row>
    <row r="7" ht="19.9" customHeight="1" spans="1:55">
      <c r="A7" s="10" t="s">
        <v>17</v>
      </c>
      <c r="B7" s="11">
        <v>2</v>
      </c>
      <c r="C7" s="11">
        <v>1</v>
      </c>
      <c r="D7" s="12" t="s">
        <v>1088</v>
      </c>
      <c r="E7" s="11">
        <v>0</v>
      </c>
      <c r="F7" s="11">
        <v>2</v>
      </c>
      <c r="G7" s="12" t="s">
        <v>1089</v>
      </c>
      <c r="H7" s="11">
        <v>0</v>
      </c>
      <c r="I7" s="11">
        <v>2</v>
      </c>
      <c r="J7" s="12" t="s">
        <v>1090</v>
      </c>
      <c r="K7" s="11">
        <v>2</v>
      </c>
      <c r="L7" s="11">
        <v>1</v>
      </c>
      <c r="M7" s="12" t="s">
        <v>1091</v>
      </c>
      <c r="N7" s="11">
        <v>1</v>
      </c>
      <c r="O7" s="11">
        <v>1</v>
      </c>
      <c r="P7" s="12" t="s">
        <v>1092</v>
      </c>
      <c r="Q7" s="11">
        <v>0</v>
      </c>
      <c r="R7" s="11">
        <v>3</v>
      </c>
      <c r="S7" s="12" t="s">
        <v>1093</v>
      </c>
      <c r="T7" s="11">
        <v>1</v>
      </c>
      <c r="U7" s="11">
        <v>1</v>
      </c>
      <c r="V7" s="12" t="s">
        <v>1094</v>
      </c>
      <c r="W7" s="11">
        <v>1</v>
      </c>
      <c r="X7" s="11">
        <v>1</v>
      </c>
      <c r="Y7" s="12" t="s">
        <v>1095</v>
      </c>
      <c r="Z7" s="11">
        <v>2</v>
      </c>
      <c r="AA7" s="11">
        <v>2</v>
      </c>
      <c r="AB7" s="12" t="s">
        <v>1096</v>
      </c>
      <c r="AC7" s="11">
        <v>1</v>
      </c>
      <c r="AD7" s="11">
        <v>2</v>
      </c>
      <c r="AE7" s="12" t="s">
        <v>1097</v>
      </c>
      <c r="AF7" s="11">
        <v>1</v>
      </c>
      <c r="AG7" s="11">
        <v>2</v>
      </c>
      <c r="AH7" s="12" t="s">
        <v>1098</v>
      </c>
      <c r="AI7" s="11">
        <v>0</v>
      </c>
      <c r="AJ7" s="11">
        <v>2</v>
      </c>
      <c r="AK7" s="12" t="s">
        <v>1099</v>
      </c>
      <c r="AL7" s="11">
        <v>2</v>
      </c>
      <c r="AM7" s="11">
        <v>0</v>
      </c>
      <c r="AN7" s="12" t="s">
        <v>1100</v>
      </c>
      <c r="AO7" s="11">
        <v>1</v>
      </c>
      <c r="AP7" s="11">
        <v>2</v>
      </c>
      <c r="AQ7" s="12" t="s">
        <v>1101</v>
      </c>
      <c r="AR7" s="11">
        <v>2</v>
      </c>
      <c r="AS7" s="11">
        <v>1</v>
      </c>
      <c r="AT7" s="12" t="s">
        <v>1102</v>
      </c>
      <c r="AU7" s="11">
        <v>1</v>
      </c>
      <c r="AV7" s="11">
        <v>1</v>
      </c>
      <c r="AW7" s="12" t="s">
        <v>1103</v>
      </c>
      <c r="AX7" s="14">
        <v>6.695</v>
      </c>
      <c r="AY7" s="14">
        <v>4.955</v>
      </c>
      <c r="AZ7" s="14">
        <v>7.65</v>
      </c>
      <c r="BA7" s="14">
        <v>7.134</v>
      </c>
      <c r="BB7" s="14">
        <v>5.764</v>
      </c>
      <c r="BC7" s="14">
        <v>5.85</v>
      </c>
    </row>
    <row r="8" ht="19.9" customHeight="1" spans="1:55">
      <c r="A8" s="10" t="s">
        <v>18</v>
      </c>
      <c r="B8" s="11">
        <v>2</v>
      </c>
      <c r="C8" s="11">
        <v>1</v>
      </c>
      <c r="D8" s="12" t="s">
        <v>1104</v>
      </c>
      <c r="E8" s="11">
        <v>0</v>
      </c>
      <c r="F8" s="11">
        <v>2</v>
      </c>
      <c r="G8" s="12" t="s">
        <v>1105</v>
      </c>
      <c r="H8" s="11">
        <v>0</v>
      </c>
      <c r="I8" s="11">
        <v>2</v>
      </c>
      <c r="J8" s="12" t="s">
        <v>1106</v>
      </c>
      <c r="K8" s="11">
        <v>2</v>
      </c>
      <c r="L8" s="11">
        <v>1</v>
      </c>
      <c r="M8" s="12" t="s">
        <v>1107</v>
      </c>
      <c r="N8" s="11">
        <v>1</v>
      </c>
      <c r="O8" s="11">
        <v>1</v>
      </c>
      <c r="P8" s="12" t="s">
        <v>1108</v>
      </c>
      <c r="Q8" s="11">
        <v>1</v>
      </c>
      <c r="R8" s="11">
        <v>2</v>
      </c>
      <c r="S8" s="12" t="s">
        <v>1109</v>
      </c>
      <c r="T8" s="11">
        <v>1</v>
      </c>
      <c r="U8" s="11">
        <v>1</v>
      </c>
      <c r="V8" s="12" t="s">
        <v>1110</v>
      </c>
      <c r="W8" s="11">
        <v>1</v>
      </c>
      <c r="X8" s="11">
        <v>1</v>
      </c>
      <c r="Y8" s="12" t="s">
        <v>1111</v>
      </c>
      <c r="Z8" s="11">
        <v>2</v>
      </c>
      <c r="AA8" s="11">
        <v>2</v>
      </c>
      <c r="AB8" s="12" t="s">
        <v>1112</v>
      </c>
      <c r="AC8" s="11">
        <v>0</v>
      </c>
      <c r="AD8" s="11">
        <v>3</v>
      </c>
      <c r="AE8" s="12" t="s">
        <v>1113</v>
      </c>
      <c r="AF8" s="11">
        <v>1</v>
      </c>
      <c r="AG8" s="11">
        <v>2</v>
      </c>
      <c r="AH8" s="12" t="s">
        <v>1114</v>
      </c>
      <c r="AI8" s="11">
        <v>1</v>
      </c>
      <c r="AJ8" s="11">
        <v>1</v>
      </c>
      <c r="AK8" s="12" t="s">
        <v>1115</v>
      </c>
      <c r="AL8" s="11">
        <v>2</v>
      </c>
      <c r="AM8" s="11">
        <v>0</v>
      </c>
      <c r="AN8" s="12" t="s">
        <v>1116</v>
      </c>
      <c r="AO8" s="11">
        <v>1</v>
      </c>
      <c r="AP8" s="11">
        <v>2</v>
      </c>
      <c r="AQ8" s="12" t="s">
        <v>1117</v>
      </c>
      <c r="AR8" s="11">
        <v>2</v>
      </c>
      <c r="AS8" s="11">
        <v>1</v>
      </c>
      <c r="AT8" s="12" t="s">
        <v>1118</v>
      </c>
      <c r="AU8" s="11">
        <v>1</v>
      </c>
      <c r="AV8" s="11">
        <v>1</v>
      </c>
      <c r="AW8" s="12" t="s">
        <v>1119</v>
      </c>
      <c r="AX8" s="14">
        <v>6.905</v>
      </c>
      <c r="AY8" s="14">
        <v>5.045</v>
      </c>
      <c r="AZ8" s="14">
        <v>8.65</v>
      </c>
      <c r="BA8" s="14">
        <v>6.621</v>
      </c>
      <c r="BB8" s="14">
        <v>5.741</v>
      </c>
      <c r="BC8" s="14">
        <v>5.86</v>
      </c>
    </row>
    <row r="9" ht="19.9" customHeight="1" spans="1:55">
      <c r="A9" s="10" t="s">
        <v>19</v>
      </c>
      <c r="B9" s="11">
        <v>2</v>
      </c>
      <c r="C9" s="11">
        <v>1</v>
      </c>
      <c r="D9" s="12" t="s">
        <v>1120</v>
      </c>
      <c r="E9" s="11">
        <v>0</v>
      </c>
      <c r="F9" s="11">
        <v>2</v>
      </c>
      <c r="G9" s="12" t="s">
        <v>1121</v>
      </c>
      <c r="H9" s="11">
        <v>0</v>
      </c>
      <c r="I9" s="11">
        <v>2</v>
      </c>
      <c r="J9" s="12" t="s">
        <v>1122</v>
      </c>
      <c r="K9" s="11">
        <v>2</v>
      </c>
      <c r="L9" s="11">
        <v>1</v>
      </c>
      <c r="M9" s="12" t="s">
        <v>1123</v>
      </c>
      <c r="N9" s="11">
        <v>1</v>
      </c>
      <c r="O9" s="11">
        <v>1</v>
      </c>
      <c r="P9" s="12" t="s">
        <v>1124</v>
      </c>
      <c r="Q9" s="11">
        <v>1</v>
      </c>
      <c r="R9" s="11">
        <v>2</v>
      </c>
      <c r="S9" s="12" t="s">
        <v>1125</v>
      </c>
      <c r="T9" s="11">
        <v>1</v>
      </c>
      <c r="U9" s="11">
        <v>1</v>
      </c>
      <c r="V9" s="12" t="s">
        <v>1126</v>
      </c>
      <c r="W9" s="11">
        <v>1</v>
      </c>
      <c r="X9" s="11">
        <v>1</v>
      </c>
      <c r="Y9" s="12" t="s">
        <v>1127</v>
      </c>
      <c r="Z9" s="11">
        <v>2</v>
      </c>
      <c r="AA9" s="11">
        <v>2</v>
      </c>
      <c r="AB9" s="12" t="s">
        <v>1128</v>
      </c>
      <c r="AC9" s="11">
        <v>1</v>
      </c>
      <c r="AD9" s="11">
        <v>2</v>
      </c>
      <c r="AE9" s="12" t="s">
        <v>1129</v>
      </c>
      <c r="AF9" s="11">
        <v>1</v>
      </c>
      <c r="AG9" s="11">
        <v>2</v>
      </c>
      <c r="AH9" s="12" t="s">
        <v>1130</v>
      </c>
      <c r="AI9" s="11">
        <v>1</v>
      </c>
      <c r="AJ9" s="11">
        <v>1</v>
      </c>
      <c r="AK9" s="12" t="s">
        <v>1131</v>
      </c>
      <c r="AL9" s="11">
        <v>2</v>
      </c>
      <c r="AM9" s="11">
        <v>0</v>
      </c>
      <c r="AN9" s="12" t="s">
        <v>1132</v>
      </c>
      <c r="AO9" s="11">
        <v>1</v>
      </c>
      <c r="AP9" s="11">
        <v>2</v>
      </c>
      <c r="AQ9" s="12" t="s">
        <v>1133</v>
      </c>
      <c r="AR9" s="11">
        <v>2</v>
      </c>
      <c r="AS9" s="11">
        <v>1</v>
      </c>
      <c r="AT9" s="12" t="s">
        <v>1134</v>
      </c>
      <c r="AU9" s="11">
        <v>1</v>
      </c>
      <c r="AV9" s="11">
        <v>1</v>
      </c>
      <c r="AW9" s="12" t="s">
        <v>1135</v>
      </c>
      <c r="AX9" s="14">
        <v>6.875</v>
      </c>
      <c r="AY9" s="14">
        <v>4.97</v>
      </c>
      <c r="AZ9" s="14">
        <v>7.8</v>
      </c>
      <c r="BA9" s="14">
        <v>6.205</v>
      </c>
      <c r="BB9" s="14">
        <v>5.704</v>
      </c>
      <c r="BC9" s="14">
        <v>5.84</v>
      </c>
    </row>
    <row r="10" ht="19.9" customHeight="1" spans="1:55">
      <c r="A10" s="10" t="s">
        <v>20</v>
      </c>
      <c r="B10" s="11">
        <v>2</v>
      </c>
      <c r="C10" s="11">
        <v>1</v>
      </c>
      <c r="D10" s="12" t="s">
        <v>1136</v>
      </c>
      <c r="E10" s="11">
        <v>0</v>
      </c>
      <c r="F10" s="11">
        <v>2</v>
      </c>
      <c r="G10" s="12" t="s">
        <v>1137</v>
      </c>
      <c r="H10" s="11">
        <v>0</v>
      </c>
      <c r="I10" s="11">
        <v>2</v>
      </c>
      <c r="J10" s="12" t="s">
        <v>1138</v>
      </c>
      <c r="K10" s="11">
        <v>2</v>
      </c>
      <c r="L10" s="11">
        <v>1</v>
      </c>
      <c r="M10" s="12" t="s">
        <v>1139</v>
      </c>
      <c r="N10" s="11">
        <v>1</v>
      </c>
      <c r="O10" s="11">
        <v>1</v>
      </c>
      <c r="P10" s="12" t="s">
        <v>1140</v>
      </c>
      <c r="Q10" s="11">
        <v>1</v>
      </c>
      <c r="R10" s="11">
        <v>2</v>
      </c>
      <c r="S10" s="12" t="s">
        <v>1141</v>
      </c>
      <c r="T10" s="11">
        <v>1</v>
      </c>
      <c r="U10" s="11">
        <v>1</v>
      </c>
      <c r="V10" s="12" t="s">
        <v>1142</v>
      </c>
      <c r="W10" s="11">
        <v>1</v>
      </c>
      <c r="X10" s="11">
        <v>1</v>
      </c>
      <c r="Y10" s="12" t="s">
        <v>1143</v>
      </c>
      <c r="Z10" s="11">
        <v>2</v>
      </c>
      <c r="AA10" s="11">
        <v>2</v>
      </c>
      <c r="AB10" s="12" t="s">
        <v>1144</v>
      </c>
      <c r="AC10" s="11">
        <v>1</v>
      </c>
      <c r="AD10" s="11">
        <v>2</v>
      </c>
      <c r="AE10" s="12" t="s">
        <v>1145</v>
      </c>
      <c r="AF10" s="11">
        <v>1</v>
      </c>
      <c r="AG10" s="11">
        <v>2</v>
      </c>
      <c r="AH10" s="12" t="s">
        <v>1146</v>
      </c>
      <c r="AI10" s="11">
        <v>2</v>
      </c>
      <c r="AJ10" s="11">
        <v>0</v>
      </c>
      <c r="AK10" s="12" t="s">
        <v>1147</v>
      </c>
      <c r="AL10" s="11">
        <v>2</v>
      </c>
      <c r="AM10" s="11">
        <v>0</v>
      </c>
      <c r="AN10" s="12" t="s">
        <v>1148</v>
      </c>
      <c r="AO10" s="11">
        <v>1</v>
      </c>
      <c r="AP10" s="11">
        <v>2</v>
      </c>
      <c r="AQ10" s="12" t="s">
        <v>1149</v>
      </c>
      <c r="AR10" s="11">
        <v>2</v>
      </c>
      <c r="AS10" s="11">
        <v>1</v>
      </c>
      <c r="AT10" s="12" t="s">
        <v>1150</v>
      </c>
      <c r="AU10" s="11">
        <v>1</v>
      </c>
      <c r="AV10" s="11">
        <v>1</v>
      </c>
      <c r="AW10" s="12" t="s">
        <v>1151</v>
      </c>
      <c r="AX10" s="14">
        <v>6.924</v>
      </c>
      <c r="AY10" s="14">
        <v>6.745</v>
      </c>
      <c r="AZ10" s="14">
        <v>8.3</v>
      </c>
      <c r="BA10" s="14">
        <v>7.465</v>
      </c>
      <c r="BB10" s="14">
        <v>5.674</v>
      </c>
      <c r="BC10" s="14">
        <v>5.83</v>
      </c>
    </row>
    <row r="11" ht="19.9" customHeight="1" spans="1:55">
      <c r="A11" s="10" t="s">
        <v>21</v>
      </c>
      <c r="B11" s="11">
        <v>2</v>
      </c>
      <c r="C11" s="11">
        <v>1</v>
      </c>
      <c r="D11" s="12" t="s">
        <v>1152</v>
      </c>
      <c r="E11" s="11">
        <v>0</v>
      </c>
      <c r="F11" s="11">
        <v>2</v>
      </c>
      <c r="G11" s="12" t="s">
        <v>1153</v>
      </c>
      <c r="H11" s="11">
        <v>1</v>
      </c>
      <c r="I11" s="11">
        <v>1</v>
      </c>
      <c r="J11" s="12" t="s">
        <v>1154</v>
      </c>
      <c r="K11" s="11">
        <v>2</v>
      </c>
      <c r="L11" s="11">
        <v>1</v>
      </c>
      <c r="M11" s="12" t="s">
        <v>1155</v>
      </c>
      <c r="N11" s="11">
        <v>1</v>
      </c>
      <c r="O11" s="11">
        <v>1</v>
      </c>
      <c r="P11" s="12" t="s">
        <v>1156</v>
      </c>
      <c r="Q11" s="11">
        <v>1</v>
      </c>
      <c r="R11" s="11">
        <v>2</v>
      </c>
      <c r="S11" s="12" t="s">
        <v>1157</v>
      </c>
      <c r="T11" s="11">
        <v>1</v>
      </c>
      <c r="U11" s="11">
        <v>1</v>
      </c>
      <c r="V11" s="12" t="s">
        <v>1158</v>
      </c>
      <c r="W11" s="11">
        <v>1</v>
      </c>
      <c r="X11" s="11">
        <v>1</v>
      </c>
      <c r="Y11" s="12" t="s">
        <v>1159</v>
      </c>
      <c r="Z11" s="11">
        <v>2</v>
      </c>
      <c r="AA11" s="11">
        <v>2</v>
      </c>
      <c r="AB11" s="12" t="s">
        <v>1160</v>
      </c>
      <c r="AC11" s="11">
        <v>1</v>
      </c>
      <c r="AD11" s="11">
        <v>2</v>
      </c>
      <c r="AE11" s="12" t="s">
        <v>1161</v>
      </c>
      <c r="AF11" s="11">
        <v>1</v>
      </c>
      <c r="AG11" s="11">
        <v>2</v>
      </c>
      <c r="AH11" s="12" t="s">
        <v>1162</v>
      </c>
      <c r="AI11" s="11">
        <v>2</v>
      </c>
      <c r="AJ11" s="11">
        <v>0</v>
      </c>
      <c r="AK11" s="12" t="s">
        <v>1163</v>
      </c>
      <c r="AL11" s="11">
        <v>2</v>
      </c>
      <c r="AM11" s="11">
        <v>0</v>
      </c>
      <c r="AN11" s="12" t="s">
        <v>1164</v>
      </c>
      <c r="AO11" s="11">
        <v>1</v>
      </c>
      <c r="AP11" s="11">
        <v>2</v>
      </c>
      <c r="AQ11" s="12" t="s">
        <v>1165</v>
      </c>
      <c r="AR11" s="11">
        <v>2</v>
      </c>
      <c r="AS11" s="11">
        <v>1</v>
      </c>
      <c r="AT11" s="12" t="s">
        <v>1166</v>
      </c>
      <c r="AU11" s="11">
        <v>1</v>
      </c>
      <c r="AV11" s="11">
        <v>1</v>
      </c>
      <c r="AW11" s="12" t="s">
        <v>1167</v>
      </c>
      <c r="AX11" s="14">
        <v>6.897</v>
      </c>
      <c r="AY11" s="14">
        <v>6.283</v>
      </c>
      <c r="AZ11" s="14">
        <v>7.58</v>
      </c>
      <c r="BA11" s="14">
        <v>6.831</v>
      </c>
      <c r="BB11" s="14">
        <v>5.431</v>
      </c>
      <c r="BC11" s="14">
        <v>5.51</v>
      </c>
    </row>
    <row r="12" ht="19.9" customHeight="1" spans="1:55">
      <c r="A12" s="10" t="s">
        <v>22</v>
      </c>
      <c r="B12" s="11">
        <v>2</v>
      </c>
      <c r="C12" s="11">
        <v>1</v>
      </c>
      <c r="D12" s="12" t="s">
        <v>1168</v>
      </c>
      <c r="E12" s="11">
        <v>0</v>
      </c>
      <c r="F12" s="11">
        <v>2</v>
      </c>
      <c r="G12" s="12" t="s">
        <v>1169</v>
      </c>
      <c r="H12" s="11">
        <v>1</v>
      </c>
      <c r="I12" s="11">
        <v>1</v>
      </c>
      <c r="J12" s="12" t="s">
        <v>1170</v>
      </c>
      <c r="K12" s="11">
        <v>2</v>
      </c>
      <c r="L12" s="11">
        <v>1</v>
      </c>
      <c r="M12" s="12" t="s">
        <v>1171</v>
      </c>
      <c r="N12" s="11">
        <v>1</v>
      </c>
      <c r="O12" s="11">
        <v>1</v>
      </c>
      <c r="P12" s="12" t="s">
        <v>1172</v>
      </c>
      <c r="Q12" s="11">
        <v>1</v>
      </c>
      <c r="R12" s="11">
        <v>2</v>
      </c>
      <c r="S12" s="12" t="s">
        <v>1173</v>
      </c>
      <c r="T12" s="11">
        <v>1</v>
      </c>
      <c r="U12" s="11">
        <v>1</v>
      </c>
      <c r="V12" s="12" t="s">
        <v>1174</v>
      </c>
      <c r="W12" s="11">
        <v>1</v>
      </c>
      <c r="X12" s="11">
        <v>1</v>
      </c>
      <c r="Y12" s="12" t="s">
        <v>1175</v>
      </c>
      <c r="Z12" s="11">
        <v>2</v>
      </c>
      <c r="AA12" s="11">
        <v>2</v>
      </c>
      <c r="AB12" s="12" t="s">
        <v>1176</v>
      </c>
      <c r="AC12" s="11">
        <v>0</v>
      </c>
      <c r="AD12" s="11">
        <v>3</v>
      </c>
      <c r="AE12" s="12" t="s">
        <v>1177</v>
      </c>
      <c r="AF12" s="11">
        <v>1</v>
      </c>
      <c r="AG12" s="11">
        <v>2</v>
      </c>
      <c r="AH12" s="12" t="s">
        <v>1178</v>
      </c>
      <c r="AI12" s="11">
        <v>2</v>
      </c>
      <c r="AJ12" s="11">
        <v>0</v>
      </c>
      <c r="AK12" s="12" t="s">
        <v>1179</v>
      </c>
      <c r="AL12" s="11">
        <v>1</v>
      </c>
      <c r="AM12" s="11">
        <v>1</v>
      </c>
      <c r="AN12" s="12" t="s">
        <v>1180</v>
      </c>
      <c r="AO12" s="11">
        <v>1</v>
      </c>
      <c r="AP12" s="11">
        <v>2</v>
      </c>
      <c r="AQ12" s="12" t="s">
        <v>1181</v>
      </c>
      <c r="AR12" s="11">
        <v>2</v>
      </c>
      <c r="AS12" s="11">
        <v>1</v>
      </c>
      <c r="AT12" s="12" t="s">
        <v>1182</v>
      </c>
      <c r="AU12" s="11">
        <v>1</v>
      </c>
      <c r="AV12" s="11">
        <v>1</v>
      </c>
      <c r="AW12" s="12" t="s">
        <v>1183</v>
      </c>
      <c r="AX12" s="14">
        <v>7.014</v>
      </c>
      <c r="AY12" s="14">
        <v>7.89</v>
      </c>
      <c r="AZ12" s="14">
        <v>8.06</v>
      </c>
      <c r="BA12" s="14">
        <v>7.191</v>
      </c>
      <c r="BB12" s="14">
        <v>5.542</v>
      </c>
      <c r="BC12" s="14">
        <v>5.77</v>
      </c>
    </row>
    <row r="13" ht="19.9" customHeight="1" spans="1:55">
      <c r="A13" s="10" t="s">
        <v>23</v>
      </c>
      <c r="B13" s="11">
        <v>2</v>
      </c>
      <c r="C13" s="11">
        <v>1</v>
      </c>
      <c r="D13" s="12" t="s">
        <v>1184</v>
      </c>
      <c r="E13" s="11">
        <v>0</v>
      </c>
      <c r="F13" s="11">
        <v>2</v>
      </c>
      <c r="G13" s="12" t="s">
        <v>1185</v>
      </c>
      <c r="H13" s="11">
        <v>1</v>
      </c>
      <c r="I13" s="11">
        <v>1</v>
      </c>
      <c r="J13" s="12" t="s">
        <v>1186</v>
      </c>
      <c r="K13" s="11">
        <v>2</v>
      </c>
      <c r="L13" s="11">
        <v>1</v>
      </c>
      <c r="M13" s="12" t="s">
        <v>1187</v>
      </c>
      <c r="N13" s="11">
        <v>1</v>
      </c>
      <c r="O13" s="11">
        <v>1</v>
      </c>
      <c r="P13" s="12" t="s">
        <v>1188</v>
      </c>
      <c r="Q13" s="11">
        <v>1</v>
      </c>
      <c r="R13" s="11">
        <v>2</v>
      </c>
      <c r="S13" s="12" t="s">
        <v>1189</v>
      </c>
      <c r="T13" s="11">
        <v>1</v>
      </c>
      <c r="U13" s="11">
        <v>1</v>
      </c>
      <c r="V13" s="12" t="s">
        <v>1190</v>
      </c>
      <c r="W13" s="11">
        <v>0</v>
      </c>
      <c r="X13" s="11">
        <v>2</v>
      </c>
      <c r="Y13" s="12" t="s">
        <v>1191</v>
      </c>
      <c r="Z13" s="11">
        <v>2</v>
      </c>
      <c r="AA13" s="11">
        <v>2</v>
      </c>
      <c r="AB13" s="12" t="s">
        <v>1192</v>
      </c>
      <c r="AC13" s="11">
        <v>0</v>
      </c>
      <c r="AD13" s="11">
        <v>3</v>
      </c>
      <c r="AE13" s="12" t="s">
        <v>1193</v>
      </c>
      <c r="AF13" s="11">
        <v>1</v>
      </c>
      <c r="AG13" s="11">
        <v>2</v>
      </c>
      <c r="AH13" s="12" t="s">
        <v>1194</v>
      </c>
      <c r="AI13" s="11">
        <v>2</v>
      </c>
      <c r="AJ13" s="11">
        <v>0</v>
      </c>
      <c r="AK13" s="12" t="s">
        <v>1195</v>
      </c>
      <c r="AL13" s="11">
        <v>1</v>
      </c>
      <c r="AM13" s="11">
        <v>1</v>
      </c>
      <c r="AN13" s="12" t="s">
        <v>1196</v>
      </c>
      <c r="AO13" s="11">
        <v>1</v>
      </c>
      <c r="AP13" s="11">
        <v>2</v>
      </c>
      <c r="AQ13" s="12" t="s">
        <v>1197</v>
      </c>
      <c r="AR13" s="11">
        <v>2</v>
      </c>
      <c r="AS13" s="11">
        <v>1</v>
      </c>
      <c r="AT13" s="12" t="s">
        <v>1198</v>
      </c>
      <c r="AU13" s="11">
        <v>1</v>
      </c>
      <c r="AV13" s="11">
        <v>1</v>
      </c>
      <c r="AW13" s="12" t="s">
        <v>1199</v>
      </c>
      <c r="AX13" s="14">
        <v>7.023</v>
      </c>
      <c r="AY13" s="14">
        <v>7.822</v>
      </c>
      <c r="AZ13" s="14">
        <v>8.02</v>
      </c>
      <c r="BA13" s="14">
        <v>7.162</v>
      </c>
      <c r="BB13" s="14">
        <v>5.784</v>
      </c>
      <c r="BC13" s="14">
        <v>5.99</v>
      </c>
    </row>
    <row r="14" ht="19.9" customHeight="1" spans="1:55">
      <c r="A14" s="10" t="s">
        <v>24</v>
      </c>
      <c r="B14" s="11">
        <v>2</v>
      </c>
      <c r="C14" s="11">
        <v>1</v>
      </c>
      <c r="D14" s="12" t="s">
        <v>1200</v>
      </c>
      <c r="E14" s="11">
        <v>0</v>
      </c>
      <c r="F14" s="11">
        <v>2</v>
      </c>
      <c r="G14" s="12" t="s">
        <v>1201</v>
      </c>
      <c r="H14" s="11">
        <v>1</v>
      </c>
      <c r="I14" s="11">
        <v>1</v>
      </c>
      <c r="J14" s="12" t="s">
        <v>1202</v>
      </c>
      <c r="K14" s="11">
        <v>2</v>
      </c>
      <c r="L14" s="11">
        <v>1</v>
      </c>
      <c r="M14" s="12" t="s">
        <v>1203</v>
      </c>
      <c r="N14" s="11">
        <v>1</v>
      </c>
      <c r="O14" s="11">
        <v>1</v>
      </c>
      <c r="P14" s="12" t="s">
        <v>1204</v>
      </c>
      <c r="Q14" s="11">
        <v>1</v>
      </c>
      <c r="R14" s="11">
        <v>2</v>
      </c>
      <c r="S14" s="12" t="s">
        <v>1205</v>
      </c>
      <c r="T14" s="11">
        <v>1</v>
      </c>
      <c r="U14" s="11">
        <v>1</v>
      </c>
      <c r="V14" s="12" t="s">
        <v>1206</v>
      </c>
      <c r="W14" s="11">
        <v>0</v>
      </c>
      <c r="X14" s="11">
        <v>2</v>
      </c>
      <c r="Y14" s="12" t="s">
        <v>1207</v>
      </c>
      <c r="Z14" s="11">
        <v>2</v>
      </c>
      <c r="AA14" s="11">
        <v>2</v>
      </c>
      <c r="AB14" s="12" t="s">
        <v>1208</v>
      </c>
      <c r="AC14" s="11">
        <v>0</v>
      </c>
      <c r="AD14" s="11">
        <v>3</v>
      </c>
      <c r="AE14" s="12" t="s">
        <v>1209</v>
      </c>
      <c r="AF14" s="11">
        <v>1</v>
      </c>
      <c r="AG14" s="11">
        <v>2</v>
      </c>
      <c r="AH14" s="12" t="s">
        <v>1210</v>
      </c>
      <c r="AI14" s="11">
        <v>2</v>
      </c>
      <c r="AJ14" s="11">
        <v>0</v>
      </c>
      <c r="AK14" s="12" t="s">
        <v>1211</v>
      </c>
      <c r="AL14" s="11">
        <v>1</v>
      </c>
      <c r="AM14" s="11">
        <v>1</v>
      </c>
      <c r="AN14" s="12" t="s">
        <v>1212</v>
      </c>
      <c r="AO14" s="11">
        <v>0</v>
      </c>
      <c r="AP14" s="11">
        <v>3</v>
      </c>
      <c r="AQ14" s="12" t="s">
        <v>1213</v>
      </c>
      <c r="AR14" s="11">
        <v>2</v>
      </c>
      <c r="AS14" s="11">
        <v>1</v>
      </c>
      <c r="AT14" s="12" t="s">
        <v>1214</v>
      </c>
      <c r="AU14" s="11">
        <v>1</v>
      </c>
      <c r="AV14" s="11">
        <v>1</v>
      </c>
      <c r="AW14" s="12" t="s">
        <v>1215</v>
      </c>
      <c r="AX14" s="14">
        <v>7.085</v>
      </c>
      <c r="AY14" s="14">
        <v>5.978</v>
      </c>
      <c r="AZ14" s="14">
        <v>7.94</v>
      </c>
      <c r="BA14" s="14">
        <v>7.18</v>
      </c>
      <c r="BB14" s="14">
        <v>5.677</v>
      </c>
      <c r="BC14" s="14">
        <v>5.75</v>
      </c>
    </row>
    <row r="15" ht="19.9" customHeight="1" spans="1:55">
      <c r="A15" s="10" t="s">
        <v>25</v>
      </c>
      <c r="B15" s="11">
        <v>2</v>
      </c>
      <c r="C15" s="11">
        <v>1</v>
      </c>
      <c r="D15" s="12" t="s">
        <v>1216</v>
      </c>
      <c r="E15" s="11">
        <v>0</v>
      </c>
      <c r="F15" s="11">
        <v>2</v>
      </c>
      <c r="G15" s="12" t="s">
        <v>1217</v>
      </c>
      <c r="H15" s="11">
        <v>1</v>
      </c>
      <c r="I15" s="11">
        <v>1</v>
      </c>
      <c r="J15" s="12" t="s">
        <v>1218</v>
      </c>
      <c r="K15" s="11">
        <v>2</v>
      </c>
      <c r="L15" s="11">
        <v>1</v>
      </c>
      <c r="M15" s="12" t="s">
        <v>1219</v>
      </c>
      <c r="N15" s="11">
        <v>1</v>
      </c>
      <c r="O15" s="11">
        <v>1</v>
      </c>
      <c r="P15" s="12" t="s">
        <v>1220</v>
      </c>
      <c r="Q15" s="11">
        <v>1</v>
      </c>
      <c r="R15" s="11">
        <v>2</v>
      </c>
      <c r="S15" s="12" t="s">
        <v>1221</v>
      </c>
      <c r="T15" s="11">
        <v>1</v>
      </c>
      <c r="U15" s="11">
        <v>1</v>
      </c>
      <c r="V15" s="12" t="s">
        <v>1222</v>
      </c>
      <c r="W15" s="11">
        <v>0</v>
      </c>
      <c r="X15" s="11">
        <v>2</v>
      </c>
      <c r="Y15" s="12" t="s">
        <v>1223</v>
      </c>
      <c r="Z15" s="11">
        <v>2</v>
      </c>
      <c r="AA15" s="11">
        <v>2</v>
      </c>
      <c r="AB15" s="12" t="s">
        <v>1224</v>
      </c>
      <c r="AC15" s="11">
        <v>0</v>
      </c>
      <c r="AD15" s="11">
        <v>3</v>
      </c>
      <c r="AE15" s="12" t="s">
        <v>1225</v>
      </c>
      <c r="AF15" s="11">
        <v>1</v>
      </c>
      <c r="AG15" s="11">
        <v>2</v>
      </c>
      <c r="AH15" s="12" t="s">
        <v>1226</v>
      </c>
      <c r="AI15" s="11">
        <v>2</v>
      </c>
      <c r="AJ15" s="11">
        <v>0</v>
      </c>
      <c r="AK15" s="12" t="s">
        <v>1227</v>
      </c>
      <c r="AL15" s="11">
        <v>1</v>
      </c>
      <c r="AM15" s="11">
        <v>1</v>
      </c>
      <c r="AN15" s="12" t="s">
        <v>1228</v>
      </c>
      <c r="AO15" s="11">
        <v>0</v>
      </c>
      <c r="AP15" s="11">
        <v>3</v>
      </c>
      <c r="AQ15" s="12" t="s">
        <v>1229</v>
      </c>
      <c r="AR15" s="11">
        <v>2</v>
      </c>
      <c r="AS15" s="11">
        <v>1</v>
      </c>
      <c r="AT15" s="12" t="s">
        <v>1230</v>
      </c>
      <c r="AU15" s="11">
        <v>1</v>
      </c>
      <c r="AV15" s="11">
        <v>1</v>
      </c>
      <c r="AW15" s="12" t="s">
        <v>1231</v>
      </c>
      <c r="AX15" s="14">
        <v>6.952</v>
      </c>
      <c r="AY15" s="14">
        <v>7.939</v>
      </c>
      <c r="AZ15" s="14">
        <v>8.53</v>
      </c>
      <c r="BA15" s="14">
        <v>7.111</v>
      </c>
      <c r="BB15" s="14">
        <v>5.243</v>
      </c>
      <c r="BC15" s="14">
        <v>5.3</v>
      </c>
    </row>
    <row r="16" ht="19.9" customHeight="1" spans="1:55">
      <c r="A16" s="10" t="s">
        <v>26</v>
      </c>
      <c r="B16" s="11">
        <v>2</v>
      </c>
      <c r="C16" s="11">
        <v>1</v>
      </c>
      <c r="D16" s="12" t="s">
        <v>1232</v>
      </c>
      <c r="E16" s="11">
        <v>0</v>
      </c>
      <c r="F16" s="11">
        <v>2</v>
      </c>
      <c r="G16" s="12" t="s">
        <v>1233</v>
      </c>
      <c r="H16" s="11">
        <v>1</v>
      </c>
      <c r="I16" s="11">
        <v>1</v>
      </c>
      <c r="J16" s="12" t="s">
        <v>1234</v>
      </c>
      <c r="K16" s="11">
        <v>1</v>
      </c>
      <c r="L16" s="11">
        <v>2</v>
      </c>
      <c r="M16" s="12" t="s">
        <v>1235</v>
      </c>
      <c r="N16" s="11">
        <v>1</v>
      </c>
      <c r="O16" s="11">
        <v>1</v>
      </c>
      <c r="P16" s="12" t="s">
        <v>1236</v>
      </c>
      <c r="Q16" s="11">
        <v>1</v>
      </c>
      <c r="R16" s="11">
        <v>2</v>
      </c>
      <c r="S16" s="12" t="s">
        <v>1237</v>
      </c>
      <c r="T16" s="11">
        <v>1</v>
      </c>
      <c r="U16" s="11">
        <v>1</v>
      </c>
      <c r="V16" s="12" t="s">
        <v>1238</v>
      </c>
      <c r="W16" s="11">
        <v>0</v>
      </c>
      <c r="X16" s="11">
        <v>2</v>
      </c>
      <c r="Y16" s="12" t="s">
        <v>1239</v>
      </c>
      <c r="Z16" s="11">
        <v>0</v>
      </c>
      <c r="AA16" s="11">
        <v>4</v>
      </c>
      <c r="AB16" s="12" t="s">
        <v>1240</v>
      </c>
      <c r="AC16" s="11">
        <v>0</v>
      </c>
      <c r="AD16" s="11">
        <v>3</v>
      </c>
      <c r="AE16" s="12" t="s">
        <v>1241</v>
      </c>
      <c r="AF16" s="11">
        <v>1</v>
      </c>
      <c r="AG16" s="11">
        <v>2</v>
      </c>
      <c r="AH16" s="12" t="s">
        <v>1242</v>
      </c>
      <c r="AI16" s="11">
        <v>2</v>
      </c>
      <c r="AJ16" s="11">
        <v>0</v>
      </c>
      <c r="AK16" s="12" t="s">
        <v>1243</v>
      </c>
      <c r="AL16" s="11">
        <v>1</v>
      </c>
      <c r="AM16" s="11">
        <v>1</v>
      </c>
      <c r="AN16" s="12" t="s">
        <v>1244</v>
      </c>
      <c r="AO16" s="11">
        <v>0</v>
      </c>
      <c r="AP16" s="11">
        <v>3</v>
      </c>
      <c r="AQ16" s="12" t="s">
        <v>1245</v>
      </c>
      <c r="AR16" s="11">
        <v>2</v>
      </c>
      <c r="AS16" s="11">
        <v>1</v>
      </c>
      <c r="AT16" s="12" t="s">
        <v>1246</v>
      </c>
      <c r="AU16" s="11">
        <v>1</v>
      </c>
      <c r="AV16" s="11">
        <v>1</v>
      </c>
      <c r="AW16" s="12" t="s">
        <v>1247</v>
      </c>
      <c r="AX16" s="14">
        <v>7.246</v>
      </c>
      <c r="AY16" s="14">
        <v>8.915</v>
      </c>
      <c r="AZ16" s="14">
        <v>8.24</v>
      </c>
      <c r="BA16" s="14">
        <v>7.194</v>
      </c>
      <c r="BB16" s="14">
        <v>5.421</v>
      </c>
      <c r="BC16" s="14">
        <v>5.59</v>
      </c>
    </row>
    <row r="17" ht="19.9" customHeight="1" spans="1:55">
      <c r="A17" s="10" t="s">
        <v>27</v>
      </c>
      <c r="B17" s="11">
        <v>2</v>
      </c>
      <c r="C17" s="11">
        <v>1</v>
      </c>
      <c r="D17" s="12" t="s">
        <v>1248</v>
      </c>
      <c r="E17" s="11">
        <v>0</v>
      </c>
      <c r="F17" s="11">
        <v>2</v>
      </c>
      <c r="G17" s="12" t="s">
        <v>1249</v>
      </c>
      <c r="H17" s="11">
        <v>1</v>
      </c>
      <c r="I17" s="11">
        <v>1</v>
      </c>
      <c r="J17" s="12" t="s">
        <v>1250</v>
      </c>
      <c r="K17" s="11">
        <v>1</v>
      </c>
      <c r="L17" s="11">
        <v>2</v>
      </c>
      <c r="M17" s="12" t="s">
        <v>1251</v>
      </c>
      <c r="N17" s="11">
        <v>1</v>
      </c>
      <c r="O17" s="11">
        <v>1</v>
      </c>
      <c r="P17" s="12" t="s">
        <v>1252</v>
      </c>
      <c r="Q17" s="11">
        <v>1</v>
      </c>
      <c r="R17" s="11">
        <v>2</v>
      </c>
      <c r="S17" s="12" t="s">
        <v>1253</v>
      </c>
      <c r="T17" s="11">
        <v>1</v>
      </c>
      <c r="U17" s="11">
        <v>1</v>
      </c>
      <c r="V17" s="12" t="s">
        <v>1254</v>
      </c>
      <c r="W17" s="11">
        <v>0</v>
      </c>
      <c r="X17" s="11">
        <v>2</v>
      </c>
      <c r="Y17" s="12" t="s">
        <v>1255</v>
      </c>
      <c r="Z17" s="11">
        <v>0</v>
      </c>
      <c r="AA17" s="11">
        <v>4</v>
      </c>
      <c r="AB17" s="12" t="s">
        <v>1256</v>
      </c>
      <c r="AC17" s="11">
        <v>0</v>
      </c>
      <c r="AD17" s="11">
        <v>3</v>
      </c>
      <c r="AE17" s="12" t="s">
        <v>1257</v>
      </c>
      <c r="AF17" s="11">
        <v>1</v>
      </c>
      <c r="AG17" s="11">
        <v>2</v>
      </c>
      <c r="AH17" s="12" t="s">
        <v>1258</v>
      </c>
      <c r="AI17" s="11">
        <v>2</v>
      </c>
      <c r="AJ17" s="11">
        <v>0</v>
      </c>
      <c r="AK17" s="12" t="s">
        <v>1259</v>
      </c>
      <c r="AL17" s="11">
        <v>1</v>
      </c>
      <c r="AM17" s="11">
        <v>1</v>
      </c>
      <c r="AN17" s="12" t="s">
        <v>1260</v>
      </c>
      <c r="AO17" s="11">
        <v>0</v>
      </c>
      <c r="AP17" s="11">
        <v>3</v>
      </c>
      <c r="AQ17" s="12" t="s">
        <v>1261</v>
      </c>
      <c r="AR17" s="11">
        <v>2</v>
      </c>
      <c r="AS17" s="11">
        <v>1</v>
      </c>
      <c r="AT17" s="12" t="s">
        <v>1262</v>
      </c>
      <c r="AU17" s="11">
        <v>1</v>
      </c>
      <c r="AV17" s="11">
        <v>1</v>
      </c>
      <c r="AW17" s="12" t="s">
        <v>1263</v>
      </c>
      <c r="AX17" s="14">
        <v>7.137</v>
      </c>
      <c r="AY17" s="14">
        <v>8.87</v>
      </c>
      <c r="AZ17" s="14">
        <v>7.61</v>
      </c>
      <c r="BA17" s="14">
        <v>6.743</v>
      </c>
      <c r="BB17" s="14">
        <v>5.775</v>
      </c>
      <c r="BC17" s="14">
        <v>5.82</v>
      </c>
    </row>
    <row r="18" ht="19.9" customHeight="1" spans="1:55">
      <c r="A18" s="10" t="s">
        <v>28</v>
      </c>
      <c r="B18" s="11">
        <v>2</v>
      </c>
      <c r="C18" s="11">
        <v>1</v>
      </c>
      <c r="D18" s="12" t="s">
        <v>1264</v>
      </c>
      <c r="E18" s="11">
        <v>0</v>
      </c>
      <c r="F18" s="11">
        <v>2</v>
      </c>
      <c r="G18" s="12" t="s">
        <v>1265</v>
      </c>
      <c r="H18" s="11">
        <v>1</v>
      </c>
      <c r="I18" s="11">
        <v>1</v>
      </c>
      <c r="J18" s="12" t="s">
        <v>1266</v>
      </c>
      <c r="K18" s="11">
        <v>1</v>
      </c>
      <c r="L18" s="11">
        <v>2</v>
      </c>
      <c r="M18" s="12" t="s">
        <v>1267</v>
      </c>
      <c r="N18" s="11">
        <v>1</v>
      </c>
      <c r="O18" s="11">
        <v>1</v>
      </c>
      <c r="P18" s="12" t="s">
        <v>1268</v>
      </c>
      <c r="Q18" s="11">
        <v>1</v>
      </c>
      <c r="R18" s="11">
        <v>2</v>
      </c>
      <c r="S18" s="12" t="s">
        <v>1269</v>
      </c>
      <c r="T18" s="11">
        <v>1</v>
      </c>
      <c r="U18" s="11">
        <v>1</v>
      </c>
      <c r="V18" s="12" t="s">
        <v>1270</v>
      </c>
      <c r="W18" s="11">
        <v>0</v>
      </c>
      <c r="X18" s="11">
        <v>2</v>
      </c>
      <c r="Y18" s="12" t="s">
        <v>1271</v>
      </c>
      <c r="Z18" s="11">
        <v>2</v>
      </c>
      <c r="AA18" s="11">
        <v>2</v>
      </c>
      <c r="AB18" s="12" t="s">
        <v>1272</v>
      </c>
      <c r="AC18" s="11">
        <v>0</v>
      </c>
      <c r="AD18" s="11">
        <v>3</v>
      </c>
      <c r="AE18" s="12" t="s">
        <v>1273</v>
      </c>
      <c r="AF18" s="11">
        <v>1</v>
      </c>
      <c r="AG18" s="11">
        <v>2</v>
      </c>
      <c r="AH18" s="12" t="s">
        <v>1274</v>
      </c>
      <c r="AI18" s="11">
        <v>2</v>
      </c>
      <c r="AJ18" s="11">
        <v>0</v>
      </c>
      <c r="AK18" s="12" t="s">
        <v>1275</v>
      </c>
      <c r="AL18" s="11">
        <v>1</v>
      </c>
      <c r="AM18" s="11">
        <v>1</v>
      </c>
      <c r="AN18" s="12" t="s">
        <v>1276</v>
      </c>
      <c r="AO18" s="11">
        <v>0</v>
      </c>
      <c r="AP18" s="11">
        <v>3</v>
      </c>
      <c r="AQ18" s="12" t="s">
        <v>1277</v>
      </c>
      <c r="AR18" s="11">
        <v>2</v>
      </c>
      <c r="AS18" s="11">
        <v>1</v>
      </c>
      <c r="AT18" s="12" t="s">
        <v>1278</v>
      </c>
      <c r="AU18" s="11">
        <v>1</v>
      </c>
      <c r="AV18" s="11">
        <v>1</v>
      </c>
      <c r="AW18" s="12" t="s">
        <v>1279</v>
      </c>
      <c r="AX18" s="14">
        <v>6.985</v>
      </c>
      <c r="AY18" s="14">
        <v>6.205</v>
      </c>
      <c r="AZ18" s="14">
        <v>7.94</v>
      </c>
      <c r="BA18" s="14">
        <v>7.422</v>
      </c>
      <c r="BB18" s="14">
        <v>5.609</v>
      </c>
      <c r="BC18" s="14">
        <v>5.67</v>
      </c>
    </row>
    <row r="19" ht="19.9" customHeight="1" spans="1:55">
      <c r="A19" s="10" t="s">
        <v>29</v>
      </c>
      <c r="B19" s="11">
        <v>2</v>
      </c>
      <c r="C19" s="11">
        <v>1</v>
      </c>
      <c r="D19" s="12" t="s">
        <v>1280</v>
      </c>
      <c r="E19" s="11">
        <v>0</v>
      </c>
      <c r="F19" s="11">
        <v>2</v>
      </c>
      <c r="G19" s="12" t="s">
        <v>1281</v>
      </c>
      <c r="H19" s="11">
        <v>1</v>
      </c>
      <c r="I19" s="11">
        <v>1</v>
      </c>
      <c r="J19" s="12" t="s">
        <v>1282</v>
      </c>
      <c r="K19" s="11">
        <v>1</v>
      </c>
      <c r="L19" s="11">
        <v>2</v>
      </c>
      <c r="M19" s="12" t="s">
        <v>1283</v>
      </c>
      <c r="N19" s="11">
        <v>1</v>
      </c>
      <c r="O19" s="11">
        <v>1</v>
      </c>
      <c r="P19" s="12" t="s">
        <v>1284</v>
      </c>
      <c r="Q19" s="11">
        <v>1</v>
      </c>
      <c r="R19" s="11">
        <v>2</v>
      </c>
      <c r="S19" s="12" t="s">
        <v>1285</v>
      </c>
      <c r="T19" s="11">
        <v>1</v>
      </c>
      <c r="U19" s="11">
        <v>1</v>
      </c>
      <c r="V19" s="12" t="s">
        <v>1286</v>
      </c>
      <c r="W19" s="11">
        <v>1</v>
      </c>
      <c r="X19" s="11">
        <v>1</v>
      </c>
      <c r="Y19" s="12" t="s">
        <v>1287</v>
      </c>
      <c r="Z19" s="11">
        <v>2</v>
      </c>
      <c r="AA19" s="11">
        <v>2</v>
      </c>
      <c r="AB19" s="12" t="s">
        <v>1288</v>
      </c>
      <c r="AC19" s="11">
        <v>0</v>
      </c>
      <c r="AD19" s="11">
        <v>3</v>
      </c>
      <c r="AE19" s="12" t="s">
        <v>1289</v>
      </c>
      <c r="AF19" s="11">
        <v>1</v>
      </c>
      <c r="AG19" s="11">
        <v>2</v>
      </c>
      <c r="AH19" s="12" t="s">
        <v>1290</v>
      </c>
      <c r="AI19" s="11">
        <v>2</v>
      </c>
      <c r="AJ19" s="11">
        <v>0</v>
      </c>
      <c r="AK19" s="12" t="s">
        <v>1291</v>
      </c>
      <c r="AL19" s="11">
        <v>1</v>
      </c>
      <c r="AM19" s="11">
        <v>1</v>
      </c>
      <c r="AN19" s="12" t="s">
        <v>1292</v>
      </c>
      <c r="AO19" s="11">
        <v>1</v>
      </c>
      <c r="AP19" s="11">
        <v>2</v>
      </c>
      <c r="AQ19" s="12" t="s">
        <v>1293</v>
      </c>
      <c r="AR19" s="11">
        <v>2</v>
      </c>
      <c r="AS19" s="11">
        <v>1</v>
      </c>
      <c r="AT19" s="12" t="s">
        <v>1294</v>
      </c>
      <c r="AU19" s="11">
        <v>1</v>
      </c>
      <c r="AV19" s="11">
        <v>1</v>
      </c>
      <c r="AW19" s="12" t="s">
        <v>1295</v>
      </c>
      <c r="AX19" s="14">
        <v>6.98</v>
      </c>
      <c r="AY19" s="14">
        <v>6.162</v>
      </c>
      <c r="AZ19" s="14">
        <v>8.09</v>
      </c>
      <c r="BA19" s="14">
        <v>6.951</v>
      </c>
      <c r="BB19" s="14">
        <v>5.595</v>
      </c>
      <c r="BC19" s="14">
        <v>5.64</v>
      </c>
    </row>
    <row r="20" ht="19.9" customHeight="1" spans="1:55">
      <c r="A20" s="10" t="s">
        <v>30</v>
      </c>
      <c r="B20" s="11">
        <v>2</v>
      </c>
      <c r="C20" s="11">
        <v>1</v>
      </c>
      <c r="D20" s="12" t="s">
        <v>1296</v>
      </c>
      <c r="E20" s="11">
        <v>0</v>
      </c>
      <c r="F20" s="11">
        <v>2</v>
      </c>
      <c r="G20" s="12" t="s">
        <v>1297</v>
      </c>
      <c r="H20" s="11">
        <v>0</v>
      </c>
      <c r="I20" s="11">
        <v>1</v>
      </c>
      <c r="J20" s="12" t="s">
        <v>1298</v>
      </c>
      <c r="K20" s="11">
        <v>1</v>
      </c>
      <c r="L20" s="11">
        <v>2</v>
      </c>
      <c r="M20" s="12" t="s">
        <v>1299</v>
      </c>
      <c r="N20" s="11">
        <v>1</v>
      </c>
      <c r="O20" s="11">
        <v>1</v>
      </c>
      <c r="P20" s="12" t="s">
        <v>1300</v>
      </c>
      <c r="Q20" s="11">
        <v>1</v>
      </c>
      <c r="R20" s="11">
        <v>2</v>
      </c>
      <c r="S20" s="12" t="s">
        <v>1301</v>
      </c>
      <c r="T20" s="11">
        <v>1</v>
      </c>
      <c r="U20" s="11">
        <v>1</v>
      </c>
      <c r="V20" s="12" t="s">
        <v>1302</v>
      </c>
      <c r="W20" s="11">
        <v>1</v>
      </c>
      <c r="X20" s="11">
        <v>1</v>
      </c>
      <c r="Y20" s="12" t="s">
        <v>1303</v>
      </c>
      <c r="Z20" s="11">
        <v>2</v>
      </c>
      <c r="AA20" s="11">
        <v>2</v>
      </c>
      <c r="AB20" s="12" t="s">
        <v>1304</v>
      </c>
      <c r="AC20" s="11">
        <v>0</v>
      </c>
      <c r="AD20" s="11">
        <v>3</v>
      </c>
      <c r="AE20" s="12" t="s">
        <v>1305</v>
      </c>
      <c r="AF20" s="11">
        <v>1</v>
      </c>
      <c r="AG20" s="11">
        <v>2</v>
      </c>
      <c r="AH20" s="12" t="s">
        <v>1306</v>
      </c>
      <c r="AI20" s="11">
        <v>2</v>
      </c>
      <c r="AJ20" s="11">
        <v>0</v>
      </c>
      <c r="AK20" s="12" t="s">
        <v>1307</v>
      </c>
      <c r="AL20" s="11">
        <v>1</v>
      </c>
      <c r="AM20" s="11">
        <v>1</v>
      </c>
      <c r="AN20" s="12" t="s">
        <v>1308</v>
      </c>
      <c r="AO20" s="11">
        <v>0</v>
      </c>
      <c r="AP20" s="11">
        <v>3</v>
      </c>
      <c r="AQ20" s="12" t="s">
        <v>1309</v>
      </c>
      <c r="AR20" s="11">
        <v>2</v>
      </c>
      <c r="AS20" s="11">
        <v>1</v>
      </c>
      <c r="AT20" s="12" t="s">
        <v>1310</v>
      </c>
      <c r="AU20" s="11">
        <v>1</v>
      </c>
      <c r="AV20" s="11">
        <v>1</v>
      </c>
      <c r="AW20" s="12" t="s">
        <v>1311</v>
      </c>
      <c r="AX20" s="14">
        <v>7.117</v>
      </c>
      <c r="AY20" s="14">
        <v>5.611</v>
      </c>
      <c r="AZ20" s="14">
        <v>8.89</v>
      </c>
      <c r="BA20" s="14">
        <v>7.17</v>
      </c>
      <c r="BB20" s="14">
        <v>5.595</v>
      </c>
      <c r="BC20" s="14">
        <v>5.62</v>
      </c>
    </row>
    <row r="21" ht="19.9" customHeight="1" spans="1:55">
      <c r="A21" s="10" t="s">
        <v>31</v>
      </c>
      <c r="B21" s="11">
        <v>2</v>
      </c>
      <c r="C21" s="11">
        <v>1</v>
      </c>
      <c r="D21" s="12" t="s">
        <v>1312</v>
      </c>
      <c r="E21" s="11">
        <v>0</v>
      </c>
      <c r="F21" s="11">
        <v>2</v>
      </c>
      <c r="G21" s="12" t="s">
        <v>1313</v>
      </c>
      <c r="H21" s="11">
        <v>0</v>
      </c>
      <c r="I21" s="11">
        <v>2</v>
      </c>
      <c r="J21" s="12" t="s">
        <v>1314</v>
      </c>
      <c r="K21" s="11">
        <v>1</v>
      </c>
      <c r="L21" s="11">
        <v>2</v>
      </c>
      <c r="M21" s="12" t="s">
        <v>1315</v>
      </c>
      <c r="N21" s="11">
        <v>1</v>
      </c>
      <c r="O21" s="11">
        <v>1</v>
      </c>
      <c r="P21" s="12" t="s">
        <v>1316</v>
      </c>
      <c r="Q21" s="11">
        <v>1</v>
      </c>
      <c r="R21" s="11">
        <v>2</v>
      </c>
      <c r="S21" s="12" t="s">
        <v>1317</v>
      </c>
      <c r="T21" s="11">
        <v>1</v>
      </c>
      <c r="U21" s="11">
        <v>1</v>
      </c>
      <c r="V21" s="12" t="s">
        <v>1318</v>
      </c>
      <c r="W21" s="11">
        <v>1</v>
      </c>
      <c r="X21" s="11">
        <v>1</v>
      </c>
      <c r="Y21" s="12" t="s">
        <v>1319</v>
      </c>
      <c r="Z21" s="11">
        <v>2</v>
      </c>
      <c r="AA21" s="11">
        <v>2</v>
      </c>
      <c r="AB21" s="12" t="s">
        <v>1320</v>
      </c>
      <c r="AC21" s="11">
        <v>0</v>
      </c>
      <c r="AD21" s="11">
        <v>3</v>
      </c>
      <c r="AE21" s="12" t="s">
        <v>1321</v>
      </c>
      <c r="AF21" s="11">
        <v>1</v>
      </c>
      <c r="AG21" s="11">
        <v>2</v>
      </c>
      <c r="AH21" s="12" t="s">
        <v>1322</v>
      </c>
      <c r="AI21" s="11">
        <v>2</v>
      </c>
      <c r="AJ21" s="11">
        <v>0</v>
      </c>
      <c r="AK21" s="12" t="s">
        <v>1323</v>
      </c>
      <c r="AL21" s="11">
        <v>1</v>
      </c>
      <c r="AM21" s="11">
        <v>1</v>
      </c>
      <c r="AN21" s="12" t="s">
        <v>1324</v>
      </c>
      <c r="AO21" s="11">
        <v>1</v>
      </c>
      <c r="AP21" s="11">
        <v>2</v>
      </c>
      <c r="AQ21" s="12" t="s">
        <v>1325</v>
      </c>
      <c r="AR21" s="11">
        <v>2</v>
      </c>
      <c r="AS21" s="11">
        <v>1</v>
      </c>
      <c r="AT21" s="12" t="s">
        <v>1326</v>
      </c>
      <c r="AU21" s="11">
        <v>1</v>
      </c>
      <c r="AV21" s="11">
        <v>1</v>
      </c>
      <c r="AW21" s="12" t="s">
        <v>1327</v>
      </c>
      <c r="AX21" s="14">
        <v>7.127</v>
      </c>
      <c r="AY21" s="14">
        <v>5.534</v>
      </c>
      <c r="AZ21" s="14">
        <v>7.28</v>
      </c>
      <c r="BA21" s="14">
        <v>6.476</v>
      </c>
      <c r="BB21" s="14">
        <v>5.561</v>
      </c>
      <c r="BC21" s="14">
        <v>5.59</v>
      </c>
    </row>
    <row r="22" ht="19.9" customHeight="1" spans="1:55">
      <c r="A22" s="10" t="s">
        <v>32</v>
      </c>
      <c r="B22" s="11">
        <v>2</v>
      </c>
      <c r="C22" s="11">
        <v>1</v>
      </c>
      <c r="D22" s="12" t="s">
        <v>1328</v>
      </c>
      <c r="E22" s="11">
        <v>0</v>
      </c>
      <c r="F22" s="11">
        <v>2</v>
      </c>
      <c r="G22" s="12" t="s">
        <v>1329</v>
      </c>
      <c r="H22" s="11">
        <v>0</v>
      </c>
      <c r="I22" s="11">
        <v>2</v>
      </c>
      <c r="J22" s="12" t="s">
        <v>1330</v>
      </c>
      <c r="K22" s="11">
        <v>1</v>
      </c>
      <c r="L22" s="11">
        <v>2</v>
      </c>
      <c r="M22" s="12" t="s">
        <v>1331</v>
      </c>
      <c r="N22" s="11">
        <v>1</v>
      </c>
      <c r="O22" s="11">
        <v>1</v>
      </c>
      <c r="P22" s="12" t="s">
        <v>1332</v>
      </c>
      <c r="Q22" s="11">
        <v>1</v>
      </c>
      <c r="R22" s="11">
        <v>2</v>
      </c>
      <c r="S22" s="12" t="s">
        <v>1333</v>
      </c>
      <c r="T22" s="11">
        <v>1</v>
      </c>
      <c r="U22" s="11">
        <v>1</v>
      </c>
      <c r="V22" s="12" t="s">
        <v>1334</v>
      </c>
      <c r="W22" s="11">
        <v>1</v>
      </c>
      <c r="X22" s="11">
        <v>1</v>
      </c>
      <c r="Y22" s="12" t="s">
        <v>1335</v>
      </c>
      <c r="Z22" s="11">
        <v>2</v>
      </c>
      <c r="AA22" s="11">
        <v>2</v>
      </c>
      <c r="AB22" s="12" t="s">
        <v>1336</v>
      </c>
      <c r="AC22" s="11">
        <v>0</v>
      </c>
      <c r="AD22" s="11">
        <v>3</v>
      </c>
      <c r="AE22" s="12" t="s">
        <v>1337</v>
      </c>
      <c r="AF22" s="11">
        <v>1</v>
      </c>
      <c r="AG22" s="11">
        <v>2</v>
      </c>
      <c r="AH22" s="12" t="s">
        <v>1338</v>
      </c>
      <c r="AI22" s="11">
        <v>2</v>
      </c>
      <c r="AJ22" s="11">
        <v>0</v>
      </c>
      <c r="AK22" s="12" t="s">
        <v>1339</v>
      </c>
      <c r="AL22" s="11">
        <v>1</v>
      </c>
      <c r="AM22" s="11">
        <v>1</v>
      </c>
      <c r="AN22" s="12" t="s">
        <v>1340</v>
      </c>
      <c r="AO22" s="11">
        <v>0</v>
      </c>
      <c r="AP22" s="11">
        <v>3</v>
      </c>
      <c r="AQ22" s="12" t="s">
        <v>1341</v>
      </c>
      <c r="AR22" s="11">
        <v>2</v>
      </c>
      <c r="AS22" s="11">
        <v>1</v>
      </c>
      <c r="AT22" s="12" t="s">
        <v>1342</v>
      </c>
      <c r="AU22" s="11">
        <v>1</v>
      </c>
      <c r="AV22" s="11">
        <v>1</v>
      </c>
      <c r="AW22" s="12" t="s">
        <v>1343</v>
      </c>
      <c r="AX22" s="14">
        <v>6.568</v>
      </c>
      <c r="AY22" s="14">
        <v>5.138</v>
      </c>
      <c r="AZ22" s="14">
        <v>8.05</v>
      </c>
      <c r="BA22" s="14">
        <v>7.58</v>
      </c>
      <c r="BB22" s="14">
        <v>5.547</v>
      </c>
      <c r="BC22" s="14">
        <v>5.59</v>
      </c>
    </row>
    <row r="23" ht="19.9" customHeight="1" spans="1:55">
      <c r="A23" s="10" t="s">
        <v>33</v>
      </c>
      <c r="B23" s="11">
        <v>1</v>
      </c>
      <c r="C23" s="11">
        <v>2</v>
      </c>
      <c r="D23" s="12" t="s">
        <v>1344</v>
      </c>
      <c r="E23" s="11">
        <v>0</v>
      </c>
      <c r="F23" s="11">
        <v>2</v>
      </c>
      <c r="G23" s="12" t="s">
        <v>1345</v>
      </c>
      <c r="H23" s="11">
        <v>0</v>
      </c>
      <c r="I23" s="11">
        <v>2</v>
      </c>
      <c r="J23" s="12" t="s">
        <v>1346</v>
      </c>
      <c r="K23" s="11">
        <v>1</v>
      </c>
      <c r="L23" s="11">
        <v>2</v>
      </c>
      <c r="M23" s="12" t="s">
        <v>1347</v>
      </c>
      <c r="N23" s="11">
        <v>1</v>
      </c>
      <c r="O23" s="11">
        <v>1</v>
      </c>
      <c r="P23" s="12" t="s">
        <v>1348</v>
      </c>
      <c r="Q23" s="11">
        <v>1</v>
      </c>
      <c r="R23" s="11">
        <v>2</v>
      </c>
      <c r="S23" s="12" t="s">
        <v>1349</v>
      </c>
      <c r="T23" s="11">
        <v>1</v>
      </c>
      <c r="U23" s="11">
        <v>1</v>
      </c>
      <c r="V23" s="12" t="s">
        <v>1350</v>
      </c>
      <c r="W23" s="11">
        <v>1</v>
      </c>
      <c r="X23" s="11">
        <v>1</v>
      </c>
      <c r="Y23" s="12" t="s">
        <v>1351</v>
      </c>
      <c r="Z23" s="11">
        <v>2</v>
      </c>
      <c r="AA23" s="11">
        <v>2</v>
      </c>
      <c r="AB23" s="12" t="s">
        <v>1352</v>
      </c>
      <c r="AC23" s="11">
        <v>0</v>
      </c>
      <c r="AD23" s="11">
        <v>3</v>
      </c>
      <c r="AE23" s="12" t="s">
        <v>1353</v>
      </c>
      <c r="AF23" s="11">
        <v>1</v>
      </c>
      <c r="AG23" s="11">
        <v>2</v>
      </c>
      <c r="AH23" s="12" t="s">
        <v>1354</v>
      </c>
      <c r="AI23" s="11">
        <v>2</v>
      </c>
      <c r="AJ23" s="11">
        <v>0</v>
      </c>
      <c r="AK23" s="12" t="s">
        <v>1355</v>
      </c>
      <c r="AL23" s="11">
        <v>1</v>
      </c>
      <c r="AM23" s="11">
        <v>1</v>
      </c>
      <c r="AN23" s="12" t="s">
        <v>1356</v>
      </c>
      <c r="AO23" s="11">
        <v>1</v>
      </c>
      <c r="AP23" s="11">
        <v>2</v>
      </c>
      <c r="AQ23" s="12" t="s">
        <v>1357</v>
      </c>
      <c r="AR23" s="11">
        <v>0</v>
      </c>
      <c r="AS23" s="11">
        <v>3</v>
      </c>
      <c r="AT23" s="12" t="s">
        <v>1358</v>
      </c>
      <c r="AU23" s="11">
        <v>1</v>
      </c>
      <c r="AV23" s="11">
        <v>1</v>
      </c>
      <c r="AW23" s="12" t="s">
        <v>1359</v>
      </c>
      <c r="AX23" s="14">
        <v>6.542</v>
      </c>
      <c r="AY23" s="14">
        <v>5.203</v>
      </c>
      <c r="AZ23" s="14">
        <v>6.89</v>
      </c>
      <c r="BA23" s="14">
        <v>6.962</v>
      </c>
      <c r="BB23" s="14">
        <v>5.529</v>
      </c>
      <c r="BC23" s="14">
        <v>5.59</v>
      </c>
    </row>
    <row r="24" ht="19.9" customHeight="1" spans="1:55">
      <c r="A24" s="10" t="s">
        <v>34</v>
      </c>
      <c r="B24" s="11">
        <v>1</v>
      </c>
      <c r="C24" s="11">
        <v>2</v>
      </c>
      <c r="D24" s="12" t="s">
        <v>1360</v>
      </c>
      <c r="E24" s="11">
        <v>0</v>
      </c>
      <c r="F24" s="11">
        <v>2</v>
      </c>
      <c r="G24" s="12" t="s">
        <v>1361</v>
      </c>
      <c r="H24" s="11">
        <v>0</v>
      </c>
      <c r="I24" s="11">
        <v>2</v>
      </c>
      <c r="J24" s="12" t="s">
        <v>1362</v>
      </c>
      <c r="K24" s="11">
        <v>0</v>
      </c>
      <c r="L24" s="11">
        <v>3</v>
      </c>
      <c r="M24" s="12" t="s">
        <v>1363</v>
      </c>
      <c r="N24" s="11">
        <v>1</v>
      </c>
      <c r="O24" s="11">
        <v>1</v>
      </c>
      <c r="P24" s="12" t="s">
        <v>1364</v>
      </c>
      <c r="Q24" s="11">
        <v>1</v>
      </c>
      <c r="R24" s="11">
        <v>2</v>
      </c>
      <c r="S24" s="12" t="s">
        <v>1365</v>
      </c>
      <c r="T24" s="11">
        <v>1</v>
      </c>
      <c r="U24" s="11">
        <v>1</v>
      </c>
      <c r="V24" s="12" t="s">
        <v>1366</v>
      </c>
      <c r="W24" s="11">
        <v>1</v>
      </c>
      <c r="X24" s="11">
        <v>1</v>
      </c>
      <c r="Y24" s="12" t="s">
        <v>1367</v>
      </c>
      <c r="Z24" s="11">
        <v>2</v>
      </c>
      <c r="AA24" s="11">
        <v>2</v>
      </c>
      <c r="AB24" s="12" t="s">
        <v>1368</v>
      </c>
      <c r="AC24" s="11">
        <v>1</v>
      </c>
      <c r="AD24" s="11">
        <v>2</v>
      </c>
      <c r="AE24" s="12" t="s">
        <v>1369</v>
      </c>
      <c r="AF24" s="11">
        <v>1</v>
      </c>
      <c r="AG24" s="11">
        <v>2</v>
      </c>
      <c r="AH24" s="12" t="s">
        <v>1370</v>
      </c>
      <c r="AI24" s="11">
        <v>2</v>
      </c>
      <c r="AJ24" s="11">
        <v>0</v>
      </c>
      <c r="AK24" s="12" t="s">
        <v>1371</v>
      </c>
      <c r="AL24" s="11">
        <v>2</v>
      </c>
      <c r="AM24" s="11">
        <v>0</v>
      </c>
      <c r="AN24" s="12" t="s">
        <v>1372</v>
      </c>
      <c r="AO24" s="11">
        <v>0</v>
      </c>
      <c r="AP24" s="11">
        <v>3</v>
      </c>
      <c r="AQ24" s="12" t="s">
        <v>1373</v>
      </c>
      <c r="AR24" s="11">
        <v>0</v>
      </c>
      <c r="AS24" s="11">
        <v>3</v>
      </c>
      <c r="AT24" s="12" t="s">
        <v>1374</v>
      </c>
      <c r="AU24" s="11">
        <v>1</v>
      </c>
      <c r="AV24" s="11">
        <v>1</v>
      </c>
      <c r="AW24" s="12" t="s">
        <v>1375</v>
      </c>
      <c r="AX24" s="14">
        <v>6.767</v>
      </c>
      <c r="AY24" s="14">
        <v>5.013</v>
      </c>
      <c r="AZ24" s="14">
        <v>6.67</v>
      </c>
      <c r="BA24" s="14">
        <v>6.866</v>
      </c>
      <c r="BB24" s="14">
        <v>5.548</v>
      </c>
      <c r="BC24" s="14">
        <v>5.58</v>
      </c>
    </row>
    <row r="25" ht="19.9" customHeight="1" spans="1:55">
      <c r="A25" s="10" t="s">
        <v>35</v>
      </c>
      <c r="B25" s="11">
        <v>1</v>
      </c>
      <c r="C25" s="11">
        <v>2</v>
      </c>
      <c r="D25" s="12" t="s">
        <v>1376</v>
      </c>
      <c r="E25" s="11">
        <v>0</v>
      </c>
      <c r="F25" s="11">
        <v>2</v>
      </c>
      <c r="G25" s="12" t="s">
        <v>1377</v>
      </c>
      <c r="H25" s="11">
        <v>0</v>
      </c>
      <c r="I25" s="11">
        <v>2</v>
      </c>
      <c r="J25" s="12" t="s">
        <v>1378</v>
      </c>
      <c r="K25" s="11">
        <v>0</v>
      </c>
      <c r="L25" s="11">
        <v>3</v>
      </c>
      <c r="M25" s="12" t="s">
        <v>1379</v>
      </c>
      <c r="N25" s="11">
        <v>1</v>
      </c>
      <c r="O25" s="11">
        <v>1</v>
      </c>
      <c r="P25" s="12" t="s">
        <v>1380</v>
      </c>
      <c r="Q25" s="11">
        <v>1</v>
      </c>
      <c r="R25" s="11">
        <v>2</v>
      </c>
      <c r="S25" s="12" t="s">
        <v>1381</v>
      </c>
      <c r="T25" s="11">
        <v>1</v>
      </c>
      <c r="U25" s="11">
        <v>1</v>
      </c>
      <c r="V25" s="12" t="s">
        <v>1382</v>
      </c>
      <c r="W25" s="11">
        <v>1</v>
      </c>
      <c r="X25" s="11">
        <v>1</v>
      </c>
      <c r="Y25" s="12" t="s">
        <v>1383</v>
      </c>
      <c r="Z25" s="11">
        <v>2</v>
      </c>
      <c r="AA25" s="11">
        <v>1</v>
      </c>
      <c r="AB25" s="12" t="s">
        <v>1384</v>
      </c>
      <c r="AC25" s="11">
        <v>1</v>
      </c>
      <c r="AD25" s="11">
        <v>2</v>
      </c>
      <c r="AE25" s="12" t="s">
        <v>1385</v>
      </c>
      <c r="AF25" s="11">
        <v>1</v>
      </c>
      <c r="AG25" s="11">
        <v>2</v>
      </c>
      <c r="AH25" s="12" t="s">
        <v>1386</v>
      </c>
      <c r="AI25" s="11">
        <v>1</v>
      </c>
      <c r="AJ25" s="11">
        <v>1</v>
      </c>
      <c r="AK25" s="12" t="s">
        <v>1387</v>
      </c>
      <c r="AL25" s="11">
        <v>2</v>
      </c>
      <c r="AM25" s="11">
        <v>0</v>
      </c>
      <c r="AN25" s="12" t="s">
        <v>1388</v>
      </c>
      <c r="AO25" s="11">
        <v>0</v>
      </c>
      <c r="AP25" s="11">
        <v>3</v>
      </c>
      <c r="AQ25" s="12" t="s">
        <v>1389</v>
      </c>
      <c r="AR25" s="11">
        <v>0</v>
      </c>
      <c r="AS25" s="11">
        <v>3</v>
      </c>
      <c r="AT25" s="12" t="s">
        <v>1390</v>
      </c>
      <c r="AU25" s="11">
        <v>1</v>
      </c>
      <c r="AV25" s="11">
        <v>1</v>
      </c>
      <c r="AW25" s="12" t="s">
        <v>1391</v>
      </c>
      <c r="AX25" s="14">
        <v>6.768</v>
      </c>
      <c r="AY25" s="14">
        <v>5.227</v>
      </c>
      <c r="AZ25" s="14">
        <v>6.45</v>
      </c>
      <c r="BA25" s="14">
        <v>5.783</v>
      </c>
      <c r="BB25" s="14">
        <v>5.513</v>
      </c>
      <c r="BC25" s="14">
        <v>5.52</v>
      </c>
    </row>
    <row r="26" ht="19.9" customHeight="1" spans="1:55">
      <c r="A26" s="10" t="s">
        <v>36</v>
      </c>
      <c r="B26" s="11">
        <v>1</v>
      </c>
      <c r="C26" s="11">
        <v>2</v>
      </c>
      <c r="D26" s="12" t="s">
        <v>1392</v>
      </c>
      <c r="E26" s="11">
        <v>0</v>
      </c>
      <c r="F26" s="11">
        <v>2</v>
      </c>
      <c r="G26" s="12" t="s">
        <v>1393</v>
      </c>
      <c r="H26" s="11">
        <v>0</v>
      </c>
      <c r="I26" s="11">
        <v>2</v>
      </c>
      <c r="J26" s="12" t="s">
        <v>1394</v>
      </c>
      <c r="K26" s="11">
        <v>0</v>
      </c>
      <c r="L26" s="11">
        <v>3</v>
      </c>
      <c r="M26" s="12" t="s">
        <v>1395</v>
      </c>
      <c r="N26" s="11">
        <v>1</v>
      </c>
      <c r="O26" s="11">
        <v>1</v>
      </c>
      <c r="P26" s="12" t="s">
        <v>1396</v>
      </c>
      <c r="Q26" s="11">
        <v>1</v>
      </c>
      <c r="R26" s="11">
        <v>2</v>
      </c>
      <c r="S26" s="12" t="s">
        <v>1397</v>
      </c>
      <c r="T26" s="11">
        <v>1</v>
      </c>
      <c r="U26" s="11">
        <v>1</v>
      </c>
      <c r="V26" s="12" t="s">
        <v>1398</v>
      </c>
      <c r="W26" s="11">
        <v>1</v>
      </c>
      <c r="X26" s="11">
        <v>1</v>
      </c>
      <c r="Y26" s="12" t="s">
        <v>1399</v>
      </c>
      <c r="Z26" s="11">
        <v>2</v>
      </c>
      <c r="AA26" s="11">
        <v>1</v>
      </c>
      <c r="AB26" s="12" t="s">
        <v>1400</v>
      </c>
      <c r="AC26" s="11">
        <v>1</v>
      </c>
      <c r="AD26" s="11">
        <v>2</v>
      </c>
      <c r="AE26" s="12" t="s">
        <v>1401</v>
      </c>
      <c r="AF26" s="11">
        <v>1</v>
      </c>
      <c r="AG26" s="11">
        <v>2</v>
      </c>
      <c r="AH26" s="12" t="s">
        <v>1402</v>
      </c>
      <c r="AI26" s="11">
        <v>1</v>
      </c>
      <c r="AJ26" s="11">
        <v>1</v>
      </c>
      <c r="AK26" s="12" t="s">
        <v>1403</v>
      </c>
      <c r="AL26" s="11">
        <v>2</v>
      </c>
      <c r="AM26" s="11">
        <v>0</v>
      </c>
      <c r="AN26" s="12" t="s">
        <v>1404</v>
      </c>
      <c r="AO26" s="11">
        <v>0</v>
      </c>
      <c r="AP26" s="11">
        <v>3</v>
      </c>
      <c r="AQ26" s="12" t="s">
        <v>1405</v>
      </c>
      <c r="AR26" s="11">
        <v>0</v>
      </c>
      <c r="AS26" s="11">
        <v>3</v>
      </c>
      <c r="AT26" s="12" t="s">
        <v>1406</v>
      </c>
      <c r="AU26" s="11">
        <v>1</v>
      </c>
      <c r="AV26" s="11">
        <v>1</v>
      </c>
      <c r="AW26" s="12" t="s">
        <v>1407</v>
      </c>
      <c r="AX26" s="14">
        <v>6.767</v>
      </c>
      <c r="AY26" s="14">
        <v>5.471</v>
      </c>
      <c r="AZ26" s="14">
        <v>7.18</v>
      </c>
      <c r="BA26" s="14">
        <v>6.75</v>
      </c>
      <c r="BB26" s="14">
        <v>5.475</v>
      </c>
      <c r="BC26" s="14">
        <v>5.49</v>
      </c>
    </row>
    <row r="27" ht="19.9" customHeight="1" spans="1:55">
      <c r="A27" s="10" t="s">
        <v>37</v>
      </c>
      <c r="B27" s="11">
        <v>1</v>
      </c>
      <c r="C27" s="11">
        <v>2</v>
      </c>
      <c r="D27" s="12" t="s">
        <v>1408</v>
      </c>
      <c r="E27" s="11">
        <v>0</v>
      </c>
      <c r="F27" s="11">
        <v>2</v>
      </c>
      <c r="G27" s="12" t="s">
        <v>1409</v>
      </c>
      <c r="H27" s="11">
        <v>0</v>
      </c>
      <c r="I27" s="11">
        <v>2</v>
      </c>
      <c r="J27" s="12" t="s">
        <v>1410</v>
      </c>
      <c r="K27" s="11">
        <v>0</v>
      </c>
      <c r="L27" s="11">
        <v>3</v>
      </c>
      <c r="M27" s="12" t="s">
        <v>1411</v>
      </c>
      <c r="N27" s="11">
        <v>1</v>
      </c>
      <c r="O27" s="11">
        <v>1</v>
      </c>
      <c r="P27" s="12" t="s">
        <v>1412</v>
      </c>
      <c r="Q27" s="11">
        <v>0</v>
      </c>
      <c r="R27" s="11">
        <v>3</v>
      </c>
      <c r="S27" s="12" t="s">
        <v>1413</v>
      </c>
      <c r="T27" s="11">
        <v>1</v>
      </c>
      <c r="U27" s="11">
        <v>1</v>
      </c>
      <c r="V27" s="12" t="s">
        <v>1414</v>
      </c>
      <c r="W27" s="11">
        <v>1</v>
      </c>
      <c r="X27" s="11">
        <v>1</v>
      </c>
      <c r="Y27" s="12" t="s">
        <v>1415</v>
      </c>
      <c r="Z27" s="11">
        <v>2</v>
      </c>
      <c r="AA27" s="11">
        <v>1</v>
      </c>
      <c r="AB27" s="12" t="s">
        <v>1416</v>
      </c>
      <c r="AC27" s="11">
        <v>1</v>
      </c>
      <c r="AD27" s="11">
        <v>2</v>
      </c>
      <c r="AE27" s="12" t="s">
        <v>1417</v>
      </c>
      <c r="AF27" s="11">
        <v>1</v>
      </c>
      <c r="AG27" s="11">
        <v>2</v>
      </c>
      <c r="AH27" s="12" t="s">
        <v>1418</v>
      </c>
      <c r="AI27" s="11">
        <v>2</v>
      </c>
      <c r="AJ27" s="11">
        <v>0</v>
      </c>
      <c r="AK27" s="12" t="s">
        <v>1419</v>
      </c>
      <c r="AL27" s="11">
        <v>2</v>
      </c>
      <c r="AM27" s="11">
        <v>0</v>
      </c>
      <c r="AN27" s="12" t="s">
        <v>1420</v>
      </c>
      <c r="AO27" s="11">
        <v>1</v>
      </c>
      <c r="AP27" s="11">
        <v>2</v>
      </c>
      <c r="AQ27" s="12" t="s">
        <v>1421</v>
      </c>
      <c r="AR27" s="11">
        <v>0</v>
      </c>
      <c r="AS27" s="11">
        <v>3</v>
      </c>
      <c r="AT27" s="12" t="s">
        <v>1422</v>
      </c>
      <c r="AU27" s="11">
        <v>1</v>
      </c>
      <c r="AV27" s="11">
        <v>1</v>
      </c>
      <c r="AW27" s="12" t="s">
        <v>1423</v>
      </c>
      <c r="AX27" s="14">
        <v>7.008</v>
      </c>
      <c r="AY27" s="14">
        <v>7.264</v>
      </c>
      <c r="AZ27" s="14">
        <v>6.82</v>
      </c>
      <c r="BA27" s="14">
        <v>7.081</v>
      </c>
      <c r="BB27" s="14">
        <v>5.591</v>
      </c>
      <c r="BC27" s="14">
        <v>5.62</v>
      </c>
    </row>
    <row r="28" ht="19.9" customHeight="1" spans="1:55">
      <c r="A28" s="10" t="s">
        <v>38</v>
      </c>
      <c r="B28" s="11">
        <v>1</v>
      </c>
      <c r="C28" s="11">
        <v>2</v>
      </c>
      <c r="D28" s="12" t="s">
        <v>1424</v>
      </c>
      <c r="E28" s="11">
        <v>0</v>
      </c>
      <c r="F28" s="11">
        <v>2</v>
      </c>
      <c r="G28" s="12" t="s">
        <v>1425</v>
      </c>
      <c r="H28" s="11">
        <v>0</v>
      </c>
      <c r="I28" s="11">
        <v>2</v>
      </c>
      <c r="J28" s="12" t="s">
        <v>1426</v>
      </c>
      <c r="K28" s="11">
        <v>0</v>
      </c>
      <c r="L28" s="11">
        <v>3</v>
      </c>
      <c r="M28" s="12" t="s">
        <v>1427</v>
      </c>
      <c r="N28" s="11">
        <v>1</v>
      </c>
      <c r="O28" s="11">
        <v>1</v>
      </c>
      <c r="P28" s="12" t="s">
        <v>1428</v>
      </c>
      <c r="Q28" s="11">
        <v>1</v>
      </c>
      <c r="R28" s="11">
        <v>2</v>
      </c>
      <c r="S28" s="12" t="s">
        <v>1429</v>
      </c>
      <c r="T28" s="11">
        <v>1</v>
      </c>
      <c r="U28" s="11">
        <v>1</v>
      </c>
      <c r="V28" s="12" t="s">
        <v>1430</v>
      </c>
      <c r="W28" s="11">
        <v>1</v>
      </c>
      <c r="X28" s="11">
        <v>1</v>
      </c>
      <c r="Y28" s="12" t="s">
        <v>1431</v>
      </c>
      <c r="Z28" s="11">
        <v>2</v>
      </c>
      <c r="AA28" s="11">
        <v>1</v>
      </c>
      <c r="AB28" s="12" t="s">
        <v>1432</v>
      </c>
      <c r="AC28" s="11">
        <v>1</v>
      </c>
      <c r="AD28" s="11">
        <v>2</v>
      </c>
      <c r="AE28" s="12" t="s">
        <v>1433</v>
      </c>
      <c r="AF28" s="11">
        <v>1</v>
      </c>
      <c r="AG28" s="11">
        <v>2</v>
      </c>
      <c r="AH28" s="12" t="s">
        <v>1434</v>
      </c>
      <c r="AI28" s="11">
        <v>2</v>
      </c>
      <c r="AJ28" s="11">
        <v>0</v>
      </c>
      <c r="AK28" s="12" t="s">
        <v>1435</v>
      </c>
      <c r="AL28" s="11">
        <v>1</v>
      </c>
      <c r="AM28" s="11">
        <v>1</v>
      </c>
      <c r="AN28" s="12" t="s">
        <v>1436</v>
      </c>
      <c r="AO28" s="11">
        <v>0</v>
      </c>
      <c r="AP28" s="11">
        <v>3</v>
      </c>
      <c r="AQ28" s="12" t="s">
        <v>1437</v>
      </c>
      <c r="AR28" s="11">
        <v>0</v>
      </c>
      <c r="AS28" s="11">
        <v>3</v>
      </c>
      <c r="AT28" s="12" t="s">
        <v>1438</v>
      </c>
      <c r="AU28" s="11">
        <v>1</v>
      </c>
      <c r="AV28" s="11">
        <v>1</v>
      </c>
      <c r="AW28" s="12" t="s">
        <v>1439</v>
      </c>
      <c r="AX28" s="14">
        <v>6.961</v>
      </c>
      <c r="AY28" s="14">
        <v>6.246</v>
      </c>
      <c r="AZ28" s="14">
        <v>6.87</v>
      </c>
      <c r="BA28" s="14">
        <v>6.741</v>
      </c>
      <c r="BB28" s="14">
        <v>5.561</v>
      </c>
      <c r="BC28" s="14">
        <v>5.59</v>
      </c>
    </row>
    <row r="29" ht="19.9" customHeight="1" spans="1:55">
      <c r="A29" s="10" t="s">
        <v>39</v>
      </c>
      <c r="B29" s="11">
        <v>2</v>
      </c>
      <c r="C29" s="11">
        <v>1</v>
      </c>
      <c r="D29" s="12" t="s">
        <v>1440</v>
      </c>
      <c r="E29" s="11">
        <v>0</v>
      </c>
      <c r="F29" s="11">
        <v>2</v>
      </c>
      <c r="G29" s="12" t="s">
        <v>1441</v>
      </c>
      <c r="H29" s="11">
        <v>0</v>
      </c>
      <c r="I29" s="11">
        <v>2</v>
      </c>
      <c r="J29" s="12" t="s">
        <v>1442</v>
      </c>
      <c r="K29" s="11">
        <v>2</v>
      </c>
      <c r="L29" s="11">
        <v>1</v>
      </c>
      <c r="M29" s="12" t="s">
        <v>1443</v>
      </c>
      <c r="N29" s="11">
        <v>1</v>
      </c>
      <c r="O29" s="11">
        <v>1</v>
      </c>
      <c r="P29" s="12" t="s">
        <v>1444</v>
      </c>
      <c r="Q29" s="11">
        <v>1</v>
      </c>
      <c r="R29" s="11">
        <v>2</v>
      </c>
      <c r="S29" s="12" t="s">
        <v>1445</v>
      </c>
      <c r="T29" s="11">
        <v>1</v>
      </c>
      <c r="U29" s="11">
        <v>1</v>
      </c>
      <c r="V29" s="12" t="s">
        <v>1446</v>
      </c>
      <c r="W29" s="11">
        <v>0</v>
      </c>
      <c r="X29" s="11">
        <v>2</v>
      </c>
      <c r="Y29" s="12" t="s">
        <v>1447</v>
      </c>
      <c r="Z29" s="11">
        <v>2</v>
      </c>
      <c r="AA29" s="11">
        <v>1</v>
      </c>
      <c r="AB29" s="12" t="s">
        <v>1448</v>
      </c>
      <c r="AC29" s="11">
        <v>1</v>
      </c>
      <c r="AD29" s="11">
        <v>2</v>
      </c>
      <c r="AE29" s="12" t="s">
        <v>1449</v>
      </c>
      <c r="AF29" s="11">
        <v>1</v>
      </c>
      <c r="AG29" s="11">
        <v>2</v>
      </c>
      <c r="AH29" s="12" t="s">
        <v>1450</v>
      </c>
      <c r="AI29" s="11">
        <v>2</v>
      </c>
      <c r="AJ29" s="11">
        <v>0</v>
      </c>
      <c r="AK29" s="12" t="s">
        <v>1451</v>
      </c>
      <c r="AL29" s="11">
        <v>1</v>
      </c>
      <c r="AM29" s="11">
        <v>1</v>
      </c>
      <c r="AN29" s="12" t="s">
        <v>1452</v>
      </c>
      <c r="AO29" s="11">
        <v>1</v>
      </c>
      <c r="AP29" s="11">
        <v>2</v>
      </c>
      <c r="AQ29" s="12" t="s">
        <v>1453</v>
      </c>
      <c r="AR29" s="11">
        <v>2</v>
      </c>
      <c r="AS29" s="11">
        <v>1</v>
      </c>
      <c r="AT29" s="12" t="s">
        <v>1454</v>
      </c>
      <c r="AU29" s="11">
        <v>1</v>
      </c>
      <c r="AV29" s="11">
        <v>1</v>
      </c>
      <c r="AW29" s="12" t="s">
        <v>1455</v>
      </c>
      <c r="AX29" s="14">
        <v>7.128</v>
      </c>
      <c r="AY29" s="14">
        <v>8.339</v>
      </c>
      <c r="AZ29" s="14">
        <v>7.39</v>
      </c>
      <c r="BA29" s="14">
        <v>6.848</v>
      </c>
      <c r="BB29" s="14">
        <v>5.746</v>
      </c>
      <c r="BC29" s="14">
        <v>5.76</v>
      </c>
    </row>
    <row r="30" ht="19.9" customHeight="1" spans="1:55">
      <c r="A30" s="10" t="s">
        <v>40</v>
      </c>
      <c r="B30" s="11">
        <v>2</v>
      </c>
      <c r="C30" s="11">
        <v>1</v>
      </c>
      <c r="D30" s="12" t="s">
        <v>1456</v>
      </c>
      <c r="E30" s="11">
        <v>0</v>
      </c>
      <c r="F30" s="11">
        <v>2</v>
      </c>
      <c r="G30" s="12" t="s">
        <v>1457</v>
      </c>
      <c r="H30" s="11">
        <v>1</v>
      </c>
      <c r="I30" s="11">
        <v>1</v>
      </c>
      <c r="J30" s="12" t="s">
        <v>1458</v>
      </c>
      <c r="K30" s="11">
        <v>2</v>
      </c>
      <c r="L30" s="11">
        <v>1</v>
      </c>
      <c r="M30" s="12" t="s">
        <v>1459</v>
      </c>
      <c r="N30" s="11">
        <v>1</v>
      </c>
      <c r="O30" s="11">
        <v>1</v>
      </c>
      <c r="P30" s="12" t="s">
        <v>1460</v>
      </c>
      <c r="Q30" s="11">
        <v>1</v>
      </c>
      <c r="R30" s="11">
        <v>2</v>
      </c>
      <c r="S30" s="12" t="s">
        <v>1461</v>
      </c>
      <c r="T30" s="11">
        <v>1</v>
      </c>
      <c r="U30" s="11">
        <v>1</v>
      </c>
      <c r="V30" s="12" t="s">
        <v>1462</v>
      </c>
      <c r="W30" s="11">
        <v>0</v>
      </c>
      <c r="X30" s="11">
        <v>2</v>
      </c>
      <c r="Y30" s="12" t="s">
        <v>1463</v>
      </c>
      <c r="Z30" s="11">
        <v>2</v>
      </c>
      <c r="AA30" s="11">
        <v>1</v>
      </c>
      <c r="AB30" s="12" t="s">
        <v>1464</v>
      </c>
      <c r="AC30" s="11">
        <v>2</v>
      </c>
      <c r="AD30" s="11">
        <v>1</v>
      </c>
      <c r="AE30" s="12" t="s">
        <v>1465</v>
      </c>
      <c r="AF30" s="11">
        <v>1</v>
      </c>
      <c r="AG30" s="11">
        <v>2</v>
      </c>
      <c r="AH30" s="12" t="s">
        <v>1466</v>
      </c>
      <c r="AI30" s="11">
        <v>2</v>
      </c>
      <c r="AJ30" s="11">
        <v>0</v>
      </c>
      <c r="AK30" s="12" t="s">
        <v>1467</v>
      </c>
      <c r="AL30" s="11">
        <v>1</v>
      </c>
      <c r="AM30" s="11">
        <v>1</v>
      </c>
      <c r="AN30" s="12" t="s">
        <v>1468</v>
      </c>
      <c r="AO30" s="11">
        <v>1</v>
      </c>
      <c r="AP30" s="11">
        <v>2</v>
      </c>
      <c r="AQ30" s="12" t="s">
        <v>1469</v>
      </c>
      <c r="AR30" s="11">
        <v>2</v>
      </c>
      <c r="AS30" s="11">
        <v>1</v>
      </c>
      <c r="AT30" s="12" t="s">
        <v>1470</v>
      </c>
      <c r="AU30" s="11">
        <v>1</v>
      </c>
      <c r="AV30" s="11">
        <v>1</v>
      </c>
      <c r="AW30" s="12" t="s">
        <v>1471</v>
      </c>
      <c r="AX30" s="14">
        <v>7.025</v>
      </c>
      <c r="AY30" s="14">
        <v>7.345</v>
      </c>
      <c r="AZ30" s="14">
        <v>7.83</v>
      </c>
      <c r="BA30" s="14">
        <v>6.776</v>
      </c>
      <c r="BB30" s="14">
        <v>5.925</v>
      </c>
      <c r="BC30" s="14">
        <v>5.92</v>
      </c>
    </row>
    <row r="31" ht="19.9" customHeight="1" spans="1:55">
      <c r="A31" s="10" t="s">
        <v>41</v>
      </c>
      <c r="B31" s="11">
        <v>2</v>
      </c>
      <c r="C31" s="11">
        <v>1</v>
      </c>
      <c r="D31" s="12" t="s">
        <v>1472</v>
      </c>
      <c r="E31" s="11">
        <v>0</v>
      </c>
      <c r="F31" s="11">
        <v>2</v>
      </c>
      <c r="G31" s="12" t="s">
        <v>1473</v>
      </c>
      <c r="H31" s="11">
        <v>1</v>
      </c>
      <c r="I31" s="11">
        <v>1</v>
      </c>
      <c r="J31" s="12" t="s">
        <v>1474</v>
      </c>
      <c r="K31" s="11">
        <v>2</v>
      </c>
      <c r="L31" s="11">
        <v>1</v>
      </c>
      <c r="M31" s="12" t="s">
        <v>1475</v>
      </c>
      <c r="N31" s="11">
        <v>1</v>
      </c>
      <c r="O31" s="11">
        <v>1</v>
      </c>
      <c r="P31" s="12" t="s">
        <v>1476</v>
      </c>
      <c r="Q31" s="11">
        <v>1</v>
      </c>
      <c r="R31" s="11">
        <v>2</v>
      </c>
      <c r="S31" s="12" t="s">
        <v>1477</v>
      </c>
      <c r="T31" s="11">
        <v>1</v>
      </c>
      <c r="U31" s="11">
        <v>1</v>
      </c>
      <c r="V31" s="12" t="s">
        <v>1478</v>
      </c>
      <c r="W31" s="11">
        <v>0</v>
      </c>
      <c r="X31" s="11">
        <v>2</v>
      </c>
      <c r="Y31" s="12" t="s">
        <v>1479</v>
      </c>
      <c r="Z31" s="11">
        <v>2</v>
      </c>
      <c r="AA31" s="11">
        <v>2</v>
      </c>
      <c r="AB31" s="12" t="s">
        <v>1480</v>
      </c>
      <c r="AC31" s="11">
        <v>2</v>
      </c>
      <c r="AD31" s="11">
        <v>1</v>
      </c>
      <c r="AE31" s="12" t="s">
        <v>1481</v>
      </c>
      <c r="AF31" s="11">
        <v>1</v>
      </c>
      <c r="AG31" s="11">
        <v>2</v>
      </c>
      <c r="AH31" s="12" t="s">
        <v>1482</v>
      </c>
      <c r="AI31" s="11">
        <v>2</v>
      </c>
      <c r="AJ31" s="11">
        <v>0</v>
      </c>
      <c r="AK31" s="12" t="s">
        <v>1483</v>
      </c>
      <c r="AL31" s="11">
        <v>1</v>
      </c>
      <c r="AM31" s="11">
        <v>1</v>
      </c>
      <c r="AN31" s="12" t="s">
        <v>1484</v>
      </c>
      <c r="AO31" s="11">
        <v>1</v>
      </c>
      <c r="AP31" s="11">
        <v>2</v>
      </c>
      <c r="AQ31" s="12" t="s">
        <v>1485</v>
      </c>
      <c r="AR31" s="11">
        <v>2</v>
      </c>
      <c r="AS31" s="11">
        <v>1</v>
      </c>
      <c r="AT31" s="12" t="s">
        <v>1486</v>
      </c>
      <c r="AU31" s="11">
        <v>1</v>
      </c>
      <c r="AV31" s="11">
        <v>1</v>
      </c>
      <c r="AW31" s="12" t="s">
        <v>1487</v>
      </c>
      <c r="AX31" s="14">
        <v>7.146</v>
      </c>
      <c r="AY31" s="14">
        <v>8.369</v>
      </c>
      <c r="AZ31" s="14">
        <v>7.92</v>
      </c>
      <c r="BA31" s="14">
        <v>6.852</v>
      </c>
      <c r="BB31" s="14">
        <v>6.007</v>
      </c>
      <c r="BC31" s="14">
        <v>6.03</v>
      </c>
    </row>
    <row r="32" ht="19.9" customHeight="1" spans="1:55">
      <c r="A32" s="10" t="s">
        <v>42</v>
      </c>
      <c r="B32" s="11">
        <v>2</v>
      </c>
      <c r="C32" s="11">
        <v>1</v>
      </c>
      <c r="D32" s="12" t="s">
        <v>1488</v>
      </c>
      <c r="E32" s="11">
        <v>0</v>
      </c>
      <c r="F32" s="11">
        <v>2</v>
      </c>
      <c r="G32" s="12" t="s">
        <v>1489</v>
      </c>
      <c r="H32" s="11">
        <v>1</v>
      </c>
      <c r="I32" s="11">
        <v>1</v>
      </c>
      <c r="J32" s="12" t="s">
        <v>1490</v>
      </c>
      <c r="K32" s="11">
        <v>2</v>
      </c>
      <c r="L32" s="11">
        <v>1</v>
      </c>
      <c r="M32" s="12" t="s">
        <v>1491</v>
      </c>
      <c r="N32" s="11">
        <v>1</v>
      </c>
      <c r="O32" s="11">
        <v>1</v>
      </c>
      <c r="P32" s="12" t="s">
        <v>1492</v>
      </c>
      <c r="Q32" s="11">
        <v>1</v>
      </c>
      <c r="R32" s="11">
        <v>2</v>
      </c>
      <c r="S32" s="12" t="s">
        <v>1493</v>
      </c>
      <c r="T32" s="11">
        <v>1</v>
      </c>
      <c r="U32" s="11">
        <v>1</v>
      </c>
      <c r="V32" s="12" t="s">
        <v>1494</v>
      </c>
      <c r="W32" s="11">
        <v>1</v>
      </c>
      <c r="X32" s="11">
        <v>1</v>
      </c>
      <c r="Y32" s="12" t="s">
        <v>1495</v>
      </c>
      <c r="Z32" s="11">
        <v>2</v>
      </c>
      <c r="AA32" s="11">
        <v>2</v>
      </c>
      <c r="AB32" s="12" t="s">
        <v>1496</v>
      </c>
      <c r="AC32" s="11">
        <v>2</v>
      </c>
      <c r="AD32" s="11">
        <v>1</v>
      </c>
      <c r="AE32" s="12" t="s">
        <v>1497</v>
      </c>
      <c r="AF32" s="11">
        <v>1</v>
      </c>
      <c r="AG32" s="11">
        <v>2</v>
      </c>
      <c r="AH32" s="12" t="s">
        <v>1498</v>
      </c>
      <c r="AI32" s="11">
        <v>2</v>
      </c>
      <c r="AJ32" s="11">
        <v>0</v>
      </c>
      <c r="AK32" s="12" t="s">
        <v>1499</v>
      </c>
      <c r="AL32" s="11">
        <v>1</v>
      </c>
      <c r="AM32" s="11">
        <v>1</v>
      </c>
      <c r="AN32" s="12" t="s">
        <v>1500</v>
      </c>
      <c r="AO32" s="11">
        <v>1</v>
      </c>
      <c r="AP32" s="11">
        <v>2</v>
      </c>
      <c r="AQ32" s="12" t="s">
        <v>1501</v>
      </c>
      <c r="AR32" s="11">
        <v>2</v>
      </c>
      <c r="AS32" s="11">
        <v>1</v>
      </c>
      <c r="AT32" s="12" t="s">
        <v>1502</v>
      </c>
      <c r="AU32" s="11">
        <v>1</v>
      </c>
      <c r="AV32" s="11">
        <v>1</v>
      </c>
      <c r="AW32" s="12" t="s">
        <v>1503</v>
      </c>
      <c r="AX32" s="14">
        <v>7.219</v>
      </c>
      <c r="AY32" s="14">
        <v>7.197</v>
      </c>
      <c r="AZ32" s="14">
        <v>8.03</v>
      </c>
      <c r="BA32" s="14">
        <v>6.943</v>
      </c>
      <c r="BB32" s="14">
        <v>5.851</v>
      </c>
      <c r="BC32" s="14">
        <v>5.86</v>
      </c>
    </row>
    <row r="33" ht="19.9" customHeight="1" spans="1:55">
      <c r="A33" s="10" t="s">
        <v>43</v>
      </c>
      <c r="B33" s="11">
        <v>2</v>
      </c>
      <c r="C33" s="11">
        <v>1</v>
      </c>
      <c r="D33" s="12" t="s">
        <v>1504</v>
      </c>
      <c r="E33" s="11">
        <v>0</v>
      </c>
      <c r="F33" s="11">
        <v>2</v>
      </c>
      <c r="G33" s="12" t="s">
        <v>1505</v>
      </c>
      <c r="H33" s="11">
        <v>1</v>
      </c>
      <c r="I33" s="11">
        <v>1</v>
      </c>
      <c r="J33" s="12" t="s">
        <v>1506</v>
      </c>
      <c r="K33" s="11">
        <v>2</v>
      </c>
      <c r="L33" s="11">
        <v>1</v>
      </c>
      <c r="M33" s="12" t="s">
        <v>1507</v>
      </c>
      <c r="N33" s="11">
        <v>0</v>
      </c>
      <c r="O33" s="11">
        <v>2</v>
      </c>
      <c r="P33" s="12" t="s">
        <v>1508</v>
      </c>
      <c r="Q33" s="11">
        <v>1</v>
      </c>
      <c r="R33" s="11">
        <v>2</v>
      </c>
      <c r="S33" s="12" t="s">
        <v>1509</v>
      </c>
      <c r="T33" s="11">
        <v>1</v>
      </c>
      <c r="U33" s="11">
        <v>1</v>
      </c>
      <c r="V33" s="12" t="s">
        <v>1510</v>
      </c>
      <c r="W33" s="11">
        <v>1</v>
      </c>
      <c r="X33" s="11">
        <v>1</v>
      </c>
      <c r="Y33" s="12" t="s">
        <v>1511</v>
      </c>
      <c r="Z33" s="11">
        <v>2</v>
      </c>
      <c r="AA33" s="11">
        <v>2</v>
      </c>
      <c r="AB33" s="12" t="s">
        <v>1512</v>
      </c>
      <c r="AC33" s="11">
        <v>2</v>
      </c>
      <c r="AD33" s="11">
        <v>1</v>
      </c>
      <c r="AE33" s="12" t="s">
        <v>1513</v>
      </c>
      <c r="AF33" s="11">
        <v>1</v>
      </c>
      <c r="AG33" s="11">
        <v>2</v>
      </c>
      <c r="AH33" s="12" t="s">
        <v>1514</v>
      </c>
      <c r="AI33" s="11">
        <v>2</v>
      </c>
      <c r="AJ33" s="11">
        <v>0</v>
      </c>
      <c r="AK33" s="12" t="s">
        <v>1515</v>
      </c>
      <c r="AL33" s="11">
        <v>1</v>
      </c>
      <c r="AM33" s="11">
        <v>1</v>
      </c>
      <c r="AN33" s="12" t="s">
        <v>1516</v>
      </c>
      <c r="AO33" s="11">
        <v>1</v>
      </c>
      <c r="AP33" s="11">
        <v>2</v>
      </c>
      <c r="AQ33" s="12" t="s">
        <v>1517</v>
      </c>
      <c r="AR33" s="11">
        <v>2</v>
      </c>
      <c r="AS33" s="11">
        <v>1</v>
      </c>
      <c r="AT33" s="12" t="s">
        <v>1518</v>
      </c>
      <c r="AU33" s="11">
        <v>1</v>
      </c>
      <c r="AV33" s="11">
        <v>1</v>
      </c>
      <c r="AW33" s="12" t="s">
        <v>1519</v>
      </c>
      <c r="AX33" s="14">
        <v>7.181</v>
      </c>
      <c r="AY33" s="14">
        <v>7.238</v>
      </c>
      <c r="AZ33" s="14">
        <v>6.98</v>
      </c>
      <c r="BA33" s="14">
        <v>6.601</v>
      </c>
      <c r="BB33" s="14">
        <v>5.87</v>
      </c>
      <c r="BC33" s="14">
        <v>5.89</v>
      </c>
    </row>
    <row r="34" ht="19.9" customHeight="1" spans="1:55">
      <c r="A34" s="10" t="s">
        <v>44</v>
      </c>
      <c r="B34" s="11">
        <v>1</v>
      </c>
      <c r="C34" s="11">
        <v>2</v>
      </c>
      <c r="D34" s="12" t="s">
        <v>1520</v>
      </c>
      <c r="E34" s="11">
        <v>0</v>
      </c>
      <c r="F34" s="11">
        <v>2</v>
      </c>
      <c r="G34" s="12" t="s">
        <v>1521</v>
      </c>
      <c r="H34" s="11">
        <v>1</v>
      </c>
      <c r="I34" s="11">
        <v>1</v>
      </c>
      <c r="J34" s="12" t="s">
        <v>1522</v>
      </c>
      <c r="K34" s="11">
        <v>2</v>
      </c>
      <c r="L34" s="11">
        <v>1</v>
      </c>
      <c r="M34" s="12" t="s">
        <v>1523</v>
      </c>
      <c r="N34" s="11">
        <v>1</v>
      </c>
      <c r="O34" s="11">
        <v>1</v>
      </c>
      <c r="P34" s="12" t="s">
        <v>1524</v>
      </c>
      <c r="Q34" s="11">
        <v>1</v>
      </c>
      <c r="R34" s="11">
        <v>2</v>
      </c>
      <c r="S34" s="12" t="s">
        <v>1525</v>
      </c>
      <c r="T34" s="11">
        <v>1</v>
      </c>
      <c r="U34" s="11">
        <v>1</v>
      </c>
      <c r="V34" s="12" t="s">
        <v>1526</v>
      </c>
      <c r="W34" s="11">
        <v>0</v>
      </c>
      <c r="X34" s="11">
        <v>2</v>
      </c>
      <c r="Y34" s="12" t="s">
        <v>1527</v>
      </c>
      <c r="Z34" s="11">
        <v>2</v>
      </c>
      <c r="AA34" s="11">
        <v>2</v>
      </c>
      <c r="AB34" s="12" t="s">
        <v>1528</v>
      </c>
      <c r="AC34" s="11">
        <v>1</v>
      </c>
      <c r="AD34" s="11">
        <v>2</v>
      </c>
      <c r="AE34" s="12" t="s">
        <v>1529</v>
      </c>
      <c r="AF34" s="11">
        <v>1</v>
      </c>
      <c r="AG34" s="11">
        <v>2</v>
      </c>
      <c r="AH34" s="12" t="s">
        <v>1530</v>
      </c>
      <c r="AI34" s="11">
        <v>2</v>
      </c>
      <c r="AJ34" s="11">
        <v>0</v>
      </c>
      <c r="AK34" s="12" t="s">
        <v>1531</v>
      </c>
      <c r="AL34" s="11">
        <v>1</v>
      </c>
      <c r="AM34" s="11">
        <v>1</v>
      </c>
      <c r="AN34" s="12" t="s">
        <v>1532</v>
      </c>
      <c r="AO34" s="11">
        <v>1</v>
      </c>
      <c r="AP34" s="11">
        <v>2</v>
      </c>
      <c r="AQ34" s="12" t="s">
        <v>1533</v>
      </c>
      <c r="AR34" s="11">
        <v>2</v>
      </c>
      <c r="AS34" s="11">
        <v>1</v>
      </c>
      <c r="AT34" s="12" t="s">
        <v>1534</v>
      </c>
      <c r="AU34" s="11">
        <v>1</v>
      </c>
      <c r="AV34" s="11">
        <v>1</v>
      </c>
      <c r="AW34" s="12" t="s">
        <v>1535</v>
      </c>
      <c r="AX34" s="14">
        <v>7.275</v>
      </c>
      <c r="AY34" s="14">
        <v>8.499</v>
      </c>
      <c r="AZ34" s="14">
        <v>7.99</v>
      </c>
      <c r="BA34" s="14">
        <v>7.645</v>
      </c>
      <c r="BB34" s="14">
        <v>5.812</v>
      </c>
      <c r="BC34" s="14">
        <v>5.84</v>
      </c>
    </row>
    <row r="35" ht="19.9" customHeight="1" spans="1:55">
      <c r="A35" s="10" t="s">
        <v>45</v>
      </c>
      <c r="B35" s="11">
        <v>2</v>
      </c>
      <c r="C35" s="11">
        <v>1</v>
      </c>
      <c r="D35" s="12" t="s">
        <v>1536</v>
      </c>
      <c r="E35" s="11">
        <v>0</v>
      </c>
      <c r="F35" s="11">
        <v>2</v>
      </c>
      <c r="G35" s="12" t="s">
        <v>1537</v>
      </c>
      <c r="H35" s="11">
        <v>0</v>
      </c>
      <c r="I35" s="11">
        <v>2</v>
      </c>
      <c r="J35" s="12" t="s">
        <v>1538</v>
      </c>
      <c r="K35" s="11">
        <v>2</v>
      </c>
      <c r="L35" s="11">
        <v>1</v>
      </c>
      <c r="M35" s="12" t="s">
        <v>1539</v>
      </c>
      <c r="N35" s="11">
        <v>1</v>
      </c>
      <c r="O35" s="11">
        <v>1</v>
      </c>
      <c r="P35" s="12" t="s">
        <v>1540</v>
      </c>
      <c r="Q35" s="11">
        <v>1</v>
      </c>
      <c r="R35" s="11">
        <v>2</v>
      </c>
      <c r="S35" s="12" t="s">
        <v>1541</v>
      </c>
      <c r="T35" s="11">
        <v>1</v>
      </c>
      <c r="U35" s="11">
        <v>1</v>
      </c>
      <c r="V35" s="12" t="s">
        <v>1542</v>
      </c>
      <c r="W35" s="11">
        <v>0</v>
      </c>
      <c r="X35" s="11">
        <v>2</v>
      </c>
      <c r="Y35" s="12" t="s">
        <v>1543</v>
      </c>
      <c r="Z35" s="11">
        <v>2</v>
      </c>
      <c r="AA35" s="11">
        <v>2</v>
      </c>
      <c r="AB35" s="12" t="s">
        <v>1544</v>
      </c>
      <c r="AC35" s="11">
        <v>1</v>
      </c>
      <c r="AD35" s="11">
        <v>2</v>
      </c>
      <c r="AE35" s="12" t="s">
        <v>1545</v>
      </c>
      <c r="AF35" s="11">
        <v>0</v>
      </c>
      <c r="AG35" s="11">
        <v>3</v>
      </c>
      <c r="AH35" s="12" t="s">
        <v>1546</v>
      </c>
      <c r="AI35" s="11">
        <v>2</v>
      </c>
      <c r="AJ35" s="11">
        <v>0</v>
      </c>
      <c r="AK35" s="12" t="s">
        <v>1547</v>
      </c>
      <c r="AL35" s="11">
        <v>1</v>
      </c>
      <c r="AM35" s="11">
        <v>1</v>
      </c>
      <c r="AN35" s="12" t="s">
        <v>1548</v>
      </c>
      <c r="AO35" s="11">
        <v>1</v>
      </c>
      <c r="AP35" s="11">
        <v>2</v>
      </c>
      <c r="AQ35" s="12" t="s">
        <v>1549</v>
      </c>
      <c r="AR35" s="11">
        <v>2</v>
      </c>
      <c r="AS35" s="11">
        <v>1</v>
      </c>
      <c r="AT35" s="12" t="s">
        <v>1550</v>
      </c>
      <c r="AU35" s="11">
        <v>1</v>
      </c>
      <c r="AV35" s="11">
        <v>1</v>
      </c>
      <c r="AW35" s="12" t="s">
        <v>1551</v>
      </c>
      <c r="AX35" s="14">
        <v>7.314</v>
      </c>
      <c r="AY35" s="14">
        <v>6.925</v>
      </c>
      <c r="AZ35" s="14">
        <v>7.25</v>
      </c>
      <c r="BA35" s="14">
        <v>7.156</v>
      </c>
      <c r="BB35" s="14">
        <v>5.68</v>
      </c>
      <c r="BC35" s="14">
        <v>5.7</v>
      </c>
    </row>
    <row r="36" ht="19.9" customHeight="1" spans="1:55">
      <c r="A36" s="10" t="s">
        <v>46</v>
      </c>
      <c r="B36" s="11">
        <v>2</v>
      </c>
      <c r="C36" s="11">
        <v>1</v>
      </c>
      <c r="D36" s="12" t="s">
        <v>1552</v>
      </c>
      <c r="E36" s="11">
        <v>0</v>
      </c>
      <c r="F36" s="11">
        <v>2</v>
      </c>
      <c r="G36" s="12" t="s">
        <v>1553</v>
      </c>
      <c r="H36" s="11">
        <v>0</v>
      </c>
      <c r="I36" s="11">
        <v>2</v>
      </c>
      <c r="J36" s="12" t="s">
        <v>1554</v>
      </c>
      <c r="K36" s="11">
        <v>2</v>
      </c>
      <c r="L36" s="11">
        <v>1</v>
      </c>
      <c r="M36" s="12" t="s">
        <v>1555</v>
      </c>
      <c r="N36" s="11">
        <v>1</v>
      </c>
      <c r="O36" s="11">
        <v>1</v>
      </c>
      <c r="P36" s="12" t="s">
        <v>1556</v>
      </c>
      <c r="Q36" s="11">
        <v>1</v>
      </c>
      <c r="R36" s="11">
        <v>2</v>
      </c>
      <c r="S36" s="12" t="s">
        <v>1557</v>
      </c>
      <c r="T36" s="11">
        <v>1</v>
      </c>
      <c r="U36" s="11">
        <v>1</v>
      </c>
      <c r="V36" s="12" t="s">
        <v>1558</v>
      </c>
      <c r="W36" s="11">
        <v>1</v>
      </c>
      <c r="X36" s="11">
        <v>1</v>
      </c>
      <c r="Y36" s="12" t="s">
        <v>1559</v>
      </c>
      <c r="Z36" s="11">
        <v>0</v>
      </c>
      <c r="AA36" s="11">
        <v>4</v>
      </c>
      <c r="AB36" s="12" t="s">
        <v>1560</v>
      </c>
      <c r="AC36" s="11">
        <v>1</v>
      </c>
      <c r="AD36" s="11">
        <v>2</v>
      </c>
      <c r="AE36" s="12" t="s">
        <v>1561</v>
      </c>
      <c r="AF36" s="11">
        <v>0</v>
      </c>
      <c r="AG36" s="11">
        <v>3</v>
      </c>
      <c r="AH36" s="12" t="s">
        <v>1562</v>
      </c>
      <c r="AI36" s="11">
        <v>2</v>
      </c>
      <c r="AJ36" s="11">
        <v>0</v>
      </c>
      <c r="AK36" s="12" t="s">
        <v>1563</v>
      </c>
      <c r="AL36" s="11">
        <v>1</v>
      </c>
      <c r="AM36" s="11">
        <v>1</v>
      </c>
      <c r="AN36" s="12" t="s">
        <v>1564</v>
      </c>
      <c r="AO36" s="11">
        <v>1</v>
      </c>
      <c r="AP36" s="11">
        <v>2</v>
      </c>
      <c r="AQ36" s="12" t="s">
        <v>1565</v>
      </c>
      <c r="AR36" s="11">
        <v>2</v>
      </c>
      <c r="AS36" s="11">
        <v>1</v>
      </c>
      <c r="AT36" s="12" t="s">
        <v>1566</v>
      </c>
      <c r="AU36" s="11">
        <v>1</v>
      </c>
      <c r="AV36" s="11">
        <v>1</v>
      </c>
      <c r="AW36" s="12" t="s">
        <v>1567</v>
      </c>
      <c r="AX36" s="14">
        <v>7.297</v>
      </c>
      <c r="AY36" s="14">
        <v>6.284</v>
      </c>
      <c r="AZ36" s="14">
        <v>6.24</v>
      </c>
      <c r="BA36" s="14">
        <v>7.203</v>
      </c>
      <c r="BB36" s="14">
        <v>5.529</v>
      </c>
      <c r="BC36" s="14">
        <v>5.56</v>
      </c>
    </row>
    <row r="37" ht="14.3" customHeight="1" spans="4:49">
      <c r="D37" s="13"/>
      <c r="G37" s="13"/>
      <c r="J37" s="13"/>
      <c r="M37" s="13"/>
      <c r="P37" s="13"/>
      <c r="S37" s="13"/>
      <c r="V37" s="13"/>
      <c r="Y37" s="13"/>
      <c r="AB37" s="13"/>
      <c r="AE37" s="13"/>
      <c r="AH37" s="13"/>
      <c r="AK37" s="13"/>
      <c r="AN37" s="13"/>
      <c r="AQ37" s="13"/>
      <c r="AT37" s="13"/>
      <c r="AW37" s="13"/>
    </row>
  </sheetData>
  <mergeCells count="20">
    <mergeCell ref="A1:C1"/>
    <mergeCell ref="B2:AW2"/>
    <mergeCell ref="AX2:BC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2:A4"/>
  </mergeCells>
  <pageMargins left="0.75" right="0.75" top="0.270000010728836" bottom="0.270000010728836" header="0" footer="0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6"/>
  <sheetViews>
    <sheetView workbookViewId="0">
      <selection activeCell="A1" sqref="A1:AH1"/>
    </sheetView>
  </sheetViews>
  <sheetFormatPr defaultColWidth="10" defaultRowHeight="13.5"/>
  <cols>
    <col min="1" max="1" width="11.6666666666667" customWidth="1"/>
    <col min="2" max="3" width="12.8166666666667" customWidth="1"/>
    <col min="4" max="34" width="17.775" customWidth="1"/>
  </cols>
  <sheetData>
    <row r="1" ht="37.65" customHeight="1" spans="1:34">
      <c r="A1" s="1" t="s">
        <v>1568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3" customHeight="1" spans="1:34">
      <c r="A2" s="2" t="s">
        <v>1569</v>
      </c>
      <c r="B2" s="2" t="s">
        <v>1570</v>
      </c>
      <c r="C2" s="2" t="s">
        <v>1571</v>
      </c>
      <c r="D2" s="3">
        <v>45662</v>
      </c>
      <c r="E2" s="3">
        <v>45682</v>
      </c>
      <c r="F2" s="3">
        <v>45686</v>
      </c>
      <c r="G2" s="3">
        <v>45669</v>
      </c>
      <c r="H2" s="3">
        <v>45683</v>
      </c>
      <c r="I2" s="3">
        <v>45687</v>
      </c>
      <c r="J2" s="3">
        <v>45685</v>
      </c>
      <c r="K2" s="3">
        <v>45677</v>
      </c>
      <c r="L2" s="3">
        <v>45664</v>
      </c>
      <c r="M2" s="3">
        <v>45684</v>
      </c>
      <c r="N2" s="3">
        <v>45672</v>
      </c>
      <c r="O2" s="3">
        <v>45661</v>
      </c>
      <c r="P2" s="3">
        <v>45658</v>
      </c>
      <c r="Q2" s="3">
        <v>45670</v>
      </c>
      <c r="R2" s="3">
        <v>45671</v>
      </c>
      <c r="S2" s="3">
        <v>45676</v>
      </c>
      <c r="T2" s="3">
        <v>45668</v>
      </c>
      <c r="U2" s="3">
        <v>45681</v>
      </c>
      <c r="V2" s="3">
        <v>45665</v>
      </c>
      <c r="W2" s="3">
        <v>45663</v>
      </c>
      <c r="X2" s="3">
        <v>45674</v>
      </c>
      <c r="Y2" s="3">
        <v>45688</v>
      </c>
      <c r="Z2" s="3">
        <v>45660</v>
      </c>
      <c r="AA2" s="3">
        <v>45666</v>
      </c>
      <c r="AB2" s="3">
        <v>45659</v>
      </c>
      <c r="AC2" s="3">
        <v>45678</v>
      </c>
      <c r="AD2" s="3">
        <v>45667</v>
      </c>
      <c r="AE2" s="3">
        <v>45680</v>
      </c>
      <c r="AF2" s="3">
        <v>45673</v>
      </c>
      <c r="AG2" s="3">
        <v>45679</v>
      </c>
      <c r="AH2" s="3">
        <v>45675</v>
      </c>
    </row>
    <row r="3" ht="14.3" customHeight="1" spans="1:34">
      <c r="A3" s="2" t="s">
        <v>64</v>
      </c>
      <c r="B3" s="2" t="s">
        <v>1572</v>
      </c>
      <c r="C3" s="2" t="s">
        <v>1573</v>
      </c>
      <c r="D3" s="4">
        <v>-19.5</v>
      </c>
      <c r="E3" s="4">
        <v>-18.75</v>
      </c>
      <c r="F3" s="4">
        <v>-21.55</v>
      </c>
      <c r="G3" s="4">
        <v>-23.04</v>
      </c>
      <c r="H3" s="4">
        <v>-20.22</v>
      </c>
      <c r="I3" s="4">
        <v>-21.35</v>
      </c>
      <c r="J3" s="4">
        <v>-19.76</v>
      </c>
      <c r="K3" s="4">
        <v>-20.33</v>
      </c>
      <c r="L3" s="4">
        <v>-18.5</v>
      </c>
      <c r="M3" s="4">
        <v>-19.52</v>
      </c>
      <c r="N3" s="4">
        <v>-20.15</v>
      </c>
      <c r="O3" s="4">
        <v>-18.95</v>
      </c>
      <c r="P3" s="4">
        <v>-19.58</v>
      </c>
      <c r="Q3" s="4">
        <v>-22.8</v>
      </c>
      <c r="R3" s="4">
        <v>-20.61</v>
      </c>
      <c r="S3" s="4">
        <v>-20.53</v>
      </c>
      <c r="T3" s="4">
        <v>-21.32</v>
      </c>
      <c r="U3" s="4">
        <v>-18.69</v>
      </c>
      <c r="V3" s="4">
        <v>-19.77</v>
      </c>
      <c r="W3" s="4">
        <v>-18.71</v>
      </c>
      <c r="X3" s="4">
        <v>-20.03</v>
      </c>
      <c r="Y3" s="4">
        <v>-20.6</v>
      </c>
      <c r="Z3" s="4">
        <v>-19.09</v>
      </c>
      <c r="AA3" s="4">
        <v>-19.23</v>
      </c>
      <c r="AB3" s="4">
        <v>-19.41</v>
      </c>
      <c r="AC3" s="4">
        <v>-19.32</v>
      </c>
      <c r="AD3" s="4">
        <v>-20.2</v>
      </c>
      <c r="AE3" s="4">
        <v>-18.61</v>
      </c>
      <c r="AF3" s="4">
        <v>-19.52</v>
      </c>
      <c r="AG3" s="4">
        <v>-18.57</v>
      </c>
      <c r="AH3" s="4">
        <v>-20.13</v>
      </c>
    </row>
    <row r="4" ht="25.6" customHeight="1" spans="1:34">
      <c r="A4" s="2"/>
      <c r="B4" s="2" t="s">
        <v>1574</v>
      </c>
      <c r="C4" s="2" t="s">
        <v>1575</v>
      </c>
      <c r="D4" s="4">
        <v>1.86</v>
      </c>
      <c r="E4" s="4">
        <v>-2.82</v>
      </c>
      <c r="F4" s="4">
        <v>-3.33</v>
      </c>
      <c r="G4" s="4">
        <v>-1.83</v>
      </c>
      <c r="H4" s="4">
        <v>-1.63</v>
      </c>
      <c r="I4" s="4">
        <v>-2.83</v>
      </c>
      <c r="J4" s="4">
        <v>-2.13</v>
      </c>
      <c r="K4" s="4">
        <v>-1.83</v>
      </c>
      <c r="L4" s="4">
        <v>-3.23</v>
      </c>
      <c r="M4" s="4">
        <v>-2.23</v>
      </c>
      <c r="N4" s="4">
        <v>-1.73</v>
      </c>
      <c r="O4" s="4">
        <v>8.85</v>
      </c>
      <c r="P4" s="4">
        <v>3.06</v>
      </c>
      <c r="Q4" s="4">
        <v>-1.23</v>
      </c>
      <c r="R4" s="4">
        <v>-3.13</v>
      </c>
      <c r="S4" s="4">
        <v>-1.32</v>
      </c>
      <c r="T4" s="4">
        <v>-4.93</v>
      </c>
      <c r="U4" s="4">
        <v>-2.73</v>
      </c>
      <c r="V4" s="4">
        <v>-2.33</v>
      </c>
      <c r="W4" s="4">
        <v>0.07</v>
      </c>
      <c r="X4" s="4">
        <v>-2.13</v>
      </c>
      <c r="Y4" s="4">
        <v>-2.53</v>
      </c>
      <c r="Z4" s="4">
        <v>5.86</v>
      </c>
      <c r="AA4" s="4">
        <v>-3.54</v>
      </c>
      <c r="AB4" s="4">
        <v>3.16</v>
      </c>
      <c r="AC4" s="4">
        <v>-1.93</v>
      </c>
      <c r="AD4" s="4">
        <v>-1.53</v>
      </c>
      <c r="AE4" s="4">
        <v>-2.83</v>
      </c>
      <c r="AF4" s="4">
        <v>2.06</v>
      </c>
      <c r="AG4" s="4">
        <v>-3.02</v>
      </c>
      <c r="AH4" s="4">
        <v>-1.43</v>
      </c>
    </row>
    <row r="5" ht="14.3" customHeight="1" spans="1:34">
      <c r="A5" s="2"/>
      <c r="B5" s="2" t="s">
        <v>1576</v>
      </c>
      <c r="C5" s="2" t="s">
        <v>1577</v>
      </c>
      <c r="D5" s="4">
        <v>99.5576</v>
      </c>
      <c r="E5" s="4">
        <v>99.5052</v>
      </c>
      <c r="F5" s="4">
        <v>99.5225</v>
      </c>
      <c r="G5" s="4">
        <v>99.5594</v>
      </c>
      <c r="H5" s="4">
        <v>99.5079</v>
      </c>
      <c r="I5" s="4">
        <v>99.528</v>
      </c>
      <c r="J5" s="4">
        <v>99.5117</v>
      </c>
      <c r="K5" s="4">
        <v>99.4993</v>
      </c>
      <c r="L5" s="4">
        <v>99.5585</v>
      </c>
      <c r="M5" s="4">
        <v>99.5095</v>
      </c>
      <c r="N5" s="4">
        <v>99.561</v>
      </c>
      <c r="O5" s="4">
        <v>99.5457</v>
      </c>
      <c r="P5" s="4">
        <v>99.5477</v>
      </c>
      <c r="Q5" s="4">
        <v>99.5611</v>
      </c>
      <c r="R5" s="4">
        <v>99.561</v>
      </c>
      <c r="S5" s="4">
        <v>99.502</v>
      </c>
      <c r="T5" s="4">
        <v>99.5593</v>
      </c>
      <c r="U5" s="4">
        <v>99.4965</v>
      </c>
      <c r="V5" s="4">
        <v>99.5591</v>
      </c>
      <c r="W5" s="4">
        <v>99.558</v>
      </c>
      <c r="X5" s="4">
        <v>99.4788</v>
      </c>
      <c r="Y5" s="4">
        <v>99.5266</v>
      </c>
      <c r="Z5" s="4">
        <v>99.543</v>
      </c>
      <c r="AA5" s="4">
        <v>99.5589</v>
      </c>
      <c r="AB5" s="4">
        <v>99.5426</v>
      </c>
      <c r="AC5" s="4">
        <v>99.51</v>
      </c>
      <c r="AD5" s="4">
        <v>99.5616</v>
      </c>
      <c r="AE5" s="4">
        <v>99.4957</v>
      </c>
      <c r="AF5" s="4">
        <v>99.4745</v>
      </c>
      <c r="AG5" s="4">
        <v>99.5014</v>
      </c>
      <c r="AH5" s="4">
        <v>99.4894</v>
      </c>
    </row>
    <row r="6" ht="14.3" customHeight="1" spans="1:34">
      <c r="A6" s="2"/>
      <c r="B6" s="2" t="s">
        <v>1578</v>
      </c>
      <c r="C6" s="2" t="s">
        <v>261</v>
      </c>
      <c r="D6" s="4">
        <v>0</v>
      </c>
      <c r="E6" s="4">
        <v>0.0518</v>
      </c>
      <c r="F6" s="4">
        <v>0.0354</v>
      </c>
      <c r="G6" s="4">
        <v>0</v>
      </c>
      <c r="H6" s="4">
        <v>0.049</v>
      </c>
      <c r="I6" s="4">
        <v>0.0308</v>
      </c>
      <c r="J6" s="4">
        <v>0.0457</v>
      </c>
      <c r="K6" s="4">
        <v>0.058</v>
      </c>
      <c r="L6" s="4">
        <v>0</v>
      </c>
      <c r="M6" s="4">
        <v>0.0515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0.056</v>
      </c>
      <c r="T6" s="4">
        <v>0</v>
      </c>
      <c r="U6" s="4">
        <v>0.0589</v>
      </c>
      <c r="V6" s="4">
        <v>0</v>
      </c>
      <c r="W6" s="4">
        <v>0</v>
      </c>
      <c r="X6" s="4">
        <v>0.0769</v>
      </c>
      <c r="Y6" s="4">
        <v>0.0325</v>
      </c>
      <c r="Z6" s="4">
        <v>0</v>
      </c>
      <c r="AA6" s="4">
        <v>0</v>
      </c>
      <c r="AB6" s="4">
        <v>0</v>
      </c>
      <c r="AC6" s="4">
        <v>0.0523</v>
      </c>
      <c r="AD6" s="4">
        <v>0</v>
      </c>
      <c r="AE6" s="4">
        <v>0.0647</v>
      </c>
      <c r="AF6" s="4">
        <v>0.0834</v>
      </c>
      <c r="AG6" s="4">
        <v>0.0583</v>
      </c>
      <c r="AH6" s="4">
        <v>0.0672</v>
      </c>
    </row>
    <row r="7" ht="14.3" customHeight="1" spans="1:34">
      <c r="A7" s="2"/>
      <c r="B7" s="2" t="s">
        <v>1579</v>
      </c>
      <c r="C7" s="2" t="s">
        <v>261</v>
      </c>
      <c r="D7" s="4">
        <v>0.0232</v>
      </c>
      <c r="E7" s="4">
        <v>0.0229</v>
      </c>
      <c r="F7" s="4">
        <v>0.0229</v>
      </c>
      <c r="G7" s="4">
        <v>0.0232</v>
      </c>
      <c r="H7" s="4">
        <v>0.0229</v>
      </c>
      <c r="I7" s="4">
        <v>0.0229</v>
      </c>
      <c r="J7" s="4">
        <v>0.0229</v>
      </c>
      <c r="K7" s="4">
        <v>0.023</v>
      </c>
      <c r="L7" s="4">
        <v>0.0232</v>
      </c>
      <c r="M7" s="4">
        <v>0.0229</v>
      </c>
      <c r="N7" s="4">
        <v>0.0231</v>
      </c>
      <c r="O7" s="4">
        <v>0.0232</v>
      </c>
      <c r="P7" s="4">
        <v>0.0229</v>
      </c>
      <c r="Q7" s="4">
        <v>0.0231</v>
      </c>
      <c r="R7" s="4">
        <v>0.0231</v>
      </c>
      <c r="S7" s="4">
        <v>0.023</v>
      </c>
      <c r="T7" s="4">
        <v>0.0232</v>
      </c>
      <c r="U7" s="4">
        <v>0.0229</v>
      </c>
      <c r="V7" s="4">
        <v>0.0232</v>
      </c>
      <c r="W7" s="4">
        <v>0.0232</v>
      </c>
      <c r="X7" s="4">
        <v>0.023</v>
      </c>
      <c r="Y7" s="4">
        <v>0.023</v>
      </c>
      <c r="Z7" s="4">
        <v>0.0232</v>
      </c>
      <c r="AA7" s="4">
        <v>0.0232</v>
      </c>
      <c r="AB7" s="4">
        <v>0.0229</v>
      </c>
      <c r="AC7" s="4">
        <v>0.0224</v>
      </c>
      <c r="AD7" s="4">
        <v>0.0232</v>
      </c>
      <c r="AE7" s="4">
        <v>0.0229</v>
      </c>
      <c r="AF7" s="4">
        <v>0.023</v>
      </c>
      <c r="AG7" s="4">
        <v>0.0229</v>
      </c>
      <c r="AH7" s="4">
        <v>0.023</v>
      </c>
    </row>
    <row r="8" ht="14.3" customHeight="1" spans="1:34">
      <c r="A8" s="2"/>
      <c r="B8" s="2" t="s">
        <v>1580</v>
      </c>
      <c r="C8" s="2" t="s">
        <v>261</v>
      </c>
      <c r="D8" s="4">
        <v>0.0098</v>
      </c>
      <c r="E8" s="4">
        <v>0.0096</v>
      </c>
      <c r="F8" s="4">
        <v>0.0096</v>
      </c>
      <c r="G8" s="4">
        <v>0.0098</v>
      </c>
      <c r="H8" s="4">
        <v>0.0096</v>
      </c>
      <c r="I8" s="4">
        <v>0.0096</v>
      </c>
      <c r="J8" s="4">
        <v>0.0096</v>
      </c>
      <c r="K8" s="4">
        <v>0.0097</v>
      </c>
      <c r="L8" s="4">
        <v>0.0098</v>
      </c>
      <c r="M8" s="4">
        <v>0.0096</v>
      </c>
      <c r="N8" s="4">
        <v>0.0099</v>
      </c>
      <c r="O8" s="4">
        <v>0.0098</v>
      </c>
      <c r="P8" s="4">
        <v>0.0098</v>
      </c>
      <c r="Q8" s="4">
        <v>0.0099</v>
      </c>
      <c r="R8" s="4">
        <v>0.0099</v>
      </c>
      <c r="S8" s="4">
        <v>0.0097</v>
      </c>
      <c r="T8" s="4">
        <v>0.0098</v>
      </c>
      <c r="U8" s="4">
        <v>0.0096</v>
      </c>
      <c r="V8" s="4">
        <v>0.0098</v>
      </c>
      <c r="W8" s="4">
        <v>0.0098</v>
      </c>
      <c r="X8" s="4">
        <v>0.0097</v>
      </c>
      <c r="Y8" s="4">
        <v>0.0096</v>
      </c>
      <c r="Z8" s="4">
        <v>0.0098</v>
      </c>
      <c r="AA8" s="4">
        <v>0.0098</v>
      </c>
      <c r="AB8" s="4">
        <v>0.0098</v>
      </c>
      <c r="AC8" s="4">
        <v>0.0096</v>
      </c>
      <c r="AD8" s="4">
        <v>0.0098</v>
      </c>
      <c r="AE8" s="4">
        <v>0.0096</v>
      </c>
      <c r="AF8" s="4">
        <v>0.0098</v>
      </c>
      <c r="AG8" s="4">
        <v>0.0096</v>
      </c>
      <c r="AH8" s="4">
        <v>0.0097</v>
      </c>
    </row>
    <row r="9" ht="14.3" customHeight="1" spans="1:34">
      <c r="A9" s="2"/>
      <c r="B9" s="2" t="s">
        <v>1581</v>
      </c>
      <c r="C9" s="2" t="s">
        <v>261</v>
      </c>
      <c r="D9" s="4">
        <v>0.0025</v>
      </c>
      <c r="E9" s="4">
        <v>0.0023</v>
      </c>
      <c r="F9" s="4">
        <v>0.0023</v>
      </c>
      <c r="G9" s="4">
        <v>0.0025</v>
      </c>
      <c r="H9" s="4">
        <v>0.0023</v>
      </c>
      <c r="I9" s="4">
        <v>0.0023</v>
      </c>
      <c r="J9" s="4">
        <v>0.0023</v>
      </c>
      <c r="K9" s="4">
        <v>0.0023</v>
      </c>
      <c r="L9" s="4">
        <v>0.0025</v>
      </c>
      <c r="M9" s="4">
        <v>0.0023</v>
      </c>
      <c r="N9" s="4">
        <v>0.0022</v>
      </c>
      <c r="O9" s="4">
        <v>0.0025</v>
      </c>
      <c r="P9" s="4">
        <v>0.0023</v>
      </c>
      <c r="Q9" s="4">
        <v>0.0022</v>
      </c>
      <c r="R9" s="4">
        <v>0.0022</v>
      </c>
      <c r="S9" s="4">
        <v>0.0023</v>
      </c>
      <c r="T9" s="4">
        <v>0.0025</v>
      </c>
      <c r="U9" s="4">
        <v>0.0023</v>
      </c>
      <c r="V9" s="4">
        <v>0.0025</v>
      </c>
      <c r="W9" s="4">
        <v>0.0025</v>
      </c>
      <c r="X9" s="4">
        <v>0.0023</v>
      </c>
      <c r="Y9" s="4">
        <v>0.0023</v>
      </c>
      <c r="Z9" s="4">
        <v>0.0025</v>
      </c>
      <c r="AA9" s="4">
        <v>0.0025</v>
      </c>
      <c r="AB9" s="4">
        <v>0.0023</v>
      </c>
      <c r="AC9" s="4">
        <v>0.0023</v>
      </c>
      <c r="AD9" s="4">
        <v>0.0025</v>
      </c>
      <c r="AE9" s="4">
        <v>0.0023</v>
      </c>
      <c r="AF9" s="4">
        <v>0.0028</v>
      </c>
      <c r="AG9" s="4">
        <v>0.0023</v>
      </c>
      <c r="AH9" s="4">
        <v>0.0023</v>
      </c>
    </row>
    <row r="10" ht="14.3" customHeight="1" spans="1:34">
      <c r="A10" s="2"/>
      <c r="B10" s="2" t="s">
        <v>1582</v>
      </c>
      <c r="C10" s="2" t="s">
        <v>261</v>
      </c>
      <c r="D10" s="4">
        <v>0.0041</v>
      </c>
      <c r="E10" s="4">
        <v>0.0036</v>
      </c>
      <c r="F10" s="4">
        <v>0.0036</v>
      </c>
      <c r="G10" s="4">
        <v>0.0041</v>
      </c>
      <c r="H10" s="4">
        <v>0.0036</v>
      </c>
      <c r="I10" s="4">
        <v>0.0036</v>
      </c>
      <c r="J10" s="4">
        <v>0.0036</v>
      </c>
      <c r="K10" s="4">
        <v>0.0036</v>
      </c>
      <c r="L10" s="4">
        <v>0.0041</v>
      </c>
      <c r="M10" s="4">
        <v>0.0036</v>
      </c>
      <c r="N10" s="4">
        <v>0.0038</v>
      </c>
      <c r="O10" s="4">
        <v>0.0041</v>
      </c>
      <c r="P10" s="4">
        <v>0.0037</v>
      </c>
      <c r="Q10" s="4">
        <v>0.0038</v>
      </c>
      <c r="R10" s="4">
        <v>0.0038</v>
      </c>
      <c r="S10" s="4">
        <v>0.0036</v>
      </c>
      <c r="T10" s="4">
        <v>0.0041</v>
      </c>
      <c r="U10" s="4">
        <v>0.0036</v>
      </c>
      <c r="V10" s="4">
        <v>0.0041</v>
      </c>
      <c r="W10" s="4">
        <v>0.0041</v>
      </c>
      <c r="X10" s="4">
        <v>0.0036</v>
      </c>
      <c r="Y10" s="4">
        <v>0.0036</v>
      </c>
      <c r="Z10" s="4">
        <v>0.0041</v>
      </c>
      <c r="AA10" s="4">
        <v>0.0041</v>
      </c>
      <c r="AB10" s="4">
        <v>0.0037</v>
      </c>
      <c r="AC10" s="4">
        <v>0.0036</v>
      </c>
      <c r="AD10" s="4">
        <v>0.0041</v>
      </c>
      <c r="AE10" s="4">
        <v>0.0036</v>
      </c>
      <c r="AF10" s="4">
        <v>0.0036</v>
      </c>
      <c r="AG10" s="4">
        <v>0.0036</v>
      </c>
      <c r="AH10" s="4">
        <v>0.0036</v>
      </c>
    </row>
    <row r="11" ht="14.3" customHeight="1" spans="1:34">
      <c r="A11" s="2"/>
      <c r="B11" s="2" t="s">
        <v>1583</v>
      </c>
      <c r="C11" s="2" t="s">
        <v>261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</row>
    <row r="12" ht="14.3" customHeight="1" spans="1:34">
      <c r="A12" s="2"/>
      <c r="B12" s="2" t="s">
        <v>1584</v>
      </c>
      <c r="C12" s="2" t="s">
        <v>261</v>
      </c>
      <c r="D12" s="4">
        <v>0.0125</v>
      </c>
      <c r="E12" s="4">
        <v>0.0127</v>
      </c>
      <c r="F12" s="4">
        <v>0.0126</v>
      </c>
      <c r="G12" s="4">
        <v>0.0126</v>
      </c>
      <c r="H12" s="4">
        <v>0.0121</v>
      </c>
      <c r="I12" s="4">
        <v>0.0131</v>
      </c>
      <c r="J12" s="4">
        <v>0.0122</v>
      </c>
      <c r="K12" s="4">
        <v>0.0122</v>
      </c>
      <c r="L12" s="4">
        <v>0.013</v>
      </c>
      <c r="M12" s="4">
        <v>0.0118</v>
      </c>
      <c r="N12" s="4">
        <v>0.0133</v>
      </c>
      <c r="O12" s="4">
        <v>0.013</v>
      </c>
      <c r="P12" s="4">
        <v>0.014</v>
      </c>
      <c r="Q12" s="4">
        <v>0.0139</v>
      </c>
      <c r="R12" s="4">
        <v>0.0133</v>
      </c>
      <c r="S12" s="4">
        <v>0.0123</v>
      </c>
      <c r="T12" s="4">
        <v>0.0136</v>
      </c>
      <c r="U12" s="4">
        <v>0.0123</v>
      </c>
      <c r="V12" s="4">
        <v>0.013</v>
      </c>
      <c r="W12" s="4">
        <v>0.0125</v>
      </c>
      <c r="X12" s="4">
        <v>0.0121</v>
      </c>
      <c r="Y12" s="4">
        <v>0.013</v>
      </c>
      <c r="Z12" s="4">
        <v>0.0125</v>
      </c>
      <c r="AA12" s="4">
        <v>0.0127</v>
      </c>
      <c r="AB12" s="4">
        <v>0.0147</v>
      </c>
      <c r="AC12" s="4">
        <v>0.0115</v>
      </c>
      <c r="AD12" s="4">
        <v>0.0134</v>
      </c>
      <c r="AE12" s="4">
        <v>0.0124</v>
      </c>
      <c r="AF12" s="4">
        <v>0.0109</v>
      </c>
      <c r="AG12" s="4">
        <v>0.0129</v>
      </c>
      <c r="AH12" s="4">
        <v>0.0121</v>
      </c>
    </row>
    <row r="13" ht="14.3" customHeight="1" spans="1:34">
      <c r="A13" s="2"/>
      <c r="B13" s="2" t="s">
        <v>1585</v>
      </c>
      <c r="C13" s="2" t="s">
        <v>1586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14.3" customHeight="1" spans="1:34">
      <c r="A14" s="2"/>
      <c r="B14" s="2" t="s">
        <v>1587</v>
      </c>
      <c r="C14" s="2" t="s">
        <v>1588</v>
      </c>
      <c r="D14" s="4">
        <v>0.8631</v>
      </c>
      <c r="E14" s="4">
        <v>1.5</v>
      </c>
      <c r="F14" s="4">
        <v>1.4</v>
      </c>
      <c r="G14" s="4">
        <v>0.8021</v>
      </c>
      <c r="H14" s="4">
        <v>0</v>
      </c>
      <c r="I14" s="4">
        <v>0.8</v>
      </c>
      <c r="J14" s="4">
        <v>1.3</v>
      </c>
      <c r="K14" s="4">
        <v>0.4</v>
      </c>
      <c r="L14" s="4">
        <v>0.895</v>
      </c>
      <c r="M14" s="4">
        <v>1.5</v>
      </c>
      <c r="N14" s="4">
        <v>0.6</v>
      </c>
      <c r="O14" s="4">
        <v>0.9162</v>
      </c>
      <c r="P14" s="4">
        <v>0.8732</v>
      </c>
      <c r="Q14" s="4">
        <v>0.86</v>
      </c>
      <c r="R14" s="4">
        <v>0.8702</v>
      </c>
      <c r="S14" s="4">
        <v>0.3</v>
      </c>
      <c r="T14" s="4">
        <v>0.8235</v>
      </c>
      <c r="U14" s="4">
        <v>1</v>
      </c>
      <c r="V14" s="4">
        <v>0.9213</v>
      </c>
      <c r="W14" s="4">
        <v>0.8125</v>
      </c>
      <c r="X14" s="4">
        <v>0.8</v>
      </c>
      <c r="Y14" s="4">
        <v>0.6</v>
      </c>
      <c r="Z14" s="4">
        <v>0.9162</v>
      </c>
      <c r="AA14" s="4">
        <v>0.8125</v>
      </c>
      <c r="AB14" s="4">
        <v>0.9263</v>
      </c>
      <c r="AC14" s="4">
        <v>1.2</v>
      </c>
      <c r="AD14" s="4">
        <v>0.8124</v>
      </c>
      <c r="AE14" s="4">
        <v>1.9</v>
      </c>
      <c r="AF14" s="4">
        <v>1.3</v>
      </c>
      <c r="AG14" s="4">
        <v>1.4</v>
      </c>
      <c r="AH14" s="4">
        <v>1.1</v>
      </c>
    </row>
    <row r="15" ht="14.3" customHeight="1" spans="1:34">
      <c r="A15" s="2"/>
      <c r="B15" s="2" t="s">
        <v>1589</v>
      </c>
      <c r="C15" s="2" t="s">
        <v>1590</v>
      </c>
      <c r="D15" s="4">
        <v>0.2161</v>
      </c>
      <c r="E15" s="4">
        <v>0.2176</v>
      </c>
      <c r="F15" s="4">
        <v>0.2167</v>
      </c>
      <c r="G15" s="4">
        <v>0.2133</v>
      </c>
      <c r="H15" s="4">
        <v>0.2178</v>
      </c>
      <c r="I15" s="4">
        <v>0.2156</v>
      </c>
      <c r="J15" s="4">
        <v>0.2175</v>
      </c>
      <c r="K15" s="4">
        <v>0.218</v>
      </c>
      <c r="L15" s="4">
        <v>0.2156</v>
      </c>
      <c r="M15" s="4">
        <v>0.2188</v>
      </c>
      <c r="N15" s="4">
        <v>0.2117</v>
      </c>
      <c r="O15" s="4">
        <v>0.2276</v>
      </c>
      <c r="P15" s="4">
        <v>0.2255</v>
      </c>
      <c r="Q15" s="4">
        <v>0.211</v>
      </c>
      <c r="R15" s="4">
        <v>0.2117</v>
      </c>
      <c r="S15" s="4">
        <v>0.2172</v>
      </c>
      <c r="T15" s="4">
        <v>0.2124</v>
      </c>
      <c r="U15" s="4">
        <v>0.2195</v>
      </c>
      <c r="V15" s="4">
        <v>0.2143</v>
      </c>
      <c r="W15" s="4">
        <v>0.2159</v>
      </c>
      <c r="X15" s="4">
        <v>0.2194</v>
      </c>
      <c r="Y15" s="4">
        <v>0.2165</v>
      </c>
      <c r="Z15" s="4">
        <v>0.2308</v>
      </c>
      <c r="AA15" s="4">
        <v>0.2137</v>
      </c>
      <c r="AB15" s="4">
        <v>0.2299</v>
      </c>
      <c r="AC15" s="4">
        <v>0.2141</v>
      </c>
      <c r="AD15" s="4">
        <v>0.2103</v>
      </c>
      <c r="AE15" s="4">
        <v>0.2149</v>
      </c>
      <c r="AF15" s="4">
        <v>0.2199</v>
      </c>
      <c r="AG15" s="4">
        <v>0.2151</v>
      </c>
      <c r="AH15" s="4">
        <v>0.2185</v>
      </c>
    </row>
    <row r="16" ht="14.3" customHeight="1" spans="1:34">
      <c r="A16" s="2"/>
      <c r="B16" s="2" t="s">
        <v>1591</v>
      </c>
      <c r="C16" s="2" t="s">
        <v>1592</v>
      </c>
      <c r="D16" s="4">
        <v>0</v>
      </c>
      <c r="E16" s="4">
        <v>1.6</v>
      </c>
      <c r="F16" s="4">
        <v>1.6</v>
      </c>
      <c r="G16" s="4">
        <v>0</v>
      </c>
      <c r="H16" s="4">
        <v>0.2</v>
      </c>
      <c r="I16" s="4">
        <v>0.9</v>
      </c>
      <c r="J16" s="4">
        <v>1.3</v>
      </c>
      <c r="K16" s="4">
        <v>0.4</v>
      </c>
      <c r="L16" s="4">
        <v>0</v>
      </c>
      <c r="M16" s="4">
        <v>1.6</v>
      </c>
      <c r="N16" s="4">
        <v>0.7</v>
      </c>
      <c r="O16" s="4">
        <v>0</v>
      </c>
      <c r="P16" s="4">
        <v>0</v>
      </c>
      <c r="Q16" s="4">
        <v>1.4</v>
      </c>
      <c r="R16" s="4">
        <v>1.3</v>
      </c>
      <c r="S16" s="4">
        <v>0.3</v>
      </c>
      <c r="T16" s="4">
        <v>0</v>
      </c>
      <c r="U16" s="4">
        <v>1.1</v>
      </c>
      <c r="V16" s="4">
        <v>0</v>
      </c>
      <c r="W16" s="4">
        <v>0</v>
      </c>
      <c r="X16" s="4">
        <v>0.9</v>
      </c>
      <c r="Y16" s="4">
        <v>0.7</v>
      </c>
      <c r="Z16" s="4">
        <v>0</v>
      </c>
      <c r="AA16" s="4">
        <v>0</v>
      </c>
      <c r="AB16" s="4">
        <v>0</v>
      </c>
      <c r="AC16" s="4">
        <v>1.2</v>
      </c>
      <c r="AD16" s="4">
        <v>0</v>
      </c>
      <c r="AE16" s="4">
        <v>1.9</v>
      </c>
      <c r="AF16" s="4">
        <v>1.4</v>
      </c>
      <c r="AG16" s="4">
        <v>1.4</v>
      </c>
      <c r="AH16" s="4">
        <v>1.2</v>
      </c>
    </row>
    <row r="17" ht="14.3" customHeight="1" spans="1:34">
      <c r="A17" s="2"/>
      <c r="B17" s="2" t="s">
        <v>1593</v>
      </c>
      <c r="C17" s="2" t="s">
        <v>1594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4.3" customHeight="1" spans="1:34">
      <c r="A18" s="2"/>
      <c r="B18" s="2" t="s">
        <v>1595</v>
      </c>
      <c r="C18" s="2" t="s">
        <v>1596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14.3" customHeight="1" spans="1:34">
      <c r="A19" s="2"/>
      <c r="B19" s="2" t="s">
        <v>1597</v>
      </c>
      <c r="C19" s="2" t="s">
        <v>261</v>
      </c>
      <c r="D19" s="4">
        <v>0.1742</v>
      </c>
      <c r="E19" s="4">
        <v>0.1743</v>
      </c>
      <c r="F19" s="4">
        <v>0.1744</v>
      </c>
      <c r="G19" s="4">
        <v>0.1751</v>
      </c>
      <c r="H19" s="4">
        <v>0.1748</v>
      </c>
      <c r="I19" s="4">
        <v>0.1741</v>
      </c>
      <c r="J19" s="4">
        <v>0.1745</v>
      </c>
      <c r="K19" s="4">
        <v>0.1739</v>
      </c>
      <c r="L19" s="4">
        <v>0.1733</v>
      </c>
      <c r="M19" s="4">
        <v>0.17</v>
      </c>
      <c r="N19" s="4">
        <v>0.175</v>
      </c>
      <c r="O19" s="4">
        <v>0.1741</v>
      </c>
      <c r="P19" s="4">
        <v>0.1741</v>
      </c>
      <c r="Q19" s="4">
        <v>0.175</v>
      </c>
      <c r="R19" s="4">
        <v>0.175</v>
      </c>
      <c r="S19" s="4">
        <v>0.1739</v>
      </c>
      <c r="T19" s="4">
        <v>0.1751</v>
      </c>
      <c r="U19" s="4">
        <v>0.1744</v>
      </c>
      <c r="V19" s="4">
        <v>0.174</v>
      </c>
      <c r="W19" s="4">
        <v>0.174</v>
      </c>
      <c r="X19" s="4">
        <v>0.1742</v>
      </c>
      <c r="Y19" s="4">
        <v>0.1729</v>
      </c>
      <c r="Z19" s="4">
        <v>0.1741</v>
      </c>
      <c r="AA19" s="4">
        <v>0.1751</v>
      </c>
      <c r="AB19" s="4">
        <v>0.1741</v>
      </c>
      <c r="AC19" s="4">
        <v>0.1742</v>
      </c>
      <c r="AD19" s="4">
        <v>0.1751</v>
      </c>
      <c r="AE19" s="4">
        <v>0.1739</v>
      </c>
      <c r="AF19" s="4">
        <v>0.1721</v>
      </c>
      <c r="AG19" s="4">
        <v>0.1739</v>
      </c>
      <c r="AH19" s="4">
        <v>0.1742</v>
      </c>
    </row>
    <row r="20" ht="25.6" customHeight="1" spans="1:34">
      <c r="A20" s="2"/>
      <c r="B20" s="2" t="s">
        <v>1598</v>
      </c>
      <c r="C20" s="2" t="s">
        <v>1599</v>
      </c>
      <c r="D20" s="4">
        <v>37.015</v>
      </c>
      <c r="E20" s="4">
        <v>37.0272</v>
      </c>
      <c r="F20" s="4">
        <v>37.0225</v>
      </c>
      <c r="G20" s="4">
        <v>37.016</v>
      </c>
      <c r="H20" s="4">
        <v>37.0259</v>
      </c>
      <c r="I20" s="4">
        <v>37.0223</v>
      </c>
      <c r="J20" s="4">
        <v>37.0263</v>
      </c>
      <c r="K20" s="4">
        <v>37.0293</v>
      </c>
      <c r="L20" s="4">
        <v>37.016</v>
      </c>
      <c r="M20" s="4">
        <v>37.0297</v>
      </c>
      <c r="N20" s="4">
        <v>37.0172</v>
      </c>
      <c r="O20" s="4">
        <v>37.0115</v>
      </c>
      <c r="P20" s="4">
        <v>37.0122</v>
      </c>
      <c r="Q20" s="4">
        <v>37.0174</v>
      </c>
      <c r="R20" s="4">
        <v>37.0172</v>
      </c>
      <c r="S20" s="4">
        <v>37.0291</v>
      </c>
      <c r="T20" s="4">
        <v>37.0166</v>
      </c>
      <c r="U20" s="4">
        <v>37.029</v>
      </c>
      <c r="V20" s="4">
        <v>37.0159</v>
      </c>
      <c r="W20" s="4">
        <v>37.0162</v>
      </c>
      <c r="X20" s="4">
        <v>37.0333</v>
      </c>
      <c r="Y20" s="4">
        <v>37.0231</v>
      </c>
      <c r="Z20" s="4">
        <v>37.0103</v>
      </c>
      <c r="AA20" s="4">
        <v>37.0154</v>
      </c>
      <c r="AB20" s="4">
        <v>37.011</v>
      </c>
      <c r="AC20" s="4">
        <v>37.0278</v>
      </c>
      <c r="AD20" s="4">
        <v>37.0166</v>
      </c>
      <c r="AE20" s="4">
        <v>37.0304</v>
      </c>
      <c r="AF20" s="4">
        <v>37.0353</v>
      </c>
      <c r="AG20" s="4">
        <v>37.0303</v>
      </c>
      <c r="AH20" s="4">
        <v>37.0311</v>
      </c>
    </row>
    <row r="21" ht="25.6" customHeight="1" spans="1:34">
      <c r="A21" s="5" t="s">
        <v>710</v>
      </c>
      <c r="B21" s="6" t="s">
        <v>1598</v>
      </c>
      <c r="C21" s="6" t="s">
        <v>1600</v>
      </c>
      <c r="D21" s="4">
        <v>36.3348</v>
      </c>
      <c r="E21" s="4">
        <v>36.0592</v>
      </c>
      <c r="F21" s="4">
        <v>36.1102</v>
      </c>
      <c r="G21" s="4">
        <v>36.1594</v>
      </c>
      <c r="H21" s="4">
        <v>36.1873</v>
      </c>
      <c r="I21" s="4">
        <v>36.1713</v>
      </c>
      <c r="J21" s="4">
        <v>36.0817</v>
      </c>
      <c r="K21" s="4">
        <v>36.2834</v>
      </c>
      <c r="L21" s="4">
        <v>36.4721</v>
      </c>
      <c r="M21" s="4">
        <v>36.2182</v>
      </c>
      <c r="N21" s="4">
        <v>36.4116</v>
      </c>
      <c r="O21" s="4">
        <v>36.2983</v>
      </c>
      <c r="P21" s="4">
        <v>37.0426</v>
      </c>
      <c r="Q21" s="4">
        <v>36.3756</v>
      </c>
      <c r="R21" s="4">
        <v>36.326</v>
      </c>
      <c r="S21" s="4">
        <v>36.2097</v>
      </c>
      <c r="T21" s="4">
        <v>36.2669</v>
      </c>
      <c r="U21" s="4">
        <v>36.2917</v>
      </c>
      <c r="V21" s="4">
        <v>36.3841</v>
      </c>
      <c r="W21" s="4">
        <v>36.419</v>
      </c>
      <c r="X21" s="4">
        <v>36.5008</v>
      </c>
      <c r="Y21" s="4">
        <v>36.0141</v>
      </c>
      <c r="Z21" s="4">
        <v>36.412</v>
      </c>
      <c r="AA21" s="4">
        <v>36.3054</v>
      </c>
      <c r="AB21" s="4">
        <v>36.4069</v>
      </c>
      <c r="AC21" s="4">
        <v>36.2152</v>
      </c>
      <c r="AD21" s="4">
        <v>36.3073</v>
      </c>
      <c r="AE21" s="4">
        <v>36.1327</v>
      </c>
      <c r="AF21" s="4">
        <v>36.6417</v>
      </c>
      <c r="AG21" s="4">
        <v>36.0997</v>
      </c>
      <c r="AH21" s="4">
        <v>36.2537</v>
      </c>
    </row>
    <row r="22" ht="14.3" customHeight="1" spans="1:34">
      <c r="A22" s="5"/>
      <c r="B22" s="6" t="s">
        <v>1591</v>
      </c>
      <c r="C22" s="6" t="s">
        <v>1601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ht="14.3" customHeight="1" spans="1:34">
      <c r="A23" s="5"/>
      <c r="B23" s="6" t="s">
        <v>1587</v>
      </c>
      <c r="C23" s="6" t="s">
        <v>1602</v>
      </c>
      <c r="D23" s="4">
        <v>2.97</v>
      </c>
      <c r="E23" s="4">
        <v>2.97</v>
      </c>
      <c r="F23" s="4">
        <v>2.97</v>
      </c>
      <c r="G23" s="4">
        <v>2.97</v>
      </c>
      <c r="H23" s="4">
        <v>2.97</v>
      </c>
      <c r="I23" s="4">
        <v>2.97</v>
      </c>
      <c r="J23" s="4">
        <v>2.97</v>
      </c>
      <c r="K23" s="4">
        <v>2.97</v>
      </c>
      <c r="L23" s="4">
        <v>2.97</v>
      </c>
      <c r="M23" s="4">
        <v>2.97</v>
      </c>
      <c r="N23" s="4">
        <v>2.97</v>
      </c>
      <c r="O23" s="4">
        <v>2.97</v>
      </c>
      <c r="P23" s="4">
        <v>2.97</v>
      </c>
      <c r="Q23" s="4">
        <v>2.97</v>
      </c>
      <c r="R23" s="4">
        <v>2.97</v>
      </c>
      <c r="S23" s="4">
        <v>2.97</v>
      </c>
      <c r="T23" s="4">
        <v>2.97</v>
      </c>
      <c r="U23" s="4">
        <v>2.97</v>
      </c>
      <c r="V23" s="4">
        <v>2.97</v>
      </c>
      <c r="W23" s="4">
        <v>2.97</v>
      </c>
      <c r="X23" s="4">
        <v>2.97</v>
      </c>
      <c r="Y23" s="4">
        <v>2.97</v>
      </c>
      <c r="Z23" s="4">
        <v>2.97</v>
      </c>
      <c r="AA23" s="4">
        <v>2.97</v>
      </c>
      <c r="AB23" s="4">
        <v>2.97</v>
      </c>
      <c r="AC23" s="4">
        <v>2.97</v>
      </c>
      <c r="AD23" s="4">
        <v>2.97</v>
      </c>
      <c r="AE23" s="4">
        <v>2.97</v>
      </c>
      <c r="AF23" s="4">
        <v>2.97</v>
      </c>
      <c r="AG23" s="4">
        <v>2.97</v>
      </c>
      <c r="AH23" s="4">
        <v>2.97</v>
      </c>
    </row>
    <row r="24" ht="14.3" customHeight="1" spans="1:34">
      <c r="A24" s="5"/>
      <c r="B24" s="6" t="s">
        <v>1589</v>
      </c>
      <c r="C24" s="6" t="s">
        <v>1603</v>
      </c>
      <c r="D24" s="4">
        <v>4.1784</v>
      </c>
      <c r="E24" s="4">
        <v>4.2284</v>
      </c>
      <c r="F24" s="4">
        <v>4.2034</v>
      </c>
      <c r="G24" s="4">
        <v>4.475</v>
      </c>
      <c r="H24" s="4">
        <v>4.1909</v>
      </c>
      <c r="I24" s="4">
        <v>4.1758</v>
      </c>
      <c r="J24" s="4">
        <v>4.1994</v>
      </c>
      <c r="K24" s="4">
        <v>4.2263</v>
      </c>
      <c r="L24" s="4">
        <v>4.2287</v>
      </c>
      <c r="M24" s="4">
        <v>4.2897</v>
      </c>
      <c r="N24" s="4">
        <v>4.3338</v>
      </c>
      <c r="O24" s="4">
        <v>4.308</v>
      </c>
      <c r="P24" s="4">
        <v>4.2006</v>
      </c>
      <c r="Q24" s="4">
        <v>4.2049</v>
      </c>
      <c r="R24" s="4">
        <v>4.301</v>
      </c>
      <c r="S24" s="4">
        <v>3.9871</v>
      </c>
      <c r="T24" s="4">
        <v>4.1738</v>
      </c>
      <c r="U24" s="4">
        <v>4.2871</v>
      </c>
      <c r="V24" s="4">
        <v>4.2232</v>
      </c>
      <c r="W24" s="4">
        <v>4.2187</v>
      </c>
      <c r="X24" s="4">
        <v>4.2972</v>
      </c>
      <c r="Y24" s="4">
        <v>4.1695</v>
      </c>
      <c r="Z24" s="4">
        <v>4.3524</v>
      </c>
      <c r="AA24" s="4">
        <v>4.2118</v>
      </c>
      <c r="AB24" s="4">
        <v>4.3328</v>
      </c>
      <c r="AC24" s="4">
        <v>4.2284</v>
      </c>
      <c r="AD24" s="4">
        <v>4.1664</v>
      </c>
      <c r="AE24" s="4">
        <v>4.3563</v>
      </c>
      <c r="AF24" s="4">
        <v>4.3725</v>
      </c>
      <c r="AG24" s="4">
        <v>4.2414</v>
      </c>
      <c r="AH24" s="4">
        <v>4.205</v>
      </c>
    </row>
    <row r="25" ht="14.3" customHeight="1" spans="1:34">
      <c r="A25" s="5"/>
      <c r="B25" s="6" t="s">
        <v>1593</v>
      </c>
      <c r="C25" s="6" t="s">
        <v>1604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14.3" customHeight="1" spans="1:34">
      <c r="A26" s="5"/>
      <c r="B26" s="6" t="s">
        <v>1572</v>
      </c>
      <c r="C26" s="5"/>
      <c r="D26" s="4">
        <v>-34.2</v>
      </c>
      <c r="E26" s="4">
        <v>-37.2</v>
      </c>
      <c r="F26" s="4">
        <v>-34.3</v>
      </c>
      <c r="G26" s="4">
        <v>-37.1</v>
      </c>
      <c r="H26" s="4">
        <v>-32.3</v>
      </c>
      <c r="I26" s="4">
        <v>-35.7</v>
      </c>
      <c r="J26" s="4">
        <v>-29.6</v>
      </c>
      <c r="K26" s="4">
        <v>-38.9</v>
      </c>
      <c r="L26" s="4">
        <v>-35.2</v>
      </c>
      <c r="M26" s="4">
        <v>-34.8</v>
      </c>
      <c r="N26" s="4">
        <v>-35</v>
      </c>
      <c r="O26" s="4">
        <v>-34</v>
      </c>
      <c r="P26" s="4">
        <v>-31.7</v>
      </c>
      <c r="Q26" s="4">
        <v>-35.8</v>
      </c>
      <c r="R26" s="4">
        <v>-34.7</v>
      </c>
      <c r="S26" s="4">
        <v>-44.3</v>
      </c>
      <c r="T26" s="4">
        <v>-35.8</v>
      </c>
      <c r="U26" s="4">
        <v>-35.1</v>
      </c>
      <c r="V26" s="4">
        <v>-34.5</v>
      </c>
      <c r="W26" s="4">
        <v>-35</v>
      </c>
      <c r="X26" s="4">
        <v>-37.4</v>
      </c>
      <c r="Y26" s="4">
        <v>-34.6</v>
      </c>
      <c r="Z26" s="4">
        <v>-33.7</v>
      </c>
      <c r="AA26" s="4">
        <v>-34.8</v>
      </c>
      <c r="AB26" s="4">
        <v>-31</v>
      </c>
      <c r="AC26" s="4">
        <v>-37.2</v>
      </c>
      <c r="AD26" s="4">
        <v>-35.1</v>
      </c>
      <c r="AE26" s="4">
        <v>-32.1</v>
      </c>
      <c r="AF26" s="4">
        <v>-34.5</v>
      </c>
      <c r="AG26" s="4">
        <v>-43.9</v>
      </c>
      <c r="AH26" s="4">
        <v>-36.9</v>
      </c>
    </row>
    <row r="27" ht="14.3" customHeight="1" spans="1:34">
      <c r="A27" s="5"/>
      <c r="B27" s="6" t="s">
        <v>1574</v>
      </c>
      <c r="C27" s="6" t="s">
        <v>261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</row>
    <row r="28" ht="14.3" customHeight="1" spans="1:34">
      <c r="A28" s="5"/>
      <c r="B28" s="6" t="s">
        <v>1576</v>
      </c>
      <c r="C28" s="6" t="s">
        <v>261</v>
      </c>
      <c r="D28" s="4">
        <v>86.1576</v>
      </c>
      <c r="E28" s="4">
        <v>86.0274</v>
      </c>
      <c r="F28" s="4">
        <v>85.8937</v>
      </c>
      <c r="G28" s="4">
        <v>86.0341</v>
      </c>
      <c r="H28" s="4">
        <v>85.9124</v>
      </c>
      <c r="I28" s="4">
        <v>86.0074</v>
      </c>
      <c r="J28" s="4">
        <v>86.0095</v>
      </c>
      <c r="K28" s="4">
        <v>85.9777</v>
      </c>
      <c r="L28" s="4">
        <v>86.2828</v>
      </c>
      <c r="M28" s="4">
        <v>85.9753</v>
      </c>
      <c r="N28" s="4">
        <v>86.0786</v>
      </c>
      <c r="O28" s="4">
        <v>86.1516</v>
      </c>
      <c r="P28" s="4">
        <v>86.7804</v>
      </c>
      <c r="Q28" s="4">
        <v>86.2954</v>
      </c>
      <c r="R28" s="4">
        <v>86.0554</v>
      </c>
      <c r="S28" s="4">
        <v>86.2507</v>
      </c>
      <c r="T28" s="4">
        <v>86.1867</v>
      </c>
      <c r="U28" s="4">
        <v>86.2063</v>
      </c>
      <c r="V28" s="4">
        <v>86.145</v>
      </c>
      <c r="W28" s="4">
        <v>86.1881</v>
      </c>
      <c r="X28" s="4">
        <v>86.0982</v>
      </c>
      <c r="Y28" s="4">
        <v>86.0332</v>
      </c>
      <c r="Z28" s="4">
        <v>86.242</v>
      </c>
      <c r="AA28" s="4">
        <v>86.2181</v>
      </c>
      <c r="AB28" s="4">
        <v>86.009</v>
      </c>
      <c r="AC28" s="4">
        <v>86.0991</v>
      </c>
      <c r="AD28" s="4">
        <v>86.2787</v>
      </c>
      <c r="AE28" s="4">
        <v>85.9775</v>
      </c>
      <c r="AF28" s="4">
        <v>86.3602</v>
      </c>
      <c r="AG28" s="4">
        <v>85.8968</v>
      </c>
      <c r="AH28" s="4">
        <v>86.0589</v>
      </c>
    </row>
    <row r="29" ht="14.3" customHeight="1" spans="1:34">
      <c r="A29" s="5"/>
      <c r="B29" s="6" t="s">
        <v>1578</v>
      </c>
      <c r="C29" s="6" t="s">
        <v>261</v>
      </c>
      <c r="D29" s="4">
        <v>3.0018</v>
      </c>
      <c r="E29" s="4">
        <v>2.7989</v>
      </c>
      <c r="F29" s="4">
        <v>2.8336</v>
      </c>
      <c r="G29" s="4">
        <v>2.93</v>
      </c>
      <c r="H29" s="4">
        <v>2.8773</v>
      </c>
      <c r="I29" s="4">
        <v>2.8884</v>
      </c>
      <c r="J29" s="4">
        <v>2.7751</v>
      </c>
      <c r="K29" s="4">
        <v>2.9489</v>
      </c>
      <c r="L29" s="4">
        <v>3.1186</v>
      </c>
      <c r="M29" s="4">
        <v>2.9147</v>
      </c>
      <c r="N29" s="4">
        <v>3.0645</v>
      </c>
      <c r="O29" s="4">
        <v>2.9992</v>
      </c>
      <c r="P29" s="4">
        <v>3.4469</v>
      </c>
      <c r="Q29" s="4">
        <v>3.0532</v>
      </c>
      <c r="R29" s="4">
        <v>3.0067</v>
      </c>
      <c r="S29" s="4">
        <v>2.8746</v>
      </c>
      <c r="T29" s="4">
        <v>2.9902</v>
      </c>
      <c r="U29" s="4">
        <v>2.9604</v>
      </c>
      <c r="V29" s="4">
        <v>2.9814</v>
      </c>
      <c r="W29" s="4">
        <v>3.0473</v>
      </c>
      <c r="X29" s="4">
        <v>3.1101</v>
      </c>
      <c r="Y29" s="4">
        <v>2.7504</v>
      </c>
      <c r="Z29" s="4">
        <v>3.0655</v>
      </c>
      <c r="AA29" s="4">
        <v>2.9801</v>
      </c>
      <c r="AB29" s="4">
        <v>3.0426</v>
      </c>
      <c r="AC29" s="4">
        <v>2.9127</v>
      </c>
      <c r="AD29" s="4">
        <v>3.0187</v>
      </c>
      <c r="AE29" s="4">
        <v>2.893</v>
      </c>
      <c r="AF29" s="4">
        <v>3.2511</v>
      </c>
      <c r="AG29" s="4">
        <v>2.8632</v>
      </c>
      <c r="AH29" s="4">
        <v>2.9339</v>
      </c>
    </row>
    <row r="30" ht="14.3" customHeight="1" spans="1:34">
      <c r="A30" s="5"/>
      <c r="B30" s="6" t="s">
        <v>1579</v>
      </c>
      <c r="C30" s="6" t="s">
        <v>261</v>
      </c>
      <c r="D30" s="4">
        <v>1.2556</v>
      </c>
      <c r="E30" s="4">
        <v>1.1736</v>
      </c>
      <c r="F30" s="4">
        <v>1.2084</v>
      </c>
      <c r="G30" s="4">
        <v>1.2337</v>
      </c>
      <c r="H30" s="4">
        <v>1.2346</v>
      </c>
      <c r="I30" s="4">
        <v>1.2237</v>
      </c>
      <c r="J30" s="4">
        <v>1.1833</v>
      </c>
      <c r="K30" s="4">
        <v>1.2483</v>
      </c>
      <c r="L30" s="4">
        <v>1.2911</v>
      </c>
      <c r="M30" s="4">
        <v>1.2391</v>
      </c>
      <c r="N30" s="4">
        <v>1.2683</v>
      </c>
      <c r="O30" s="4">
        <v>1.2304</v>
      </c>
      <c r="P30" s="4">
        <v>1.3512</v>
      </c>
      <c r="Q30" s="4">
        <v>1.2627</v>
      </c>
      <c r="R30" s="4">
        <v>1.2652</v>
      </c>
      <c r="S30" s="4">
        <v>1.1998</v>
      </c>
      <c r="T30" s="4">
        <v>1.2317</v>
      </c>
      <c r="U30" s="4">
        <v>1.2206</v>
      </c>
      <c r="V30" s="4">
        <v>1.28</v>
      </c>
      <c r="W30" s="4">
        <v>1.2602</v>
      </c>
      <c r="X30" s="4">
        <v>1.3129</v>
      </c>
      <c r="Y30" s="4">
        <v>1.1556</v>
      </c>
      <c r="Z30" s="4">
        <v>1.2395</v>
      </c>
      <c r="AA30" s="4">
        <v>1.2238</v>
      </c>
      <c r="AB30" s="4">
        <v>1.2698</v>
      </c>
      <c r="AC30" s="4">
        <v>1.2114</v>
      </c>
      <c r="AD30" s="4">
        <v>1.2031</v>
      </c>
      <c r="AE30" s="4">
        <v>1.2012</v>
      </c>
      <c r="AF30" s="4">
        <v>1.2977</v>
      </c>
      <c r="AG30" s="4">
        <v>1.1992</v>
      </c>
      <c r="AH30" s="4">
        <v>1.2257</v>
      </c>
    </row>
    <row r="31" ht="14.3" customHeight="1" spans="1:34">
      <c r="A31" s="5"/>
      <c r="B31" s="6" t="s">
        <v>1580</v>
      </c>
      <c r="C31" s="6" t="s">
        <v>261</v>
      </c>
      <c r="D31" s="4">
        <v>0.3</v>
      </c>
      <c r="E31" s="4">
        <v>0.2814</v>
      </c>
      <c r="F31" s="4">
        <v>0.2971</v>
      </c>
      <c r="G31" s="4">
        <v>0.2786</v>
      </c>
      <c r="H31" s="4">
        <v>0.3056</v>
      </c>
      <c r="I31" s="4">
        <v>0.2928</v>
      </c>
      <c r="J31" s="4">
        <v>0.2832</v>
      </c>
      <c r="K31" s="4">
        <v>0.3044</v>
      </c>
      <c r="L31" s="4">
        <v>0.3003</v>
      </c>
      <c r="M31" s="4">
        <v>0.3026</v>
      </c>
      <c r="N31" s="4">
        <v>0.3078</v>
      </c>
      <c r="O31" s="4">
        <v>0.2879</v>
      </c>
      <c r="P31" s="4">
        <v>0.319</v>
      </c>
      <c r="Q31" s="4">
        <v>0.2858</v>
      </c>
      <c r="R31" s="4">
        <v>0.3009</v>
      </c>
      <c r="S31" s="4">
        <v>0.2813</v>
      </c>
      <c r="T31" s="4">
        <v>0.2879</v>
      </c>
      <c r="U31" s="4">
        <v>0.2842</v>
      </c>
      <c r="V31" s="4">
        <v>0.3049</v>
      </c>
      <c r="W31" s="4">
        <v>0.3033</v>
      </c>
      <c r="X31" s="4">
        <v>0.3219</v>
      </c>
      <c r="Y31" s="4">
        <v>0.2773</v>
      </c>
      <c r="Z31" s="4">
        <v>0.2993</v>
      </c>
      <c r="AA31" s="4">
        <v>0.2935</v>
      </c>
      <c r="AB31" s="4">
        <v>0.3142</v>
      </c>
      <c r="AC31" s="4">
        <v>0.2913</v>
      </c>
      <c r="AD31" s="4">
        <v>0.2902</v>
      </c>
      <c r="AE31" s="4">
        <v>0.2812</v>
      </c>
      <c r="AF31" s="4">
        <v>0.2988</v>
      </c>
      <c r="AG31" s="4">
        <v>0.2872</v>
      </c>
      <c r="AH31" s="4">
        <v>0.2945</v>
      </c>
    </row>
    <row r="32" ht="14.3" customHeight="1" spans="1:34">
      <c r="A32" s="5"/>
      <c r="B32" s="6" t="s">
        <v>1581</v>
      </c>
      <c r="C32" s="6" t="s">
        <v>261</v>
      </c>
      <c r="D32" s="4">
        <v>0.3049</v>
      </c>
      <c r="E32" s="4">
        <v>0.2917</v>
      </c>
      <c r="F32" s="4">
        <v>0.3151</v>
      </c>
      <c r="G32" s="4">
        <v>0.2972</v>
      </c>
      <c r="H32" s="4">
        <v>0.3232</v>
      </c>
      <c r="I32" s="4">
        <v>0.3044</v>
      </c>
      <c r="J32" s="4">
        <v>0.2981</v>
      </c>
      <c r="K32" s="4">
        <v>0.3221</v>
      </c>
      <c r="L32" s="4">
        <v>0.3124</v>
      </c>
      <c r="M32" s="4">
        <v>0.318</v>
      </c>
      <c r="N32" s="4">
        <v>0.3305</v>
      </c>
      <c r="O32" s="4">
        <v>0.2996</v>
      </c>
      <c r="P32" s="4">
        <v>0.3359</v>
      </c>
      <c r="Q32" s="4">
        <v>0.2979</v>
      </c>
      <c r="R32" s="4">
        <v>0.3109</v>
      </c>
      <c r="S32" s="4">
        <v>0.2828</v>
      </c>
      <c r="T32" s="4">
        <v>0.2899</v>
      </c>
      <c r="U32" s="4">
        <v>0.3006</v>
      </c>
      <c r="V32" s="4">
        <v>0.3294</v>
      </c>
      <c r="W32" s="4">
        <v>0.3221</v>
      </c>
      <c r="X32" s="4">
        <v>0.3339</v>
      </c>
      <c r="Y32" s="4">
        <v>0.2925</v>
      </c>
      <c r="Z32" s="4">
        <v>0.3013</v>
      </c>
      <c r="AA32" s="4">
        <v>0.2999</v>
      </c>
      <c r="AB32" s="4">
        <v>0.3308</v>
      </c>
      <c r="AC32" s="4">
        <v>0.2982</v>
      </c>
      <c r="AD32" s="4">
        <v>0.301</v>
      </c>
      <c r="AE32" s="4">
        <v>0.2983</v>
      </c>
      <c r="AF32" s="4">
        <v>0.3093</v>
      </c>
      <c r="AG32" s="4">
        <v>0.3034</v>
      </c>
      <c r="AH32" s="4">
        <v>0.3158</v>
      </c>
    </row>
    <row r="33" ht="14.3" customHeight="1" spans="1:34">
      <c r="A33" s="5"/>
      <c r="B33" s="6" t="s">
        <v>1582</v>
      </c>
      <c r="C33" s="6" t="s">
        <v>261</v>
      </c>
      <c r="D33" s="4">
        <v>0.1139</v>
      </c>
      <c r="E33" s="4">
        <v>0.1184</v>
      </c>
      <c r="F33" s="4">
        <v>0.1253</v>
      </c>
      <c r="G33" s="4">
        <v>0.1179</v>
      </c>
      <c r="H33" s="4">
        <v>0.1174</v>
      </c>
      <c r="I33" s="4">
        <v>0.1149</v>
      </c>
      <c r="J33" s="4">
        <v>0.1227</v>
      </c>
      <c r="K33" s="4">
        <v>0.1213</v>
      </c>
      <c r="L33" s="4">
        <v>0.1258</v>
      </c>
      <c r="M33" s="4">
        <v>0.1225</v>
      </c>
      <c r="N33" s="4">
        <v>0.1235</v>
      </c>
      <c r="O33" s="4">
        <v>0.1191</v>
      </c>
      <c r="P33" s="4">
        <v>0.1276</v>
      </c>
      <c r="Q33" s="4">
        <v>0.1169</v>
      </c>
      <c r="R33" s="4">
        <v>0.1169</v>
      </c>
      <c r="S33" s="4">
        <v>0.1171</v>
      </c>
      <c r="T33" s="4">
        <v>0.114</v>
      </c>
      <c r="U33" s="4">
        <v>0.1182</v>
      </c>
      <c r="V33" s="4">
        <v>0.1172</v>
      </c>
      <c r="W33" s="4">
        <v>0.1209</v>
      </c>
      <c r="X33" s="4">
        <v>0.1204</v>
      </c>
      <c r="Y33" s="4">
        <v>0.1194</v>
      </c>
      <c r="Z33" s="4">
        <v>0.1172</v>
      </c>
      <c r="AA33" s="4">
        <v>0.1173</v>
      </c>
      <c r="AB33" s="4">
        <v>0.1305</v>
      </c>
      <c r="AC33" s="4">
        <v>0.1206</v>
      </c>
      <c r="AD33" s="4">
        <v>0.1137</v>
      </c>
      <c r="AE33" s="4">
        <v>0.1171</v>
      </c>
      <c r="AF33" s="4">
        <v>0.1166</v>
      </c>
      <c r="AG33" s="4">
        <v>0.12</v>
      </c>
      <c r="AH33" s="4">
        <v>0.1194</v>
      </c>
    </row>
    <row r="34" ht="14.3" customHeight="1" spans="1:34">
      <c r="A34" s="5"/>
      <c r="B34" s="6" t="s">
        <v>1583</v>
      </c>
      <c r="C34" s="6" t="s">
        <v>261</v>
      </c>
      <c r="D34" s="4">
        <v>0.0786</v>
      </c>
      <c r="E34" s="4">
        <v>0.078</v>
      </c>
      <c r="F34" s="4">
        <v>0.0798</v>
      </c>
      <c r="G34" s="4">
        <v>0.0762</v>
      </c>
      <c r="H34" s="4">
        <v>0.079</v>
      </c>
      <c r="I34" s="4">
        <v>0.0755</v>
      </c>
      <c r="J34" s="4">
        <v>0.0827</v>
      </c>
      <c r="K34" s="4">
        <v>0.0806</v>
      </c>
      <c r="L34" s="4">
        <v>0.0851</v>
      </c>
      <c r="M34" s="4">
        <v>0.0798</v>
      </c>
      <c r="N34" s="4">
        <v>0.0827</v>
      </c>
      <c r="O34" s="4">
        <v>0.0791</v>
      </c>
      <c r="P34" s="4">
        <v>0.0869</v>
      </c>
      <c r="Q34" s="4">
        <v>0.0727</v>
      </c>
      <c r="R34" s="4">
        <v>0.0827</v>
      </c>
      <c r="S34" s="4">
        <v>0.0817</v>
      </c>
      <c r="T34" s="4">
        <v>0.0796</v>
      </c>
      <c r="U34" s="4">
        <v>0.0807</v>
      </c>
      <c r="V34" s="4">
        <v>0.0805</v>
      </c>
      <c r="W34" s="4">
        <v>0.0846</v>
      </c>
      <c r="X34" s="4">
        <v>0.0806</v>
      </c>
      <c r="Y34" s="4">
        <v>0.0769</v>
      </c>
      <c r="Z34" s="4">
        <v>0.0755</v>
      </c>
      <c r="AA34" s="4">
        <v>0.0749</v>
      </c>
      <c r="AB34" s="4">
        <v>0.0836</v>
      </c>
      <c r="AC34" s="4">
        <v>0.0781</v>
      </c>
      <c r="AD34" s="4">
        <v>0.0767</v>
      </c>
      <c r="AE34" s="4">
        <v>0.0796</v>
      </c>
      <c r="AF34" s="4">
        <v>0.0819</v>
      </c>
      <c r="AG34" s="4">
        <v>0.0804</v>
      </c>
      <c r="AH34" s="4">
        <v>0.0799</v>
      </c>
    </row>
    <row r="35" ht="14.3" customHeight="1" spans="1:34">
      <c r="A35" s="5"/>
      <c r="B35" s="6" t="s">
        <v>1584</v>
      </c>
      <c r="C35" s="6" t="s">
        <v>261</v>
      </c>
      <c r="D35" s="4">
        <v>0.1284</v>
      </c>
      <c r="E35" s="4">
        <v>0.1363</v>
      </c>
      <c r="F35" s="4">
        <v>0.138</v>
      </c>
      <c r="G35" s="4">
        <v>0.1126</v>
      </c>
      <c r="H35" s="4">
        <v>0.1341</v>
      </c>
      <c r="I35" s="4">
        <v>0.1257</v>
      </c>
      <c r="J35" s="4">
        <v>0.1435</v>
      </c>
      <c r="K35" s="4">
        <v>0.1381</v>
      </c>
      <c r="L35" s="4">
        <v>0.121</v>
      </c>
      <c r="M35" s="4">
        <v>0.1227</v>
      </c>
      <c r="N35" s="4">
        <v>0.1276</v>
      </c>
      <c r="O35" s="4">
        <v>0.1287</v>
      </c>
      <c r="P35" s="4">
        <v>0.1327</v>
      </c>
      <c r="Q35" s="4">
        <v>0.1163</v>
      </c>
      <c r="R35" s="4">
        <v>0.1273</v>
      </c>
      <c r="S35" s="4">
        <v>0.137</v>
      </c>
      <c r="T35" s="4">
        <v>0.1199</v>
      </c>
      <c r="U35" s="4">
        <v>0.1356</v>
      </c>
      <c r="V35" s="4">
        <v>0.1246</v>
      </c>
      <c r="W35" s="4">
        <v>0.1304</v>
      </c>
      <c r="X35" s="4">
        <v>0.1229</v>
      </c>
      <c r="Y35" s="4">
        <v>0.1303</v>
      </c>
      <c r="Z35" s="4">
        <v>0.1279</v>
      </c>
      <c r="AA35" s="4">
        <v>0.1215</v>
      </c>
      <c r="AB35" s="4">
        <v>0.1324</v>
      </c>
      <c r="AC35" s="4">
        <v>0.1345</v>
      </c>
      <c r="AD35" s="4">
        <v>0.1197</v>
      </c>
      <c r="AE35" s="4">
        <v>0.1344</v>
      </c>
      <c r="AF35" s="4">
        <v>0.1377</v>
      </c>
      <c r="AG35" s="4">
        <v>0.1342</v>
      </c>
      <c r="AH35" s="4">
        <v>0.1348</v>
      </c>
    </row>
    <row r="36" ht="14.3" customHeight="1" spans="1:34">
      <c r="A36" s="5"/>
      <c r="B36" s="6" t="s">
        <v>1597</v>
      </c>
      <c r="C36" s="6" t="s">
        <v>261</v>
      </c>
      <c r="D36" s="4">
        <v>4.4808</v>
      </c>
      <c r="E36" s="4">
        <v>4.8659</v>
      </c>
      <c r="F36" s="4">
        <v>4.9056</v>
      </c>
      <c r="G36" s="4">
        <v>4.4447</v>
      </c>
      <c r="H36" s="4">
        <v>4.8255</v>
      </c>
      <c r="I36" s="4">
        <v>4.7914</v>
      </c>
      <c r="J36" s="4">
        <v>4.9025</v>
      </c>
      <c r="K36" s="4">
        <v>4.6323</v>
      </c>
      <c r="L36" s="4">
        <v>4.1342</v>
      </c>
      <c r="M36" s="4">
        <v>4.6356</v>
      </c>
      <c r="N36" s="4">
        <v>4.2827</v>
      </c>
      <c r="O36" s="4">
        <v>4.3964</v>
      </c>
      <c r="P36" s="4">
        <v>3.2188</v>
      </c>
      <c r="Q36" s="4">
        <v>4.2942</v>
      </c>
      <c r="R36" s="4">
        <v>4.433</v>
      </c>
      <c r="S36" s="4">
        <v>4.7879</v>
      </c>
      <c r="T36" s="4">
        <v>4.5263</v>
      </c>
      <c r="U36" s="4">
        <v>4.4063</v>
      </c>
      <c r="V36" s="4">
        <v>4.4138</v>
      </c>
      <c r="W36" s="4">
        <v>4.3244</v>
      </c>
      <c r="X36" s="4">
        <v>4.2019</v>
      </c>
      <c r="Y36" s="4">
        <v>4.9949</v>
      </c>
      <c r="Z36" s="4">
        <v>4.1794</v>
      </c>
      <c r="AA36" s="4">
        <v>4.4591</v>
      </c>
      <c r="AB36" s="4">
        <v>4.3543</v>
      </c>
      <c r="AC36" s="4">
        <v>4.6257</v>
      </c>
      <c r="AD36" s="4">
        <v>4.4318</v>
      </c>
      <c r="AE36" s="4">
        <v>4.6614</v>
      </c>
      <c r="AF36" s="4">
        <v>3.7742</v>
      </c>
      <c r="AG36" s="4">
        <v>4.8742</v>
      </c>
      <c r="AH36" s="4">
        <v>4.6321</v>
      </c>
    </row>
    <row r="37" ht="14.3" customHeight="1" spans="1:34">
      <c r="A37" s="5"/>
      <c r="B37" s="6" t="s">
        <v>1605</v>
      </c>
      <c r="C37" s="6" t="s">
        <v>261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25.6" customHeight="1" spans="1:34">
      <c r="A38" s="5"/>
      <c r="B38" s="6" t="s">
        <v>1606</v>
      </c>
      <c r="C38" s="6" t="s">
        <v>261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25.6" customHeight="1" spans="1:34">
      <c r="A39" s="5" t="s">
        <v>734</v>
      </c>
      <c r="B39" s="6" t="s">
        <v>1598</v>
      </c>
      <c r="C39" s="6" t="s">
        <v>1600</v>
      </c>
      <c r="D39" s="4">
        <v>31.498</v>
      </c>
      <c r="E39" s="4">
        <v>31.5566</v>
      </c>
      <c r="F39" s="4">
        <v>31.0968</v>
      </c>
      <c r="G39" s="4">
        <v>31.48</v>
      </c>
      <c r="H39" s="4">
        <v>31.1324</v>
      </c>
      <c r="I39" s="4">
        <v>31.1771</v>
      </c>
      <c r="J39" s="4">
        <v>31.1836</v>
      </c>
      <c r="K39" s="4">
        <v>31.364</v>
      </c>
      <c r="L39" s="4">
        <v>31.716</v>
      </c>
      <c r="M39" s="4">
        <v>31.2286</v>
      </c>
      <c r="N39" s="4">
        <v>31.48</v>
      </c>
      <c r="O39" s="4">
        <v>31.409</v>
      </c>
      <c r="P39" s="4">
        <v>31.682</v>
      </c>
      <c r="Q39" s="4">
        <v>31.48</v>
      </c>
      <c r="R39" s="4">
        <v>31.703</v>
      </c>
      <c r="S39" s="4">
        <v>31.48</v>
      </c>
      <c r="T39" s="4">
        <v>31.787</v>
      </c>
      <c r="U39" s="4">
        <v>31.3062</v>
      </c>
      <c r="V39" s="4">
        <v>31.4577</v>
      </c>
      <c r="W39" s="4">
        <v>31.356</v>
      </c>
      <c r="X39" s="4">
        <v>31.48</v>
      </c>
      <c r="Y39" s="4">
        <v>31.2857</v>
      </c>
      <c r="Z39" s="4">
        <v>31.311</v>
      </c>
      <c r="AA39" s="4">
        <v>31.4222</v>
      </c>
      <c r="AB39" s="4">
        <v>31.106</v>
      </c>
      <c r="AC39" s="4">
        <v>31.185</v>
      </c>
      <c r="AD39" s="4">
        <v>32.047</v>
      </c>
      <c r="AE39" s="4">
        <v>31.4387</v>
      </c>
      <c r="AF39" s="4">
        <v>31.48</v>
      </c>
      <c r="AG39" s="4">
        <v>31.4412</v>
      </c>
      <c r="AH39" s="4">
        <v>31.48</v>
      </c>
    </row>
    <row r="40" ht="14.3" customHeight="1" spans="1:34">
      <c r="A40" s="5"/>
      <c r="B40" s="6" t="s">
        <v>1591</v>
      </c>
      <c r="C40" s="6" t="s">
        <v>1601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ht="14.3" customHeight="1" spans="1:34">
      <c r="A41" s="5"/>
      <c r="B41" s="6" t="s">
        <v>1587</v>
      </c>
      <c r="C41" s="6" t="s">
        <v>1602</v>
      </c>
      <c r="D41" s="4">
        <v>1.94</v>
      </c>
      <c r="E41" s="4">
        <v>1.94</v>
      </c>
      <c r="F41" s="4">
        <v>1.94</v>
      </c>
      <c r="G41" s="4">
        <v>1.94</v>
      </c>
      <c r="H41" s="4">
        <v>1.94</v>
      </c>
      <c r="I41" s="4">
        <v>1.94</v>
      </c>
      <c r="J41" s="4">
        <v>1.94</v>
      </c>
      <c r="K41" s="4">
        <v>1.94</v>
      </c>
      <c r="L41" s="4">
        <v>1.94</v>
      </c>
      <c r="M41" s="4">
        <v>1.94</v>
      </c>
      <c r="N41" s="4">
        <v>1.94</v>
      </c>
      <c r="O41" s="4">
        <v>1.94</v>
      </c>
      <c r="P41" s="4">
        <v>1.94</v>
      </c>
      <c r="Q41" s="4">
        <v>1.94</v>
      </c>
      <c r="R41" s="4">
        <v>1.94</v>
      </c>
      <c r="S41" s="4">
        <v>1.94</v>
      </c>
      <c r="T41" s="4">
        <v>1.94</v>
      </c>
      <c r="U41" s="4">
        <v>1.94</v>
      </c>
      <c r="V41" s="4">
        <v>1.94</v>
      </c>
      <c r="W41" s="4">
        <v>1.94</v>
      </c>
      <c r="X41" s="4">
        <v>1.94</v>
      </c>
      <c r="Y41" s="4">
        <v>1.94</v>
      </c>
      <c r="Z41" s="4">
        <v>1.94</v>
      </c>
      <c r="AA41" s="4">
        <v>1.94</v>
      </c>
      <c r="AB41" s="4">
        <v>1.94</v>
      </c>
      <c r="AC41" s="4">
        <v>1.94</v>
      </c>
      <c r="AD41" s="4">
        <v>1.94</v>
      </c>
      <c r="AE41" s="4">
        <v>1.94</v>
      </c>
      <c r="AF41" s="4">
        <v>1.94</v>
      </c>
      <c r="AG41" s="4">
        <v>1.94</v>
      </c>
      <c r="AH41" s="4">
        <v>1.94</v>
      </c>
    </row>
    <row r="42" ht="14.3" customHeight="1" spans="1:34">
      <c r="A42" s="5"/>
      <c r="B42" s="6" t="s">
        <v>1589</v>
      </c>
      <c r="C42" s="6" t="s">
        <v>1603</v>
      </c>
      <c r="D42" s="4">
        <v>5.4434</v>
      </c>
      <c r="E42" s="4">
        <v>5.2965</v>
      </c>
      <c r="F42" s="4">
        <v>6.1424</v>
      </c>
      <c r="G42" s="4">
        <v>5.17</v>
      </c>
      <c r="H42" s="4">
        <v>6.1431</v>
      </c>
      <c r="I42" s="4">
        <v>6.0846</v>
      </c>
      <c r="J42" s="4">
        <v>6.118</v>
      </c>
      <c r="K42" s="4">
        <v>5.6394</v>
      </c>
      <c r="L42" s="4">
        <v>4.9938</v>
      </c>
      <c r="M42" s="4">
        <v>5.7655</v>
      </c>
      <c r="N42" s="4">
        <v>5.17</v>
      </c>
      <c r="O42" s="4">
        <v>5.63</v>
      </c>
      <c r="P42" s="4">
        <v>5.4659</v>
      </c>
      <c r="Q42" s="4">
        <v>5.049</v>
      </c>
      <c r="R42" s="4">
        <v>5.0417</v>
      </c>
      <c r="S42" s="4">
        <v>5.17</v>
      </c>
      <c r="T42" s="4">
        <v>4.3179</v>
      </c>
      <c r="U42" s="4">
        <v>5.7299</v>
      </c>
      <c r="V42" s="4">
        <v>5.7604</v>
      </c>
      <c r="W42" s="4">
        <v>5.7104</v>
      </c>
      <c r="X42" s="4">
        <v>5.17</v>
      </c>
      <c r="Y42" s="4">
        <v>5.7087</v>
      </c>
      <c r="Z42" s="4">
        <v>5.605</v>
      </c>
      <c r="AA42" s="4">
        <v>5.6273</v>
      </c>
      <c r="AB42" s="4">
        <v>6.0347</v>
      </c>
      <c r="AC42" s="4">
        <v>6.0252</v>
      </c>
      <c r="AD42" s="4">
        <v>5.2745</v>
      </c>
      <c r="AE42" s="4">
        <v>5.3972</v>
      </c>
      <c r="AF42" s="4">
        <v>5.17</v>
      </c>
      <c r="AG42" s="4">
        <v>5.3133</v>
      </c>
      <c r="AH42" s="4">
        <v>5.17</v>
      </c>
    </row>
    <row r="43" ht="14.3" customHeight="1" spans="1:34">
      <c r="A43" s="5"/>
      <c r="B43" s="6" t="s">
        <v>1593</v>
      </c>
      <c r="C43" s="6" t="s">
        <v>1604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4.3" customHeight="1" spans="1:34">
      <c r="A44" s="5"/>
      <c r="B44" s="6" t="s">
        <v>1572</v>
      </c>
      <c r="C44" s="5"/>
      <c r="D44" s="4">
        <v>-4.5</v>
      </c>
      <c r="E44" s="4">
        <v>-4.888</v>
      </c>
      <c r="F44" s="4">
        <v>-6.36</v>
      </c>
      <c r="G44" s="4">
        <v>-7.1</v>
      </c>
      <c r="H44" s="4">
        <v>-5.247</v>
      </c>
      <c r="I44" s="4">
        <v>-5.92</v>
      </c>
      <c r="J44" s="4">
        <v>-7.671</v>
      </c>
      <c r="K44" s="4">
        <v>1.6</v>
      </c>
      <c r="L44" s="4">
        <v>-12.57</v>
      </c>
      <c r="M44" s="4">
        <v>-7.202</v>
      </c>
      <c r="N44" s="4">
        <v>-5.2</v>
      </c>
      <c r="O44" s="4">
        <v>-5.4</v>
      </c>
      <c r="P44" s="4">
        <v>-4.1</v>
      </c>
      <c r="Q44" s="4">
        <v>-11.19</v>
      </c>
      <c r="R44" s="4">
        <v>-3.83</v>
      </c>
      <c r="S44" s="4">
        <v>-5.4</v>
      </c>
      <c r="T44" s="4">
        <v>-5.2</v>
      </c>
      <c r="U44" s="4">
        <v>-4.734</v>
      </c>
      <c r="V44" s="4">
        <v>-9.77</v>
      </c>
      <c r="W44" s="4">
        <v>-5.6</v>
      </c>
      <c r="X44" s="4">
        <v>1.7</v>
      </c>
      <c r="Y44" s="4">
        <v>-5.686</v>
      </c>
      <c r="Z44" s="4">
        <v>-4.8</v>
      </c>
      <c r="AA44" s="4">
        <v>-11.65</v>
      </c>
      <c r="AB44" s="4">
        <v>-4.6</v>
      </c>
      <c r="AC44" s="4">
        <v>-6.1</v>
      </c>
      <c r="AD44" s="4">
        <v>-4.8</v>
      </c>
      <c r="AE44" s="4">
        <v>-3.276</v>
      </c>
      <c r="AF44" s="4">
        <v>-5.2</v>
      </c>
      <c r="AG44" s="4">
        <v>-4.573</v>
      </c>
      <c r="AH44" s="4">
        <v>-0.5</v>
      </c>
    </row>
    <row r="45" ht="14.3" customHeight="1" spans="1:34">
      <c r="A45" s="5"/>
      <c r="B45" s="6" t="s">
        <v>1574</v>
      </c>
      <c r="C45" s="6" t="s">
        <v>261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</row>
    <row r="46" ht="14.3" customHeight="1" spans="1:34">
      <c r="A46" s="5"/>
      <c r="B46" s="6" t="s">
        <v>1576</v>
      </c>
      <c r="C46" s="6" t="s">
        <v>261</v>
      </c>
      <c r="D46" s="4">
        <v>79.6714</v>
      </c>
      <c r="E46" s="4">
        <v>79.6999</v>
      </c>
      <c r="F46" s="4">
        <v>78.7383</v>
      </c>
      <c r="G46" s="4">
        <v>79.54</v>
      </c>
      <c r="H46" s="4">
        <v>78.7485</v>
      </c>
      <c r="I46" s="4">
        <v>78.7794</v>
      </c>
      <c r="J46" s="4">
        <v>78.8044</v>
      </c>
      <c r="K46" s="4">
        <v>79.2688</v>
      </c>
      <c r="L46" s="4">
        <v>80.3269</v>
      </c>
      <c r="M46" s="4">
        <v>79.0647</v>
      </c>
      <c r="N46" s="4">
        <v>79.54</v>
      </c>
      <c r="O46" s="4">
        <v>79.3648</v>
      </c>
      <c r="P46" s="4">
        <v>80.1585</v>
      </c>
      <c r="Q46" s="4">
        <v>80.2871</v>
      </c>
      <c r="R46" s="4">
        <v>80.2099</v>
      </c>
      <c r="S46" s="4">
        <v>79.54</v>
      </c>
      <c r="T46" s="4">
        <v>80.6176</v>
      </c>
      <c r="U46" s="4">
        <v>79.1778</v>
      </c>
      <c r="V46" s="4">
        <v>79.8685</v>
      </c>
      <c r="W46" s="4">
        <v>79.3176</v>
      </c>
      <c r="X46" s="4">
        <v>79.54</v>
      </c>
      <c r="Y46" s="4">
        <v>79.1231</v>
      </c>
      <c r="Z46" s="4">
        <v>79.3549</v>
      </c>
      <c r="AA46" s="4">
        <v>79.5164</v>
      </c>
      <c r="AB46" s="4">
        <v>78.8087</v>
      </c>
      <c r="AC46" s="4">
        <v>78.8842</v>
      </c>
      <c r="AD46" s="4">
        <v>79.2836</v>
      </c>
      <c r="AE46" s="4">
        <v>79.5073</v>
      </c>
      <c r="AF46" s="4">
        <v>79.54</v>
      </c>
      <c r="AG46" s="4">
        <v>79.6519</v>
      </c>
      <c r="AH46" s="4">
        <v>79.54</v>
      </c>
    </row>
    <row r="47" ht="14.3" customHeight="1" spans="1:34">
      <c r="A47" s="5"/>
      <c r="B47" s="6" t="s">
        <v>1578</v>
      </c>
      <c r="C47" s="6" t="s">
        <v>261</v>
      </c>
      <c r="D47" s="4">
        <v>1.212</v>
      </c>
      <c r="E47" s="4">
        <v>1.249</v>
      </c>
      <c r="F47" s="4">
        <v>1.2188</v>
      </c>
      <c r="G47" s="4">
        <v>1.24</v>
      </c>
      <c r="H47" s="4">
        <v>1.2227</v>
      </c>
      <c r="I47" s="4">
        <v>1.2203</v>
      </c>
      <c r="J47" s="4">
        <v>1.2182</v>
      </c>
      <c r="K47" s="4">
        <v>1.2376</v>
      </c>
      <c r="L47" s="4">
        <v>1.1707</v>
      </c>
      <c r="M47" s="4">
        <v>1.2338</v>
      </c>
      <c r="N47" s="4">
        <v>1.24</v>
      </c>
      <c r="O47" s="4">
        <v>1.1884</v>
      </c>
      <c r="P47" s="4">
        <v>1.2497</v>
      </c>
      <c r="Q47" s="4">
        <v>1.2275</v>
      </c>
      <c r="R47" s="4">
        <v>1.2236</v>
      </c>
      <c r="S47" s="4">
        <v>1.24</v>
      </c>
      <c r="T47" s="4">
        <v>1.2516</v>
      </c>
      <c r="U47" s="4">
        <v>1.2387</v>
      </c>
      <c r="V47" s="4">
        <v>1.1667</v>
      </c>
      <c r="W47" s="4">
        <v>1.1979</v>
      </c>
      <c r="X47" s="4">
        <v>1.24</v>
      </c>
      <c r="Y47" s="4">
        <v>1.2278</v>
      </c>
      <c r="Z47" s="4">
        <v>1.2193</v>
      </c>
      <c r="AA47" s="4">
        <v>1.1871</v>
      </c>
      <c r="AB47" s="4">
        <v>1.1919</v>
      </c>
      <c r="AC47" s="4">
        <v>1.2259</v>
      </c>
      <c r="AD47" s="4">
        <v>1.2271</v>
      </c>
      <c r="AE47" s="4">
        <v>1.2437</v>
      </c>
      <c r="AF47" s="4">
        <v>1.24</v>
      </c>
      <c r="AG47" s="4">
        <v>1.2572</v>
      </c>
      <c r="AH47" s="4">
        <v>1.24</v>
      </c>
    </row>
    <row r="48" ht="14.3" customHeight="1" spans="1:34">
      <c r="A48" s="5"/>
      <c r="B48" s="6" t="s">
        <v>1579</v>
      </c>
      <c r="C48" s="6" t="s">
        <v>261</v>
      </c>
      <c r="D48" s="4">
        <v>0.4736</v>
      </c>
      <c r="E48" s="4">
        <v>0.4879</v>
      </c>
      <c r="F48" s="4">
        <v>0.4688</v>
      </c>
      <c r="G48" s="4">
        <v>0.48</v>
      </c>
      <c r="H48" s="4">
        <v>0.4789</v>
      </c>
      <c r="I48" s="4">
        <v>0.4686</v>
      </c>
      <c r="J48" s="4">
        <v>0.4646</v>
      </c>
      <c r="K48" s="4">
        <v>0.4767</v>
      </c>
      <c r="L48" s="4">
        <v>0.4794</v>
      </c>
      <c r="M48" s="4">
        <v>0.4754</v>
      </c>
      <c r="N48" s="4">
        <v>0.48</v>
      </c>
      <c r="O48" s="4">
        <v>0.4762</v>
      </c>
      <c r="P48" s="4">
        <v>0.5214</v>
      </c>
      <c r="Q48" s="4">
        <v>0.5093</v>
      </c>
      <c r="R48" s="4">
        <v>0.6078</v>
      </c>
      <c r="S48" s="4">
        <v>0.48</v>
      </c>
      <c r="T48" s="4">
        <v>0.473</v>
      </c>
      <c r="U48" s="4">
        <v>0.4791</v>
      </c>
      <c r="V48" s="4">
        <v>0.4465</v>
      </c>
      <c r="W48" s="4">
        <v>0.4805</v>
      </c>
      <c r="X48" s="4">
        <v>0.48</v>
      </c>
      <c r="Y48" s="4">
        <v>0.4731</v>
      </c>
      <c r="Z48" s="4">
        <v>0.4856</v>
      </c>
      <c r="AA48" s="4">
        <v>0.4599</v>
      </c>
      <c r="AB48" s="4">
        <v>0.4636</v>
      </c>
      <c r="AC48" s="4">
        <v>0.4736</v>
      </c>
      <c r="AD48" s="4">
        <v>0.4796</v>
      </c>
      <c r="AE48" s="4">
        <v>0.4737</v>
      </c>
      <c r="AF48" s="4">
        <v>0.48</v>
      </c>
      <c r="AG48" s="4">
        <v>0.4924</v>
      </c>
      <c r="AH48" s="4">
        <v>0.48</v>
      </c>
    </row>
    <row r="49" ht="14.3" customHeight="1" spans="1:34">
      <c r="A49" s="5"/>
      <c r="B49" s="6" t="s">
        <v>1580</v>
      </c>
      <c r="C49" s="6" t="s">
        <v>261</v>
      </c>
      <c r="D49" s="4">
        <v>0.1291</v>
      </c>
      <c r="E49" s="4">
        <v>0.1318</v>
      </c>
      <c r="F49" s="4">
        <v>0.1326</v>
      </c>
      <c r="G49" s="4">
        <v>0.15</v>
      </c>
      <c r="H49" s="4">
        <v>0.1395</v>
      </c>
      <c r="I49" s="4">
        <v>0.1302</v>
      </c>
      <c r="J49" s="4">
        <v>0.1297</v>
      </c>
      <c r="K49" s="4">
        <v>0.13</v>
      </c>
      <c r="L49" s="4">
        <v>0.1319</v>
      </c>
      <c r="M49" s="4">
        <v>0.1324</v>
      </c>
      <c r="N49" s="4">
        <v>0.12</v>
      </c>
      <c r="O49" s="4">
        <v>0.1304</v>
      </c>
      <c r="P49" s="4">
        <v>0.1528</v>
      </c>
      <c r="Q49" s="4">
        <v>0.1342</v>
      </c>
      <c r="R49" s="4">
        <v>0.1394</v>
      </c>
      <c r="S49" s="4">
        <v>0.12</v>
      </c>
      <c r="T49" s="4">
        <v>0.1182</v>
      </c>
      <c r="U49" s="4">
        <v>0.135</v>
      </c>
      <c r="V49" s="4">
        <v>0.1261</v>
      </c>
      <c r="W49" s="4">
        <v>0.137</v>
      </c>
      <c r="X49" s="4">
        <v>0.12</v>
      </c>
      <c r="Y49" s="4">
        <v>0.1339</v>
      </c>
      <c r="Z49" s="4">
        <v>0.138</v>
      </c>
      <c r="AA49" s="4">
        <v>0.1226</v>
      </c>
      <c r="AB49" s="4">
        <v>0.1345</v>
      </c>
      <c r="AC49" s="4">
        <v>0.1336</v>
      </c>
      <c r="AD49" s="4">
        <v>0.1247</v>
      </c>
      <c r="AE49" s="4">
        <v>0.1288</v>
      </c>
      <c r="AF49" s="4">
        <v>0.12</v>
      </c>
      <c r="AG49" s="4">
        <v>0.1374</v>
      </c>
      <c r="AH49" s="4">
        <v>0.12</v>
      </c>
    </row>
    <row r="50" ht="14.3" customHeight="1" spans="1:34">
      <c r="A50" s="5"/>
      <c r="B50" s="6" t="s">
        <v>1581</v>
      </c>
      <c r="C50" s="6" t="s">
        <v>261</v>
      </c>
      <c r="D50" s="4">
        <v>0.1272</v>
      </c>
      <c r="E50" s="4">
        <v>0.1279</v>
      </c>
      <c r="F50" s="4">
        <v>0.1321</v>
      </c>
      <c r="G50" s="4">
        <v>0.12</v>
      </c>
      <c r="H50" s="4">
        <v>0.141</v>
      </c>
      <c r="I50" s="4">
        <v>0.1302</v>
      </c>
      <c r="J50" s="4">
        <v>0.1285</v>
      </c>
      <c r="K50" s="4">
        <v>0.1273</v>
      </c>
      <c r="L50" s="4">
        <v>0.1284</v>
      </c>
      <c r="M50" s="4">
        <v>0.1252</v>
      </c>
      <c r="N50" s="4">
        <v>0.15</v>
      </c>
      <c r="O50" s="4">
        <v>0.1282</v>
      </c>
      <c r="P50" s="4">
        <v>0.1498</v>
      </c>
      <c r="Q50" s="4">
        <v>0.1368</v>
      </c>
      <c r="R50" s="4">
        <v>0.1394</v>
      </c>
      <c r="S50" s="4">
        <v>0.15</v>
      </c>
      <c r="T50" s="4">
        <v>0.1169</v>
      </c>
      <c r="U50" s="4">
        <v>0.1333</v>
      </c>
      <c r="V50" s="4">
        <v>0.1288</v>
      </c>
      <c r="W50" s="4">
        <v>0.1373</v>
      </c>
      <c r="X50" s="4">
        <v>0.15</v>
      </c>
      <c r="Y50" s="4">
        <v>0.1334</v>
      </c>
      <c r="Z50" s="4">
        <v>0.1335</v>
      </c>
      <c r="AA50" s="4">
        <v>0.1211</v>
      </c>
      <c r="AB50" s="4">
        <v>0.1373</v>
      </c>
      <c r="AC50" s="4">
        <v>0.132</v>
      </c>
      <c r="AD50" s="4">
        <v>0.1298</v>
      </c>
      <c r="AE50" s="4">
        <v>0.1257</v>
      </c>
      <c r="AF50" s="4">
        <v>0.15</v>
      </c>
      <c r="AG50" s="4">
        <v>0.1323</v>
      </c>
      <c r="AH50" s="4">
        <v>0.15</v>
      </c>
    </row>
    <row r="51" ht="14.3" customHeight="1" spans="1:34">
      <c r="A51" s="5"/>
      <c r="B51" s="6" t="s">
        <v>1582</v>
      </c>
      <c r="C51" s="6" t="s">
        <v>261</v>
      </c>
      <c r="D51" s="4">
        <v>0.0684</v>
      </c>
      <c r="E51" s="4">
        <v>0.0681</v>
      </c>
      <c r="F51" s="4">
        <v>0.08</v>
      </c>
      <c r="G51" s="4">
        <v>0.03</v>
      </c>
      <c r="H51" s="4">
        <v>0.0761</v>
      </c>
      <c r="I51" s="4">
        <v>0.0713</v>
      </c>
      <c r="J51" s="4">
        <v>0.0722</v>
      </c>
      <c r="K51" s="4">
        <v>0.0677</v>
      </c>
      <c r="L51" s="4">
        <v>0.0431</v>
      </c>
      <c r="M51" s="4">
        <v>0.0615</v>
      </c>
      <c r="N51" s="4">
        <v>0.07</v>
      </c>
      <c r="O51" s="4">
        <v>0.0687</v>
      </c>
      <c r="P51" s="4">
        <v>0.0591</v>
      </c>
      <c r="Q51" s="4">
        <v>0.0299</v>
      </c>
      <c r="R51" s="4">
        <v>0.0531</v>
      </c>
      <c r="S51" s="4">
        <v>0.07</v>
      </c>
      <c r="T51" s="4">
        <v>0.0314</v>
      </c>
      <c r="U51" s="4">
        <v>0.0795</v>
      </c>
      <c r="V51" s="4">
        <v>0.0271</v>
      </c>
      <c r="W51" s="4">
        <v>0.0811</v>
      </c>
      <c r="X51" s="4">
        <v>0.07</v>
      </c>
      <c r="Y51" s="4">
        <v>0.0796</v>
      </c>
      <c r="Z51" s="4">
        <v>0.0529</v>
      </c>
      <c r="AA51" s="4">
        <v>0.0371</v>
      </c>
      <c r="AB51" s="4">
        <v>0.0677</v>
      </c>
      <c r="AC51" s="4">
        <v>0.0769</v>
      </c>
      <c r="AD51" s="4">
        <v>0.0363</v>
      </c>
      <c r="AE51" s="4">
        <v>0.0672</v>
      </c>
      <c r="AF51" s="4">
        <v>0.07</v>
      </c>
      <c r="AG51" s="4">
        <v>0.0522</v>
      </c>
      <c r="AH51" s="4">
        <v>0.07</v>
      </c>
    </row>
    <row r="52" ht="14.3" customHeight="1" spans="1:34">
      <c r="A52" s="5"/>
      <c r="B52" s="6" t="s">
        <v>1583</v>
      </c>
      <c r="C52" s="6" t="s">
        <v>261</v>
      </c>
      <c r="D52" s="4">
        <v>0.0393</v>
      </c>
      <c r="E52" s="4">
        <v>0.0388</v>
      </c>
      <c r="F52" s="4">
        <v>0.0468</v>
      </c>
      <c r="G52" s="4">
        <v>0.07</v>
      </c>
      <c r="H52" s="4">
        <v>0.0399</v>
      </c>
      <c r="I52" s="4">
        <v>0.0407</v>
      </c>
      <c r="J52" s="4">
        <v>0.0423</v>
      </c>
      <c r="K52" s="4">
        <v>0.0384</v>
      </c>
      <c r="L52" s="4">
        <v>0.0759</v>
      </c>
      <c r="M52" s="4">
        <v>0.035</v>
      </c>
      <c r="N52" s="4">
        <v>0.03</v>
      </c>
      <c r="O52" s="4">
        <v>0.0397</v>
      </c>
      <c r="P52" s="4">
        <v>0.0303</v>
      </c>
      <c r="Q52" s="4">
        <v>0.0537</v>
      </c>
      <c r="R52" s="4">
        <v>0.0289</v>
      </c>
      <c r="S52" s="4">
        <v>0.03</v>
      </c>
      <c r="T52" s="4">
        <v>0.0623</v>
      </c>
      <c r="U52" s="4">
        <v>0.0472</v>
      </c>
      <c r="V52" s="4">
        <v>0.0513</v>
      </c>
      <c r="W52" s="4">
        <v>0.0483</v>
      </c>
      <c r="X52" s="4">
        <v>0.03</v>
      </c>
      <c r="Y52" s="4">
        <v>0.0486</v>
      </c>
      <c r="Z52" s="4">
        <v>0.0291</v>
      </c>
      <c r="AA52" s="4">
        <v>0.0685</v>
      </c>
      <c r="AB52" s="4">
        <v>0.034</v>
      </c>
      <c r="AC52" s="4">
        <v>0.046</v>
      </c>
      <c r="AD52" s="4">
        <v>0.0624</v>
      </c>
      <c r="AE52" s="4">
        <v>0.0382</v>
      </c>
      <c r="AF52" s="4">
        <v>0.03</v>
      </c>
      <c r="AG52" s="4">
        <v>0.0285</v>
      </c>
      <c r="AH52" s="4">
        <v>0.03</v>
      </c>
    </row>
    <row r="53" ht="14.3" customHeight="1" spans="1:34">
      <c r="A53" s="5"/>
      <c r="B53" s="6" t="s">
        <v>1584</v>
      </c>
      <c r="C53" s="6" t="s">
        <v>261</v>
      </c>
      <c r="D53" s="4">
        <v>0.1352</v>
      </c>
      <c r="E53" s="4">
        <v>0.14</v>
      </c>
      <c r="F53" s="4">
        <v>0.0821</v>
      </c>
      <c r="G53" s="4">
        <v>0.13</v>
      </c>
      <c r="H53" s="4">
        <v>0.0917</v>
      </c>
      <c r="I53" s="4">
        <v>0.1342</v>
      </c>
      <c r="J53" s="4">
        <v>0.1349</v>
      </c>
      <c r="K53" s="4">
        <v>0.1319</v>
      </c>
      <c r="L53" s="4">
        <v>0.1094</v>
      </c>
      <c r="M53" s="4">
        <v>0.1098</v>
      </c>
      <c r="N53" s="4">
        <v>0.13</v>
      </c>
      <c r="O53" s="4">
        <v>0.1541</v>
      </c>
      <c r="P53" s="4">
        <v>0.0817</v>
      </c>
      <c r="Q53" s="4">
        <v>0.0807</v>
      </c>
      <c r="R53" s="4">
        <v>0.0939</v>
      </c>
      <c r="S53" s="4">
        <v>0.13</v>
      </c>
      <c r="T53" s="4">
        <v>0.1553</v>
      </c>
      <c r="U53" s="4">
        <v>0.0935</v>
      </c>
      <c r="V53" s="4">
        <v>0.0061</v>
      </c>
      <c r="W53" s="4">
        <v>0.1029</v>
      </c>
      <c r="X53" s="4">
        <v>0.13</v>
      </c>
      <c r="Y53" s="4">
        <v>0.1</v>
      </c>
      <c r="Z53" s="4">
        <v>0.098</v>
      </c>
      <c r="AA53" s="4">
        <v>0.1371</v>
      </c>
      <c r="AB53" s="4">
        <v>0.0957</v>
      </c>
      <c r="AC53" s="4">
        <v>0.0996</v>
      </c>
      <c r="AD53" s="4">
        <v>0.531</v>
      </c>
      <c r="AE53" s="4">
        <v>0.1279</v>
      </c>
      <c r="AF53" s="4">
        <v>0.13</v>
      </c>
      <c r="AG53" s="4">
        <v>0.0941</v>
      </c>
      <c r="AH53" s="4">
        <v>0.13</v>
      </c>
    </row>
    <row r="54" ht="14.3" customHeight="1" spans="1:34">
      <c r="A54" s="5"/>
      <c r="B54" s="6" t="s">
        <v>1597</v>
      </c>
      <c r="C54" s="6" t="s">
        <v>261</v>
      </c>
      <c r="D54" s="4">
        <v>12.7004</v>
      </c>
      <c r="E54" s="4">
        <v>12.7601</v>
      </c>
      <c r="F54" s="4">
        <v>12.9581</v>
      </c>
      <c r="G54" s="4">
        <v>13.07</v>
      </c>
      <c r="H54" s="4">
        <v>12.9186</v>
      </c>
      <c r="I54" s="4">
        <v>12.9405</v>
      </c>
      <c r="J54" s="4">
        <v>12.8872</v>
      </c>
      <c r="K54" s="4">
        <v>12.8822</v>
      </c>
      <c r="L54" s="4">
        <v>12.5405</v>
      </c>
      <c r="M54" s="4">
        <v>12.9967</v>
      </c>
      <c r="N54" s="4">
        <v>13.07</v>
      </c>
      <c r="O54" s="4">
        <v>12.8195</v>
      </c>
      <c r="P54" s="4">
        <v>12.1308</v>
      </c>
      <c r="Q54" s="4">
        <v>12.4918</v>
      </c>
      <c r="R54" s="4">
        <v>12.4623</v>
      </c>
      <c r="S54" s="4">
        <v>13.07</v>
      </c>
      <c r="T54" s="4">
        <v>12.8558</v>
      </c>
      <c r="U54" s="4">
        <v>12.886</v>
      </c>
      <c r="V54" s="4">
        <v>12.4185</v>
      </c>
      <c r="W54" s="4">
        <v>12.787</v>
      </c>
      <c r="X54" s="4">
        <v>13.07</v>
      </c>
      <c r="Y54" s="4">
        <v>12.9718</v>
      </c>
      <c r="Z54" s="4">
        <v>12.8837</v>
      </c>
      <c r="AA54" s="4">
        <v>12.7229</v>
      </c>
      <c r="AB54" s="4">
        <v>13.0319</v>
      </c>
      <c r="AC54" s="4">
        <v>12.903</v>
      </c>
      <c r="AD54" s="4">
        <v>12.851</v>
      </c>
      <c r="AE54" s="4">
        <v>12.8903</v>
      </c>
      <c r="AF54" s="4">
        <v>13.07</v>
      </c>
      <c r="AG54" s="4">
        <v>12.8407</v>
      </c>
      <c r="AH54" s="4">
        <v>13.07</v>
      </c>
    </row>
    <row r="55" ht="14.3" customHeight="1" spans="1:34">
      <c r="A55" s="5"/>
      <c r="B55" s="6" t="s">
        <v>1605</v>
      </c>
      <c r="C55" s="6" t="s">
        <v>261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25.6" customHeight="1" spans="1:34">
      <c r="A56" s="5"/>
      <c r="B56" s="6" t="s">
        <v>1606</v>
      </c>
      <c r="C56" s="6" t="s">
        <v>261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25.6" customHeight="1" spans="1:34">
      <c r="A57" s="5" t="s">
        <v>719</v>
      </c>
      <c r="B57" s="6" t="s">
        <v>1598</v>
      </c>
      <c r="C57" s="6" t="s">
        <v>1600</v>
      </c>
      <c r="D57" s="4">
        <v>36.33</v>
      </c>
      <c r="E57" s="4">
        <v>36.26</v>
      </c>
      <c r="F57" s="4">
        <v>36.09</v>
      </c>
      <c r="G57" s="4">
        <v>36.18</v>
      </c>
      <c r="H57" s="4">
        <v>36.04</v>
      </c>
      <c r="I57" s="4">
        <v>36.17</v>
      </c>
      <c r="J57" s="4">
        <v>36.2</v>
      </c>
      <c r="K57" s="4">
        <v>36.22</v>
      </c>
      <c r="L57" s="4">
        <v>36.37</v>
      </c>
      <c r="M57" s="4">
        <v>36.11</v>
      </c>
      <c r="N57" s="4">
        <v>36.35</v>
      </c>
      <c r="O57" s="4">
        <v>36.23</v>
      </c>
      <c r="P57" s="4">
        <v>37.35</v>
      </c>
      <c r="Q57" s="4">
        <v>36.17</v>
      </c>
      <c r="R57" s="4">
        <v>36.38</v>
      </c>
      <c r="S57" s="4">
        <v>36.3</v>
      </c>
      <c r="T57" s="4">
        <v>36.29</v>
      </c>
      <c r="U57" s="4">
        <v>36.11</v>
      </c>
      <c r="V57" s="4">
        <v>36.32</v>
      </c>
      <c r="W57" s="4">
        <v>36.28</v>
      </c>
      <c r="X57" s="4">
        <v>36.76</v>
      </c>
      <c r="Y57" s="4">
        <v>36.2</v>
      </c>
      <c r="Z57" s="4">
        <v>36.31</v>
      </c>
      <c r="AA57" s="4">
        <v>36.42</v>
      </c>
      <c r="AB57" s="4">
        <v>36.82</v>
      </c>
      <c r="AC57" s="4">
        <v>36.25</v>
      </c>
      <c r="AD57" s="4">
        <v>36.33</v>
      </c>
      <c r="AE57" s="4">
        <v>36.07</v>
      </c>
      <c r="AF57" s="4">
        <v>36.43</v>
      </c>
      <c r="AG57" s="4">
        <v>36.18</v>
      </c>
      <c r="AH57" s="4">
        <v>36.44</v>
      </c>
    </row>
    <row r="58" ht="14.3" customHeight="1" spans="1:34">
      <c r="A58" s="5"/>
      <c r="B58" s="6" t="s">
        <v>1591</v>
      </c>
      <c r="C58" s="6" t="s">
        <v>1601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</row>
    <row r="59" ht="14.3" customHeight="1" spans="1:34">
      <c r="A59" s="5"/>
      <c r="B59" s="6" t="s">
        <v>1587</v>
      </c>
      <c r="C59" s="6" t="s">
        <v>1602</v>
      </c>
      <c r="D59" s="4">
        <v>4.84</v>
      </c>
      <c r="E59" s="4">
        <v>4.84</v>
      </c>
      <c r="F59" s="4">
        <v>4.84</v>
      </c>
      <c r="G59" s="4">
        <v>4.84</v>
      </c>
      <c r="H59" s="4">
        <v>4.84</v>
      </c>
      <c r="I59" s="4">
        <v>4.94</v>
      </c>
      <c r="J59" s="4">
        <v>4.84</v>
      </c>
      <c r="K59" s="4">
        <v>4.84</v>
      </c>
      <c r="L59" s="4">
        <v>4.84</v>
      </c>
      <c r="M59" s="4">
        <v>4.84</v>
      </c>
      <c r="N59" s="4">
        <v>4.84</v>
      </c>
      <c r="O59" s="4">
        <v>4.84</v>
      </c>
      <c r="P59" s="4">
        <v>4.84</v>
      </c>
      <c r="Q59" s="4">
        <v>4.84</v>
      </c>
      <c r="R59" s="4">
        <v>4.84</v>
      </c>
      <c r="S59" s="4">
        <v>4.84</v>
      </c>
      <c r="T59" s="4">
        <v>4.84</v>
      </c>
      <c r="U59" s="4">
        <v>4.84</v>
      </c>
      <c r="V59" s="4">
        <v>4.84</v>
      </c>
      <c r="W59" s="4">
        <v>4.84</v>
      </c>
      <c r="X59" s="4">
        <v>4.84</v>
      </c>
      <c r="Y59" s="4">
        <v>4.84</v>
      </c>
      <c r="Z59" s="4">
        <v>4.84</v>
      </c>
      <c r="AA59" s="4">
        <v>4.84</v>
      </c>
      <c r="AB59" s="4">
        <v>4.84</v>
      </c>
      <c r="AC59" s="4">
        <v>4.84</v>
      </c>
      <c r="AD59" s="4">
        <v>4.84</v>
      </c>
      <c r="AE59" s="4">
        <v>4.84</v>
      </c>
      <c r="AF59" s="4">
        <v>4.84</v>
      </c>
      <c r="AG59" s="4">
        <v>4.84</v>
      </c>
      <c r="AH59" s="4">
        <v>4.84</v>
      </c>
    </row>
    <row r="60" ht="14.3" customHeight="1" spans="1:34">
      <c r="A60" s="5"/>
      <c r="B60" s="6" t="s">
        <v>1589</v>
      </c>
      <c r="C60" s="6" t="s">
        <v>1603</v>
      </c>
      <c r="D60" s="4">
        <v>4.29</v>
      </c>
      <c r="E60" s="4">
        <v>4.27</v>
      </c>
      <c r="F60" s="4">
        <v>4.1833</v>
      </c>
      <c r="G60" s="4">
        <v>4.16</v>
      </c>
      <c r="H60" s="4">
        <v>4.22</v>
      </c>
      <c r="I60" s="4">
        <v>4.1814</v>
      </c>
      <c r="J60" s="4">
        <v>4.06</v>
      </c>
      <c r="K60" s="4">
        <v>4.23</v>
      </c>
      <c r="L60" s="4">
        <v>4.19</v>
      </c>
      <c r="M60" s="4">
        <v>4.21</v>
      </c>
      <c r="N60" s="4">
        <v>4.29</v>
      </c>
      <c r="O60" s="4">
        <v>4.44</v>
      </c>
      <c r="P60" s="4">
        <v>3.93</v>
      </c>
      <c r="Q60" s="4">
        <v>4.43</v>
      </c>
      <c r="R60" s="4">
        <v>4.28</v>
      </c>
      <c r="S60" s="4">
        <v>4.21</v>
      </c>
      <c r="T60" s="4">
        <v>4.16</v>
      </c>
      <c r="U60" s="4">
        <v>4.35</v>
      </c>
      <c r="V60" s="4">
        <v>4.25</v>
      </c>
      <c r="W60" s="4">
        <v>4.18</v>
      </c>
      <c r="X60" s="4">
        <v>4.36</v>
      </c>
      <c r="Y60" s="4">
        <v>4.1762</v>
      </c>
      <c r="Z60" s="4">
        <v>4.31</v>
      </c>
      <c r="AA60" s="4">
        <v>4.22</v>
      </c>
      <c r="AB60" s="4">
        <v>4.12</v>
      </c>
      <c r="AC60" s="4">
        <v>4.223</v>
      </c>
      <c r="AD60" s="4">
        <v>4.19</v>
      </c>
      <c r="AE60" s="4">
        <v>4.25</v>
      </c>
      <c r="AF60" s="4">
        <v>4.33</v>
      </c>
      <c r="AG60" s="4">
        <v>4.2273</v>
      </c>
      <c r="AH60" s="4">
        <v>4.3</v>
      </c>
    </row>
    <row r="61" ht="14.3" customHeight="1" spans="1:34">
      <c r="A61" s="5"/>
      <c r="B61" s="6" t="s">
        <v>1593</v>
      </c>
      <c r="C61" s="6" t="s">
        <v>1604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4.3" customHeight="1" spans="1:34">
      <c r="A62" s="5"/>
      <c r="B62" s="6" t="s">
        <v>1572</v>
      </c>
      <c r="C62" s="5"/>
      <c r="D62" s="4">
        <v>-37.4</v>
      </c>
      <c r="E62" s="4">
        <v>-37.4</v>
      </c>
      <c r="F62" s="4">
        <v>-37.4</v>
      </c>
      <c r="G62" s="4">
        <v>-37.4</v>
      </c>
      <c r="H62" s="4">
        <v>-37.4</v>
      </c>
      <c r="I62" s="4">
        <v>-37.4</v>
      </c>
      <c r="J62" s="4">
        <v>-37.4</v>
      </c>
      <c r="K62" s="4">
        <v>-37.4</v>
      </c>
      <c r="L62" s="4">
        <v>-37.4</v>
      </c>
      <c r="M62" s="4">
        <v>-37.4</v>
      </c>
      <c r="N62" s="4">
        <v>-37.4</v>
      </c>
      <c r="O62" s="4">
        <v>-33.31</v>
      </c>
      <c r="P62" s="4">
        <v>-36.25</v>
      </c>
      <c r="Q62" s="4">
        <v>-37.4</v>
      </c>
      <c r="R62" s="4">
        <v>-37.4</v>
      </c>
      <c r="S62" s="4">
        <v>-37.4</v>
      </c>
      <c r="T62" s="4">
        <v>-37.4</v>
      </c>
      <c r="U62" s="4">
        <v>-37.4</v>
      </c>
      <c r="V62" s="4">
        <v>-37.4</v>
      </c>
      <c r="W62" s="4">
        <v>-37.4</v>
      </c>
      <c r="X62" s="4">
        <v>-37.4</v>
      </c>
      <c r="Y62" s="4">
        <v>-37.4</v>
      </c>
      <c r="Z62" s="4">
        <v>-32.44</v>
      </c>
      <c r="AA62" s="4">
        <v>-37.4</v>
      </c>
      <c r="AB62" s="4">
        <v>-33.34</v>
      </c>
      <c r="AC62" s="4">
        <v>-37.4</v>
      </c>
      <c r="AD62" s="4">
        <v>-37.4</v>
      </c>
      <c r="AE62" s="4">
        <v>-37.4</v>
      </c>
      <c r="AF62" s="4">
        <v>-37.4</v>
      </c>
      <c r="AG62" s="4">
        <v>-37.4</v>
      </c>
      <c r="AH62" s="4">
        <v>-37.4</v>
      </c>
    </row>
    <row r="63" ht="14.3" customHeight="1" spans="1:34">
      <c r="A63" s="5"/>
      <c r="B63" s="6" t="s">
        <v>1574</v>
      </c>
      <c r="C63" s="6" t="s">
        <v>261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</row>
    <row r="64" ht="14.3" customHeight="1" spans="1:34">
      <c r="A64" s="5"/>
      <c r="B64" s="6" t="s">
        <v>1576</v>
      </c>
      <c r="C64" s="6" t="s">
        <v>261</v>
      </c>
      <c r="D64" s="4">
        <v>86.19</v>
      </c>
      <c r="E64" s="4">
        <v>86.24</v>
      </c>
      <c r="F64" s="4">
        <v>85.9301</v>
      </c>
      <c r="G64" s="4">
        <v>86.33</v>
      </c>
      <c r="H64" s="4">
        <v>86.07</v>
      </c>
      <c r="I64" s="4">
        <v>85.931</v>
      </c>
      <c r="J64" s="4">
        <v>86.12</v>
      </c>
      <c r="K64" s="4">
        <v>86.1</v>
      </c>
      <c r="L64" s="4">
        <v>86.25</v>
      </c>
      <c r="M64" s="4">
        <v>86.01</v>
      </c>
      <c r="N64" s="4">
        <v>86.11</v>
      </c>
      <c r="O64" s="4">
        <v>86.17</v>
      </c>
      <c r="P64" s="4">
        <v>87.45</v>
      </c>
      <c r="Q64" s="4">
        <v>86.07</v>
      </c>
      <c r="R64" s="4">
        <v>86.32</v>
      </c>
      <c r="S64" s="4">
        <v>86.03</v>
      </c>
      <c r="T64" s="4">
        <v>86.3</v>
      </c>
      <c r="U64" s="4">
        <v>86.08</v>
      </c>
      <c r="V64" s="4">
        <v>86.09</v>
      </c>
      <c r="W64" s="4">
        <v>86.27</v>
      </c>
      <c r="X64" s="4">
        <v>86.54</v>
      </c>
      <c r="Y64" s="4">
        <v>85.9623</v>
      </c>
      <c r="Z64" s="4">
        <v>86.2</v>
      </c>
      <c r="AA64" s="4">
        <v>86.18</v>
      </c>
      <c r="AB64" s="4">
        <v>86.91</v>
      </c>
      <c r="AC64" s="4">
        <v>86.0554</v>
      </c>
      <c r="AD64" s="4">
        <v>86.19</v>
      </c>
      <c r="AE64" s="4">
        <v>85.99</v>
      </c>
      <c r="AF64" s="4">
        <v>86.15</v>
      </c>
      <c r="AG64" s="4">
        <v>86.1608</v>
      </c>
      <c r="AH64" s="4">
        <v>86.16</v>
      </c>
    </row>
    <row r="65" ht="14.3" customHeight="1" spans="1:34">
      <c r="A65" s="5"/>
      <c r="B65" s="6" t="s">
        <v>1578</v>
      </c>
      <c r="C65" s="6" t="s">
        <v>261</v>
      </c>
      <c r="D65" s="4">
        <v>2.99</v>
      </c>
      <c r="E65" s="4">
        <v>2.96</v>
      </c>
      <c r="F65" s="4">
        <v>2.7857</v>
      </c>
      <c r="G65" s="4">
        <v>2.87</v>
      </c>
      <c r="H65" s="4">
        <v>2.8</v>
      </c>
      <c r="I65" s="4">
        <v>2.8379</v>
      </c>
      <c r="J65" s="4">
        <v>2.85</v>
      </c>
      <c r="K65" s="4">
        <v>2.91</v>
      </c>
      <c r="L65" s="4">
        <v>3.01</v>
      </c>
      <c r="M65" s="4">
        <v>2.82</v>
      </c>
      <c r="N65" s="4">
        <v>3</v>
      </c>
      <c r="O65" s="4">
        <v>2.94</v>
      </c>
      <c r="P65" s="4">
        <v>3.58</v>
      </c>
      <c r="Q65" s="4">
        <v>2.95</v>
      </c>
      <c r="R65" s="4">
        <v>3.03</v>
      </c>
      <c r="S65" s="4">
        <v>2.96</v>
      </c>
      <c r="T65" s="4">
        <v>2.95</v>
      </c>
      <c r="U65" s="4">
        <v>2.82</v>
      </c>
      <c r="V65" s="4">
        <v>3</v>
      </c>
      <c r="W65" s="4">
        <v>2.96</v>
      </c>
      <c r="X65" s="4">
        <v>3.33</v>
      </c>
      <c r="Y65" s="4">
        <v>2.867</v>
      </c>
      <c r="Z65" s="4">
        <v>2.96</v>
      </c>
      <c r="AA65" s="4">
        <v>3.02</v>
      </c>
      <c r="AB65" s="4">
        <v>3.3</v>
      </c>
      <c r="AC65" s="4">
        <v>2.9237</v>
      </c>
      <c r="AD65" s="4">
        <v>2.97</v>
      </c>
      <c r="AE65" s="4">
        <v>2.82</v>
      </c>
      <c r="AF65" s="4">
        <v>3.05</v>
      </c>
      <c r="AG65" s="4">
        <v>2.8811</v>
      </c>
      <c r="AH65" s="4">
        <v>3.05</v>
      </c>
    </row>
    <row r="66" ht="14.3" customHeight="1" spans="1:34">
      <c r="A66" s="5"/>
      <c r="B66" s="6" t="s">
        <v>1579</v>
      </c>
      <c r="C66" s="6" t="s">
        <v>261</v>
      </c>
      <c r="D66" s="4">
        <v>1.23</v>
      </c>
      <c r="E66" s="4">
        <v>1.2</v>
      </c>
      <c r="F66" s="4">
        <v>1.1905</v>
      </c>
      <c r="G66" s="4">
        <v>1.2</v>
      </c>
      <c r="H66" s="4">
        <v>1.15</v>
      </c>
      <c r="I66" s="4">
        <v>1.2091</v>
      </c>
      <c r="J66" s="4">
        <v>1.21</v>
      </c>
      <c r="K66" s="4">
        <v>1.21</v>
      </c>
      <c r="L66" s="4">
        <v>1.24</v>
      </c>
      <c r="M66" s="4">
        <v>1.18</v>
      </c>
      <c r="N66" s="4">
        <v>1.24</v>
      </c>
      <c r="O66" s="4">
        <v>1.2</v>
      </c>
      <c r="P66" s="4">
        <v>1.33</v>
      </c>
      <c r="Q66" s="4">
        <v>1.22</v>
      </c>
      <c r="R66" s="4">
        <v>1.23</v>
      </c>
      <c r="S66" s="4">
        <v>1.25</v>
      </c>
      <c r="T66" s="4">
        <v>1.22</v>
      </c>
      <c r="U66" s="4">
        <v>1.19</v>
      </c>
      <c r="V66" s="4">
        <v>1.24</v>
      </c>
      <c r="W66" s="4">
        <v>1.21</v>
      </c>
      <c r="X66" s="4">
        <v>1.31</v>
      </c>
      <c r="Y66" s="4">
        <v>1.2119</v>
      </c>
      <c r="Z66" s="4">
        <v>1.2</v>
      </c>
      <c r="AA66" s="4">
        <v>1.26</v>
      </c>
      <c r="AB66" s="4">
        <v>1.26</v>
      </c>
      <c r="AC66" s="4">
        <v>1.2207</v>
      </c>
      <c r="AD66" s="4">
        <v>1.24</v>
      </c>
      <c r="AE66" s="4">
        <v>1.19</v>
      </c>
      <c r="AF66" s="4">
        <v>1.27</v>
      </c>
      <c r="AG66" s="4">
        <v>1.1857</v>
      </c>
      <c r="AH66" s="4">
        <v>1.28</v>
      </c>
    </row>
    <row r="67" ht="14.3" customHeight="1" spans="1:34">
      <c r="A67" s="5"/>
      <c r="B67" s="6" t="s">
        <v>1580</v>
      </c>
      <c r="C67" s="6" t="s">
        <v>261</v>
      </c>
      <c r="D67" s="4">
        <v>0.31</v>
      </c>
      <c r="E67" s="4">
        <v>0.29</v>
      </c>
      <c r="F67" s="4">
        <v>0.2932</v>
      </c>
      <c r="G67" s="4">
        <v>0.29</v>
      </c>
      <c r="H67" s="4">
        <v>0.27</v>
      </c>
      <c r="I67" s="4">
        <v>0.3008</v>
      </c>
      <c r="J67" s="4">
        <v>0.29</v>
      </c>
      <c r="K67" s="4">
        <v>0.3</v>
      </c>
      <c r="L67" s="4">
        <v>0.32</v>
      </c>
      <c r="M67" s="4">
        <v>0.29</v>
      </c>
      <c r="N67" s="4">
        <v>0.31</v>
      </c>
      <c r="O67" s="4">
        <v>0.3</v>
      </c>
      <c r="P67" s="4">
        <v>0.32</v>
      </c>
      <c r="Q67" s="4">
        <v>0.3</v>
      </c>
      <c r="R67" s="4">
        <v>0.28</v>
      </c>
      <c r="S67" s="4">
        <v>0.32</v>
      </c>
      <c r="T67" s="4">
        <v>0.31</v>
      </c>
      <c r="U67" s="4">
        <v>0.29</v>
      </c>
      <c r="V67" s="4">
        <v>0.31</v>
      </c>
      <c r="W67" s="4">
        <v>0.3</v>
      </c>
      <c r="X67" s="4">
        <v>0.31</v>
      </c>
      <c r="Y67" s="4">
        <v>0.3009</v>
      </c>
      <c r="Z67" s="4">
        <v>0.31</v>
      </c>
      <c r="AA67" s="4">
        <v>0.33</v>
      </c>
      <c r="AB67" s="4">
        <v>0.32</v>
      </c>
      <c r="AC67" s="4">
        <v>0.3006</v>
      </c>
      <c r="AD67" s="4">
        <v>0.31</v>
      </c>
      <c r="AE67" s="4">
        <v>0.3</v>
      </c>
      <c r="AF67" s="4">
        <v>0.31</v>
      </c>
      <c r="AG67" s="4">
        <v>0.2812</v>
      </c>
      <c r="AH67" s="4">
        <v>0.33</v>
      </c>
    </row>
    <row r="68" ht="14.3" customHeight="1" spans="1:34">
      <c r="A68" s="5"/>
      <c r="B68" s="6" t="s">
        <v>1581</v>
      </c>
      <c r="C68" s="6" t="s">
        <v>261</v>
      </c>
      <c r="D68" s="4">
        <v>0.29</v>
      </c>
      <c r="E68" s="4">
        <v>0.29</v>
      </c>
      <c r="F68" s="4">
        <v>0.3085</v>
      </c>
      <c r="G68" s="4">
        <v>0.29</v>
      </c>
      <c r="H68" s="4">
        <v>0.29</v>
      </c>
      <c r="I68" s="4">
        <v>0.3228</v>
      </c>
      <c r="J68" s="4">
        <v>0.31</v>
      </c>
      <c r="K68" s="4">
        <v>0.3</v>
      </c>
      <c r="L68" s="4">
        <v>0.31</v>
      </c>
      <c r="M68" s="4">
        <v>0.31</v>
      </c>
      <c r="N68" s="4">
        <v>0.33</v>
      </c>
      <c r="O68" s="4">
        <v>0.29</v>
      </c>
      <c r="P68" s="4">
        <v>0.3</v>
      </c>
      <c r="Q68" s="4">
        <v>0.3</v>
      </c>
      <c r="R68" s="4">
        <v>0.32</v>
      </c>
      <c r="S68" s="4">
        <v>0.31</v>
      </c>
      <c r="T68" s="4">
        <v>0.3</v>
      </c>
      <c r="U68" s="4">
        <v>0.3</v>
      </c>
      <c r="V68" s="4">
        <v>0.29</v>
      </c>
      <c r="W68" s="4">
        <v>0.29</v>
      </c>
      <c r="X68" s="4">
        <v>0.3</v>
      </c>
      <c r="Y68" s="4">
        <v>0.327</v>
      </c>
      <c r="Z68" s="4">
        <v>0.29</v>
      </c>
      <c r="AA68" s="4">
        <v>0.31</v>
      </c>
      <c r="AB68" s="4">
        <v>0.29</v>
      </c>
      <c r="AC68" s="4">
        <v>0.3193</v>
      </c>
      <c r="AD68" s="4">
        <v>0.28</v>
      </c>
      <c r="AE68" s="4">
        <v>0.29</v>
      </c>
      <c r="AF68" s="4">
        <v>0.33</v>
      </c>
      <c r="AG68" s="4">
        <v>0.2947</v>
      </c>
      <c r="AH68" s="4">
        <v>0.31</v>
      </c>
    </row>
    <row r="69" ht="14.3" customHeight="1" spans="1:34">
      <c r="A69" s="5"/>
      <c r="B69" s="6" t="s">
        <v>1582</v>
      </c>
      <c r="C69" s="6" t="s">
        <v>261</v>
      </c>
      <c r="D69" s="4">
        <v>0.08</v>
      </c>
      <c r="E69" s="4">
        <v>0.11</v>
      </c>
      <c r="F69" s="4">
        <v>0.1195</v>
      </c>
      <c r="G69" s="4">
        <v>0.11</v>
      </c>
      <c r="H69" s="4">
        <v>0.12</v>
      </c>
      <c r="I69" s="4">
        <v>0.1246</v>
      </c>
      <c r="J69" s="4">
        <v>0.12</v>
      </c>
      <c r="K69" s="4">
        <v>0.08</v>
      </c>
      <c r="L69" s="4">
        <v>0.08</v>
      </c>
      <c r="M69" s="4">
        <v>0.12</v>
      </c>
      <c r="N69" s="4">
        <v>0.12</v>
      </c>
      <c r="O69" s="4">
        <v>0.08</v>
      </c>
      <c r="P69" s="4">
        <v>0.08</v>
      </c>
      <c r="Q69" s="4">
        <v>0.11</v>
      </c>
      <c r="R69" s="4">
        <v>0.12</v>
      </c>
      <c r="S69" s="4">
        <v>0.08</v>
      </c>
      <c r="T69" s="4">
        <v>0.07</v>
      </c>
      <c r="U69" s="4">
        <v>0.12</v>
      </c>
      <c r="V69" s="4">
        <v>0.08</v>
      </c>
      <c r="W69" s="4">
        <v>0.08</v>
      </c>
      <c r="X69" s="4">
        <v>0.08</v>
      </c>
      <c r="Y69" s="4">
        <v>0.1237</v>
      </c>
      <c r="Z69" s="4">
        <v>0.08</v>
      </c>
      <c r="AA69" s="4">
        <v>0.08</v>
      </c>
      <c r="AB69" s="4">
        <v>0.08</v>
      </c>
      <c r="AC69" s="4">
        <v>0.12</v>
      </c>
      <c r="AD69" s="4">
        <v>0.08</v>
      </c>
      <c r="AE69" s="4">
        <v>0.12</v>
      </c>
      <c r="AF69" s="4">
        <v>0.13</v>
      </c>
      <c r="AG69" s="4">
        <v>0.1146</v>
      </c>
      <c r="AH69" s="4">
        <v>0.08</v>
      </c>
    </row>
    <row r="70" ht="14.3" customHeight="1" spans="1:34">
      <c r="A70" s="5"/>
      <c r="B70" s="6" t="s">
        <v>1583</v>
      </c>
      <c r="C70" s="6" t="s">
        <v>261</v>
      </c>
      <c r="D70" s="4">
        <v>0.12</v>
      </c>
      <c r="E70" s="4">
        <v>0.08</v>
      </c>
      <c r="F70" s="4">
        <v>0.0815</v>
      </c>
      <c r="G70" s="4">
        <v>0.08</v>
      </c>
      <c r="H70" s="4">
        <v>0.08</v>
      </c>
      <c r="I70" s="4">
        <v>0.0827</v>
      </c>
      <c r="J70" s="4">
        <v>0.08</v>
      </c>
      <c r="K70" s="4">
        <v>0.12</v>
      </c>
      <c r="L70" s="4">
        <v>0.11</v>
      </c>
      <c r="M70" s="4">
        <v>0.08</v>
      </c>
      <c r="N70" s="4">
        <v>0.08</v>
      </c>
      <c r="O70" s="4">
        <v>0.11</v>
      </c>
      <c r="P70" s="4">
        <v>0.12</v>
      </c>
      <c r="Q70" s="4">
        <v>0.07</v>
      </c>
      <c r="R70" s="4">
        <v>0.08</v>
      </c>
      <c r="S70" s="4">
        <v>0.13</v>
      </c>
      <c r="T70" s="4">
        <v>0.12</v>
      </c>
      <c r="U70" s="4">
        <v>0.08</v>
      </c>
      <c r="V70" s="4">
        <v>0.12</v>
      </c>
      <c r="W70" s="4">
        <v>0.11</v>
      </c>
      <c r="X70" s="4">
        <v>0.11</v>
      </c>
      <c r="Y70" s="4">
        <v>0.0842</v>
      </c>
      <c r="Z70" s="4">
        <v>0.12</v>
      </c>
      <c r="AA70" s="4">
        <v>0.12</v>
      </c>
      <c r="AB70" s="4">
        <v>0.12</v>
      </c>
      <c r="AC70" s="4">
        <v>0.0832</v>
      </c>
      <c r="AD70" s="4">
        <v>0.11</v>
      </c>
      <c r="AE70" s="4">
        <v>0.08</v>
      </c>
      <c r="AF70" s="4">
        <v>0.08</v>
      </c>
      <c r="AG70" s="4">
        <v>0.0792</v>
      </c>
      <c r="AH70" s="4">
        <v>0.12</v>
      </c>
    </row>
    <row r="71" ht="14.3" customHeight="1" spans="1:34">
      <c r="A71" s="5"/>
      <c r="B71" s="6" t="s">
        <v>1584</v>
      </c>
      <c r="C71" s="6" t="s">
        <v>261</v>
      </c>
      <c r="D71" s="4">
        <v>0.15</v>
      </c>
      <c r="E71" s="4">
        <v>0.13</v>
      </c>
      <c r="F71" s="4">
        <v>0.1572</v>
      </c>
      <c r="G71" s="4">
        <v>0.11</v>
      </c>
      <c r="H71" s="4">
        <v>0.14</v>
      </c>
      <c r="I71" s="4">
        <v>0.1438</v>
      </c>
      <c r="J71" s="4">
        <v>0.14</v>
      </c>
      <c r="K71" s="4">
        <v>0.14</v>
      </c>
      <c r="L71" s="4">
        <v>0.13</v>
      </c>
      <c r="M71" s="4">
        <v>0.13</v>
      </c>
      <c r="N71" s="4">
        <v>0.12</v>
      </c>
      <c r="O71" s="4">
        <v>0.14</v>
      </c>
      <c r="P71" s="4">
        <v>0.15</v>
      </c>
      <c r="Q71" s="4">
        <v>0.11</v>
      </c>
      <c r="R71" s="4">
        <v>0.13</v>
      </c>
      <c r="S71" s="4">
        <v>0.12</v>
      </c>
      <c r="T71" s="4">
        <v>0.11</v>
      </c>
      <c r="U71" s="4">
        <v>0.12</v>
      </c>
      <c r="V71" s="4">
        <v>0.13</v>
      </c>
      <c r="W71" s="4">
        <v>0.11</v>
      </c>
      <c r="X71" s="4">
        <v>0.15</v>
      </c>
      <c r="Y71" s="4">
        <v>0.1647</v>
      </c>
      <c r="Z71" s="4">
        <v>0.15</v>
      </c>
      <c r="AA71" s="4">
        <v>0.13</v>
      </c>
      <c r="AB71" s="4">
        <v>0.12</v>
      </c>
      <c r="AC71" s="4">
        <v>0.1312</v>
      </c>
      <c r="AD71" s="4">
        <v>0.14</v>
      </c>
      <c r="AE71" s="4">
        <v>0.12</v>
      </c>
      <c r="AF71" s="4">
        <v>0.11</v>
      </c>
      <c r="AG71" s="4">
        <v>0.1347</v>
      </c>
      <c r="AH71" s="4">
        <v>0.13</v>
      </c>
    </row>
    <row r="72" ht="14.3" customHeight="1" spans="1:34">
      <c r="A72" s="5"/>
      <c r="B72" s="6" t="s">
        <v>1597</v>
      </c>
      <c r="C72" s="6" t="s">
        <v>261</v>
      </c>
      <c r="D72" s="4">
        <v>4.35</v>
      </c>
      <c r="E72" s="4">
        <v>4.43</v>
      </c>
      <c r="F72" s="4">
        <v>4.9505</v>
      </c>
      <c r="G72" s="4">
        <v>4.56</v>
      </c>
      <c r="H72" s="4">
        <v>4.86</v>
      </c>
      <c r="I72" s="4">
        <v>4.8659</v>
      </c>
      <c r="J72" s="4">
        <v>4.82</v>
      </c>
      <c r="K72" s="4">
        <v>4.61</v>
      </c>
      <c r="L72" s="4">
        <v>4.36</v>
      </c>
      <c r="M72" s="4">
        <v>4.85</v>
      </c>
      <c r="N72" s="4">
        <v>4.4</v>
      </c>
      <c r="O72" s="4">
        <v>4.33</v>
      </c>
      <c r="P72" s="4">
        <v>2.74</v>
      </c>
      <c r="Q72" s="4">
        <v>4.44</v>
      </c>
      <c r="R72" s="4">
        <v>4.21</v>
      </c>
      <c r="S72" s="4">
        <v>4.59</v>
      </c>
      <c r="T72" s="4">
        <v>4.46</v>
      </c>
      <c r="U72" s="4">
        <v>4.65</v>
      </c>
      <c r="V72" s="4">
        <v>4.49</v>
      </c>
      <c r="W72" s="4">
        <v>4.49</v>
      </c>
      <c r="X72" s="4">
        <v>3.51</v>
      </c>
      <c r="Y72" s="4">
        <v>4.7821</v>
      </c>
      <c r="Z72" s="4">
        <v>4.38</v>
      </c>
      <c r="AA72" s="4">
        <v>4.35</v>
      </c>
      <c r="AB72" s="4">
        <v>3.48</v>
      </c>
      <c r="AC72" s="4">
        <v>4.6229</v>
      </c>
      <c r="AD72" s="4">
        <v>4.49</v>
      </c>
      <c r="AE72" s="4">
        <v>4.84</v>
      </c>
      <c r="AF72" s="4">
        <v>4.24</v>
      </c>
      <c r="AG72" s="4">
        <v>4.6407</v>
      </c>
      <c r="AH72" s="4">
        <v>4.24</v>
      </c>
    </row>
    <row r="73" ht="14.3" customHeight="1" spans="1:34">
      <c r="A73" s="5"/>
      <c r="B73" s="6" t="s">
        <v>1605</v>
      </c>
      <c r="C73" s="6" t="s">
        <v>261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25.6" customHeight="1" spans="1:34">
      <c r="A74" s="5"/>
      <c r="B74" s="6" t="s">
        <v>1606</v>
      </c>
      <c r="C74" s="6" t="s">
        <v>261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25.6" customHeight="1" spans="1:34">
      <c r="A75" s="5" t="s">
        <v>971</v>
      </c>
      <c r="B75" s="6" t="s">
        <v>1598</v>
      </c>
      <c r="C75" s="6" t="s">
        <v>1600</v>
      </c>
      <c r="D75" s="4">
        <v>38.9</v>
      </c>
      <c r="E75" s="4">
        <v>36.9</v>
      </c>
      <c r="F75" s="4">
        <v>36.91</v>
      </c>
      <c r="G75" s="4">
        <v>36.89</v>
      </c>
      <c r="H75" s="4">
        <v>36.89</v>
      </c>
      <c r="I75" s="4">
        <v>36.91</v>
      </c>
      <c r="J75" s="4">
        <v>36.9</v>
      </c>
      <c r="K75" s="4">
        <v>36.83</v>
      </c>
      <c r="L75" s="4">
        <v>36.73</v>
      </c>
      <c r="M75" s="4">
        <v>38.98</v>
      </c>
      <c r="N75" s="4">
        <v>36.86</v>
      </c>
      <c r="O75" s="4">
        <v>38.92</v>
      </c>
      <c r="P75" s="4">
        <v>37.32</v>
      </c>
      <c r="Q75" s="4">
        <v>36.9</v>
      </c>
      <c r="R75" s="4">
        <v>36.87</v>
      </c>
      <c r="S75" s="4">
        <v>36.83</v>
      </c>
      <c r="T75" s="4">
        <v>37.13</v>
      </c>
      <c r="U75" s="4">
        <v>37.1</v>
      </c>
      <c r="V75" s="4">
        <v>37.96</v>
      </c>
      <c r="W75" s="4">
        <v>38.77</v>
      </c>
      <c r="X75" s="4">
        <v>36.73</v>
      </c>
      <c r="Y75" s="4">
        <v>37.18</v>
      </c>
      <c r="Z75" s="4">
        <v>40.57</v>
      </c>
      <c r="AA75" s="4">
        <v>36.77</v>
      </c>
      <c r="AB75" s="4">
        <v>40.27</v>
      </c>
      <c r="AC75" s="4">
        <v>36.85</v>
      </c>
      <c r="AD75" s="4">
        <v>37.97</v>
      </c>
      <c r="AE75" s="4">
        <v>36.87</v>
      </c>
      <c r="AF75" s="4">
        <v>36.86</v>
      </c>
      <c r="AG75" s="4">
        <v>36.83</v>
      </c>
      <c r="AH75" s="4">
        <v>36.8</v>
      </c>
    </row>
    <row r="76" ht="14.3" customHeight="1" spans="1:34">
      <c r="A76" s="5"/>
      <c r="B76" s="6" t="s">
        <v>1591</v>
      </c>
      <c r="C76" s="6" t="s">
        <v>1601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</row>
    <row r="77" ht="14.3" customHeight="1" spans="1:34">
      <c r="A77" s="5"/>
      <c r="B77" s="6" t="s">
        <v>1587</v>
      </c>
      <c r="C77" s="6" t="s">
        <v>1602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</row>
    <row r="78" ht="14.3" customHeight="1" spans="1:34">
      <c r="A78" s="5"/>
      <c r="B78" s="6" t="s">
        <v>1589</v>
      </c>
      <c r="C78" s="6" t="s">
        <v>1603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</row>
    <row r="79" ht="14.3" customHeight="1" spans="1:34">
      <c r="A79" s="5"/>
      <c r="B79" s="6" t="s">
        <v>1593</v>
      </c>
      <c r="C79" s="6" t="s">
        <v>1604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4.3" customHeight="1" spans="1:34">
      <c r="A80" s="5"/>
      <c r="B80" s="6" t="s">
        <v>1572</v>
      </c>
      <c r="C80" s="5"/>
      <c r="D80" s="4">
        <v>-30.1</v>
      </c>
      <c r="E80" s="4">
        <v>-26.5</v>
      </c>
      <c r="F80" s="4">
        <v>-26.5</v>
      </c>
      <c r="G80" s="4">
        <v>-26.8</v>
      </c>
      <c r="H80" s="4">
        <v>-26.5</v>
      </c>
      <c r="I80" s="4">
        <v>-26.5</v>
      </c>
      <c r="J80" s="4">
        <v>-26.5</v>
      </c>
      <c r="K80" s="4">
        <v>-26.5</v>
      </c>
      <c r="L80" s="4">
        <v>-29.2</v>
      </c>
      <c r="M80" s="4">
        <v>-26.5</v>
      </c>
      <c r="N80" s="4">
        <v>-26.5</v>
      </c>
      <c r="O80" s="4">
        <v>-30.4</v>
      </c>
      <c r="P80" s="4">
        <v>-29.5</v>
      </c>
      <c r="Q80" s="4">
        <v>-25.9</v>
      </c>
      <c r="R80" s="4">
        <v>-26.5</v>
      </c>
      <c r="S80" s="4">
        <v>-26.5</v>
      </c>
      <c r="T80" s="4">
        <v>-26.8</v>
      </c>
      <c r="U80" s="4">
        <v>-26.5</v>
      </c>
      <c r="V80" s="4">
        <v>-29.8</v>
      </c>
      <c r="W80" s="4">
        <v>-30.1</v>
      </c>
      <c r="X80" s="4">
        <v>-26.5</v>
      </c>
      <c r="Y80" s="4">
        <v>-26.5</v>
      </c>
      <c r="Z80" s="4">
        <v>-29.2</v>
      </c>
      <c r="AA80" s="4">
        <v>-29.8</v>
      </c>
      <c r="AB80" s="4">
        <v>-29.8</v>
      </c>
      <c r="AC80" s="4">
        <v>-26.5</v>
      </c>
      <c r="AD80" s="4">
        <v>-26.5</v>
      </c>
      <c r="AE80" s="4">
        <v>-26.5</v>
      </c>
      <c r="AF80" s="4">
        <v>-26.5</v>
      </c>
      <c r="AG80" s="4">
        <v>-26.5</v>
      </c>
      <c r="AH80" s="4">
        <v>-26.5</v>
      </c>
    </row>
    <row r="81" ht="14.3" customHeight="1" spans="1:34">
      <c r="A81" s="5"/>
      <c r="B81" s="6" t="s">
        <v>1574</v>
      </c>
      <c r="C81" s="6" t="s">
        <v>261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</row>
    <row r="82" ht="14.3" customHeight="1" spans="1:34">
      <c r="A82" s="5"/>
      <c r="B82" s="6" t="s">
        <v>1576</v>
      </c>
      <c r="C82" s="6" t="s">
        <v>261</v>
      </c>
      <c r="D82" s="4">
        <v>95.26</v>
      </c>
      <c r="E82" s="4">
        <v>99.26</v>
      </c>
      <c r="F82" s="4">
        <v>99.36</v>
      </c>
      <c r="G82" s="4">
        <v>99.03</v>
      </c>
      <c r="H82" s="4">
        <v>99.34</v>
      </c>
      <c r="I82" s="4">
        <v>99.41</v>
      </c>
      <c r="J82" s="4">
        <v>99.37</v>
      </c>
      <c r="K82" s="4">
        <v>99.21</v>
      </c>
      <c r="L82" s="4">
        <v>98.93</v>
      </c>
      <c r="M82" s="4">
        <v>95.16</v>
      </c>
      <c r="N82" s="4">
        <v>99.19</v>
      </c>
      <c r="O82" s="4">
        <v>95.16</v>
      </c>
      <c r="P82" s="4">
        <v>98.2</v>
      </c>
      <c r="Q82" s="4">
        <v>99.07</v>
      </c>
      <c r="R82" s="4">
        <v>99.2</v>
      </c>
      <c r="S82" s="4">
        <v>99.17</v>
      </c>
      <c r="T82" s="4">
        <v>99.16</v>
      </c>
      <c r="U82" s="4">
        <v>98.95</v>
      </c>
      <c r="V82" s="4">
        <v>97.67</v>
      </c>
      <c r="W82" s="4">
        <v>95.59</v>
      </c>
      <c r="X82" s="4">
        <v>98.99</v>
      </c>
      <c r="Y82" s="4">
        <v>99.03</v>
      </c>
      <c r="Z82" s="4">
        <v>91.33</v>
      </c>
      <c r="AA82" s="4">
        <v>99.1</v>
      </c>
      <c r="AB82" s="4">
        <v>92.04</v>
      </c>
      <c r="AC82" s="4">
        <v>99.25</v>
      </c>
      <c r="AD82" s="4">
        <v>97.7</v>
      </c>
      <c r="AE82" s="4">
        <v>99.21</v>
      </c>
      <c r="AF82" s="4">
        <v>99.19</v>
      </c>
      <c r="AG82" s="4">
        <v>99.24</v>
      </c>
      <c r="AH82" s="4">
        <v>99.14</v>
      </c>
    </row>
    <row r="83" ht="14.3" customHeight="1" spans="1:34">
      <c r="A83" s="5"/>
      <c r="B83" s="6" t="s">
        <v>1578</v>
      </c>
      <c r="C83" s="6" t="s">
        <v>261</v>
      </c>
      <c r="D83" s="4">
        <v>3.08</v>
      </c>
      <c r="E83" s="4">
        <v>0.05</v>
      </c>
      <c r="F83" s="4">
        <v>0.04</v>
      </c>
      <c r="G83" s="4">
        <v>0.16</v>
      </c>
      <c r="H83" s="4">
        <v>0.04</v>
      </c>
      <c r="I83" s="4">
        <v>0.02</v>
      </c>
      <c r="J83" s="4">
        <v>0.02</v>
      </c>
      <c r="K83" s="4">
        <v>0.02</v>
      </c>
      <c r="L83" s="4">
        <v>0.01</v>
      </c>
      <c r="M83" s="4">
        <v>3.14</v>
      </c>
      <c r="N83" s="4">
        <v>0.03</v>
      </c>
      <c r="O83" s="4">
        <v>3.13</v>
      </c>
      <c r="P83" s="4">
        <v>1.46</v>
      </c>
      <c r="Q83" s="4">
        <v>0.13</v>
      </c>
      <c r="R83" s="4">
        <v>0.07</v>
      </c>
      <c r="S83" s="4">
        <v>0.02</v>
      </c>
      <c r="T83" s="4">
        <v>0.42</v>
      </c>
      <c r="U83" s="4">
        <v>0.51</v>
      </c>
      <c r="V83" s="4">
        <v>1.52</v>
      </c>
      <c r="W83" s="4">
        <v>2.86</v>
      </c>
      <c r="X83" s="4">
        <v>0.01</v>
      </c>
      <c r="Y83" s="4">
        <v>0.49</v>
      </c>
      <c r="Z83" s="4">
        <v>5.78</v>
      </c>
      <c r="AA83" s="4">
        <v>0.01</v>
      </c>
      <c r="AB83" s="4">
        <v>5.3</v>
      </c>
      <c r="AC83" s="4">
        <v>0.01</v>
      </c>
      <c r="AD83" s="4">
        <v>1.52</v>
      </c>
      <c r="AE83" s="4">
        <v>0.06</v>
      </c>
      <c r="AF83" s="4">
        <v>0.03</v>
      </c>
      <c r="AG83" s="4">
        <v>0.02</v>
      </c>
      <c r="AH83" s="4">
        <v>0.02</v>
      </c>
    </row>
    <row r="84" ht="14.3" customHeight="1" spans="1:34">
      <c r="A84" s="5"/>
      <c r="B84" s="6" t="s">
        <v>1579</v>
      </c>
      <c r="C84" s="6" t="s">
        <v>261</v>
      </c>
      <c r="D84" s="4">
        <v>1.11</v>
      </c>
      <c r="E84" s="4">
        <v>0.02</v>
      </c>
      <c r="F84" s="4">
        <v>0</v>
      </c>
      <c r="G84" s="4">
        <v>0.04</v>
      </c>
      <c r="H84" s="4">
        <v>0.01</v>
      </c>
      <c r="I84" s="4">
        <v>0</v>
      </c>
      <c r="J84" s="4">
        <v>0</v>
      </c>
      <c r="K84" s="4">
        <v>0</v>
      </c>
      <c r="L84" s="4">
        <v>0</v>
      </c>
      <c r="M84" s="4">
        <v>1.18</v>
      </c>
      <c r="N84" s="4">
        <v>0.02</v>
      </c>
      <c r="O84" s="4">
        <v>1.13</v>
      </c>
      <c r="P84" s="4">
        <v>0.01</v>
      </c>
      <c r="Q84" s="4">
        <v>0.03</v>
      </c>
      <c r="R84" s="4">
        <v>0.04</v>
      </c>
      <c r="S84" s="4">
        <v>0</v>
      </c>
      <c r="T84" s="4">
        <v>0.05</v>
      </c>
      <c r="U84" s="4">
        <v>0.03</v>
      </c>
      <c r="V84" s="4">
        <v>0.5</v>
      </c>
      <c r="W84" s="4">
        <v>1.03</v>
      </c>
      <c r="X84" s="4">
        <v>0</v>
      </c>
      <c r="Y84" s="4">
        <v>0.06</v>
      </c>
      <c r="Z84" s="4">
        <v>2.1</v>
      </c>
      <c r="AA84" s="4">
        <v>0</v>
      </c>
      <c r="AB84" s="4">
        <v>1.92</v>
      </c>
      <c r="AC84" s="4">
        <v>0</v>
      </c>
      <c r="AD84" s="4">
        <v>0.59</v>
      </c>
      <c r="AE84" s="4">
        <v>0.01</v>
      </c>
      <c r="AF84" s="4">
        <v>0</v>
      </c>
      <c r="AG84" s="4">
        <v>0</v>
      </c>
      <c r="AH84" s="4">
        <v>0</v>
      </c>
    </row>
    <row r="85" ht="14.3" customHeight="1" spans="1:34">
      <c r="A85" s="5"/>
      <c r="B85" s="6" t="s">
        <v>1580</v>
      </c>
      <c r="C85" s="6" t="s">
        <v>261</v>
      </c>
      <c r="D85" s="4">
        <v>0.18</v>
      </c>
      <c r="E85" s="4">
        <v>0</v>
      </c>
      <c r="F85" s="4">
        <v>0</v>
      </c>
      <c r="G85" s="4">
        <v>0.01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0.21</v>
      </c>
      <c r="N85" s="4">
        <v>0</v>
      </c>
      <c r="O85" s="4">
        <v>0.18</v>
      </c>
      <c r="P85" s="4">
        <v>0.01</v>
      </c>
      <c r="Q85" s="4">
        <v>0</v>
      </c>
      <c r="R85" s="4">
        <v>0</v>
      </c>
      <c r="S85" s="4">
        <v>0</v>
      </c>
      <c r="T85" s="4">
        <v>0</v>
      </c>
      <c r="U85" s="4">
        <v>0.01</v>
      </c>
      <c r="V85" s="4">
        <v>0.09</v>
      </c>
      <c r="W85" s="4">
        <v>0.16</v>
      </c>
      <c r="X85" s="4">
        <v>0</v>
      </c>
      <c r="Y85" s="4">
        <v>0.01</v>
      </c>
      <c r="Z85" s="4">
        <v>0.34</v>
      </c>
      <c r="AA85" s="4">
        <v>0</v>
      </c>
      <c r="AB85" s="4">
        <v>0.31</v>
      </c>
      <c r="AC85" s="4">
        <v>0</v>
      </c>
      <c r="AD85" s="4">
        <v>0.09</v>
      </c>
      <c r="AE85" s="4">
        <v>0</v>
      </c>
      <c r="AF85" s="4">
        <v>0</v>
      </c>
      <c r="AG85" s="4">
        <v>0</v>
      </c>
      <c r="AH85" s="4">
        <v>0</v>
      </c>
    </row>
    <row r="86" ht="14.3" customHeight="1" spans="1:34">
      <c r="A86" s="5"/>
      <c r="B86" s="6" t="s">
        <v>1581</v>
      </c>
      <c r="C86" s="6" t="s">
        <v>261</v>
      </c>
      <c r="D86" s="4">
        <v>0.23</v>
      </c>
      <c r="E86" s="4">
        <v>0</v>
      </c>
      <c r="F86" s="4">
        <v>0</v>
      </c>
      <c r="G86" s="4">
        <v>0.01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0.21</v>
      </c>
      <c r="N86" s="4">
        <v>0.01</v>
      </c>
      <c r="O86" s="4">
        <v>0.23</v>
      </c>
      <c r="P86" s="4">
        <v>0.01</v>
      </c>
      <c r="Q86" s="4">
        <v>0.01</v>
      </c>
      <c r="R86" s="4">
        <v>0.01</v>
      </c>
      <c r="S86" s="4">
        <v>0</v>
      </c>
      <c r="T86" s="4">
        <v>0.01</v>
      </c>
      <c r="U86" s="4">
        <v>0</v>
      </c>
      <c r="V86" s="4">
        <v>0.1</v>
      </c>
      <c r="W86" s="4">
        <v>0.21</v>
      </c>
      <c r="X86" s="4">
        <v>0</v>
      </c>
      <c r="Y86" s="4">
        <v>0</v>
      </c>
      <c r="Z86" s="4">
        <v>0.43</v>
      </c>
      <c r="AA86" s="4">
        <v>0</v>
      </c>
      <c r="AB86" s="4">
        <v>0.39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</row>
    <row r="87" ht="14.3" customHeight="1" spans="1:34">
      <c r="A87" s="5"/>
      <c r="B87" s="6" t="s">
        <v>1582</v>
      </c>
      <c r="C87" s="6" t="s">
        <v>261</v>
      </c>
      <c r="D87" s="4">
        <v>0.01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0.01</v>
      </c>
      <c r="P87" s="4">
        <v>0</v>
      </c>
      <c r="Q87" s="4">
        <v>0</v>
      </c>
      <c r="R87" s="4">
        <v>0.01</v>
      </c>
      <c r="S87" s="4">
        <v>0</v>
      </c>
      <c r="T87" s="4">
        <v>0</v>
      </c>
      <c r="U87" s="4">
        <v>0</v>
      </c>
      <c r="V87" s="4">
        <v>0</v>
      </c>
      <c r="W87" s="4">
        <v>0.01</v>
      </c>
      <c r="X87" s="4">
        <v>0</v>
      </c>
      <c r="Y87" s="4">
        <v>0</v>
      </c>
      <c r="Z87" s="4">
        <v>0.01</v>
      </c>
      <c r="AA87" s="4">
        <v>0</v>
      </c>
      <c r="AB87" s="4">
        <v>0.01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</row>
    <row r="88" ht="14.3" customHeight="1" spans="1:34">
      <c r="A88" s="5"/>
      <c r="B88" s="6" t="s">
        <v>1583</v>
      </c>
      <c r="C88" s="6" t="s">
        <v>261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ht="14.3" customHeight="1" spans="1:34">
      <c r="A89" s="5"/>
      <c r="B89" s="6" t="s">
        <v>1584</v>
      </c>
      <c r="C89" s="6" t="s">
        <v>261</v>
      </c>
      <c r="D89" s="4">
        <v>0</v>
      </c>
      <c r="E89" s="4">
        <v>0</v>
      </c>
      <c r="F89" s="4">
        <v>0.01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0.01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0.01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</row>
    <row r="90" ht="14.3" customHeight="1" spans="1:34">
      <c r="A90" s="5"/>
      <c r="B90" s="6" t="s">
        <v>1597</v>
      </c>
      <c r="C90" s="6" t="s">
        <v>261</v>
      </c>
      <c r="D90" s="4">
        <v>0.13</v>
      </c>
      <c r="E90" s="4">
        <v>0.67</v>
      </c>
      <c r="F90" s="4">
        <v>0.59</v>
      </c>
      <c r="G90" s="4">
        <v>0.75</v>
      </c>
      <c r="H90" s="4">
        <v>0.61</v>
      </c>
      <c r="I90" s="4">
        <v>0.57</v>
      </c>
      <c r="J90" s="4">
        <v>0.61</v>
      </c>
      <c r="K90" s="4">
        <v>0.77</v>
      </c>
      <c r="L90" s="4">
        <v>1.06</v>
      </c>
      <c r="M90" s="4">
        <v>0.09</v>
      </c>
      <c r="N90" s="4">
        <v>0.75</v>
      </c>
      <c r="O90" s="4">
        <v>0.16</v>
      </c>
      <c r="P90" s="4">
        <v>0.31</v>
      </c>
      <c r="Q90" s="4">
        <v>0.76</v>
      </c>
      <c r="R90" s="4">
        <v>0.67</v>
      </c>
      <c r="S90" s="4">
        <v>0.81</v>
      </c>
      <c r="T90" s="4">
        <v>0.36</v>
      </c>
      <c r="U90" s="4">
        <v>0.5</v>
      </c>
      <c r="V90" s="4">
        <v>0.12</v>
      </c>
      <c r="W90" s="4">
        <v>0.14</v>
      </c>
      <c r="X90" s="4">
        <v>1</v>
      </c>
      <c r="Y90" s="4">
        <v>0.4</v>
      </c>
      <c r="Z90" s="4">
        <v>0.01</v>
      </c>
      <c r="AA90" s="4">
        <v>0.89</v>
      </c>
      <c r="AB90" s="4">
        <v>0.03</v>
      </c>
      <c r="AC90" s="4">
        <v>0.74</v>
      </c>
      <c r="AD90" s="4">
        <v>0.1</v>
      </c>
      <c r="AE90" s="4">
        <v>0.72</v>
      </c>
      <c r="AF90" s="4">
        <v>0.78</v>
      </c>
      <c r="AG90" s="4">
        <v>0.74</v>
      </c>
      <c r="AH90" s="4">
        <v>0.84</v>
      </c>
    </row>
    <row r="91" ht="14.3" customHeight="1" spans="1:34">
      <c r="A91" s="5"/>
      <c r="B91" s="6" t="s">
        <v>1605</v>
      </c>
      <c r="C91" s="6" t="s">
        <v>261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25.6" customHeight="1" spans="1:34">
      <c r="A92" s="5"/>
      <c r="B92" s="6" t="s">
        <v>1606</v>
      </c>
      <c r="C92" s="6" t="s">
        <v>261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25.6" customHeight="1" spans="1:34">
      <c r="A93" s="5" t="s">
        <v>958</v>
      </c>
      <c r="B93" s="6" t="s">
        <v>1598</v>
      </c>
      <c r="C93" s="6" t="s">
        <v>1600</v>
      </c>
      <c r="D93" s="4">
        <v>39.538</v>
      </c>
      <c r="E93" s="4">
        <v>39.074</v>
      </c>
      <c r="F93" s="4">
        <v>38.791</v>
      </c>
      <c r="G93" s="4">
        <v>39.476</v>
      </c>
      <c r="H93" s="4">
        <v>38.539</v>
      </c>
      <c r="I93" s="4">
        <v>39.281</v>
      </c>
      <c r="J93" s="4">
        <v>38.528</v>
      </c>
      <c r="K93" s="4">
        <v>39.362</v>
      </c>
      <c r="L93" s="4">
        <v>39.359</v>
      </c>
      <c r="M93" s="4">
        <v>38.514</v>
      </c>
      <c r="N93" s="4">
        <v>39.433</v>
      </c>
      <c r="O93" s="4">
        <v>39.505</v>
      </c>
      <c r="P93" s="4">
        <v>38.952</v>
      </c>
      <c r="Q93" s="4">
        <v>39.447</v>
      </c>
      <c r="R93" s="4">
        <v>39.29</v>
      </c>
      <c r="S93" s="4">
        <v>39.437</v>
      </c>
      <c r="T93" s="4">
        <v>39.384</v>
      </c>
      <c r="U93" s="4">
        <v>39.763</v>
      </c>
      <c r="V93" s="4">
        <v>39.208</v>
      </c>
      <c r="W93" s="4">
        <v>39.548</v>
      </c>
      <c r="X93" s="4">
        <v>39.534</v>
      </c>
      <c r="Y93" s="4">
        <v>38.757</v>
      </c>
      <c r="Z93" s="4">
        <v>39.702</v>
      </c>
      <c r="AA93" s="4">
        <v>39.209</v>
      </c>
      <c r="AB93" s="4">
        <v>39.256</v>
      </c>
      <c r="AC93" s="4">
        <v>39.283</v>
      </c>
      <c r="AD93" s="4">
        <v>39.175</v>
      </c>
      <c r="AE93" s="4">
        <v>39.965</v>
      </c>
      <c r="AF93" s="4">
        <v>39.645</v>
      </c>
      <c r="AG93" s="4">
        <v>39.582</v>
      </c>
      <c r="AH93" s="4">
        <v>39.544</v>
      </c>
    </row>
    <row r="94" ht="14.3" customHeight="1" spans="1:34">
      <c r="A94" s="5"/>
      <c r="B94" s="6" t="s">
        <v>1591</v>
      </c>
      <c r="C94" s="6" t="s">
        <v>1601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ht="14.3" customHeight="1" spans="1:34">
      <c r="A95" s="5"/>
      <c r="B95" s="6" t="s">
        <v>1587</v>
      </c>
      <c r="C95" s="6" t="s">
        <v>1602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0.15</v>
      </c>
      <c r="AE95" s="4">
        <v>0</v>
      </c>
      <c r="AF95" s="4">
        <v>0</v>
      </c>
      <c r="AG95" s="4">
        <v>0</v>
      </c>
      <c r="AH95" s="4">
        <v>0</v>
      </c>
    </row>
    <row r="96" ht="14.3" customHeight="1" spans="1:34">
      <c r="A96" s="5"/>
      <c r="B96" s="6" t="s">
        <v>1589</v>
      </c>
      <c r="C96" s="6" t="s">
        <v>1603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</row>
    <row r="97" ht="14.3" customHeight="1" spans="1:34">
      <c r="A97" s="5"/>
      <c r="B97" s="6" t="s">
        <v>1593</v>
      </c>
      <c r="C97" s="6" t="s">
        <v>1604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4.3" customHeight="1" spans="1:34">
      <c r="A98" s="5"/>
      <c r="B98" s="6" t="s">
        <v>1572</v>
      </c>
      <c r="C98" s="5"/>
      <c r="D98" s="4">
        <v>-60.01</v>
      </c>
      <c r="E98" s="4">
        <v>-60.01</v>
      </c>
      <c r="F98" s="4">
        <v>-60.01</v>
      </c>
      <c r="G98" s="4">
        <v>-60.01</v>
      </c>
      <c r="H98" s="4">
        <v>-60.01</v>
      </c>
      <c r="I98" s="4">
        <v>-60.01</v>
      </c>
      <c r="J98" s="4">
        <v>-60.01</v>
      </c>
      <c r="K98" s="4">
        <v>-60.01</v>
      </c>
      <c r="L98" s="4">
        <v>-60.01</v>
      </c>
      <c r="M98" s="4">
        <v>-60.01</v>
      </c>
      <c r="N98" s="4">
        <v>-60.01</v>
      </c>
      <c r="O98" s="4">
        <v>-60.01</v>
      </c>
      <c r="P98" s="4">
        <v>-60.01</v>
      </c>
      <c r="Q98" s="4">
        <v>-60.01</v>
      </c>
      <c r="R98" s="4">
        <v>-60.01</v>
      </c>
      <c r="S98" s="4">
        <v>-60.01</v>
      </c>
      <c r="T98" s="4">
        <v>-60.01</v>
      </c>
      <c r="U98" s="4">
        <v>-60.01</v>
      </c>
      <c r="V98" s="4">
        <v>-60.01</v>
      </c>
      <c r="W98" s="4">
        <v>-60.01</v>
      </c>
      <c r="X98" s="4">
        <v>-60.01</v>
      </c>
      <c r="Y98" s="4">
        <v>-60.01</v>
      </c>
      <c r="Z98" s="4">
        <v>-60.01</v>
      </c>
      <c r="AA98" s="4">
        <v>-60.01</v>
      </c>
      <c r="AB98" s="4">
        <v>-60.01</v>
      </c>
      <c r="AC98" s="4">
        <v>-60.01</v>
      </c>
      <c r="AD98" s="4">
        <v>-60.01</v>
      </c>
      <c r="AE98" s="4">
        <v>-60.01</v>
      </c>
      <c r="AF98" s="4">
        <v>-60.01</v>
      </c>
      <c r="AG98" s="4">
        <v>-60.01</v>
      </c>
      <c r="AH98" s="4">
        <v>-60.01</v>
      </c>
    </row>
    <row r="99" ht="14.3" customHeight="1" spans="1:34">
      <c r="A99" s="5"/>
      <c r="B99" s="6" t="s">
        <v>1574</v>
      </c>
      <c r="C99" s="6" t="s">
        <v>261</v>
      </c>
      <c r="D99" s="4">
        <v>-30</v>
      </c>
      <c r="E99" s="4">
        <v>-29.9</v>
      </c>
      <c r="F99" s="4">
        <v>-29.9</v>
      </c>
      <c r="G99" s="4">
        <v>-29.9</v>
      </c>
      <c r="H99" s="4">
        <v>-29.9</v>
      </c>
      <c r="I99" s="4">
        <v>-29.9</v>
      </c>
      <c r="J99" s="4">
        <v>-29.9</v>
      </c>
      <c r="K99" s="4">
        <v>-29.9</v>
      </c>
      <c r="L99" s="4">
        <v>-29.9</v>
      </c>
      <c r="M99" s="4">
        <v>-29.9</v>
      </c>
      <c r="N99" s="4">
        <v>-29.9</v>
      </c>
      <c r="O99" s="4">
        <v>-30</v>
      </c>
      <c r="P99" s="4">
        <v>-30</v>
      </c>
      <c r="Q99" s="4">
        <v>-29.9</v>
      </c>
      <c r="R99" s="4">
        <v>-29.9</v>
      </c>
      <c r="S99" s="4">
        <v>-29.9</v>
      </c>
      <c r="T99" s="4">
        <v>-29.9</v>
      </c>
      <c r="U99" s="4">
        <v>-29.9</v>
      </c>
      <c r="V99" s="4">
        <v>-29.9</v>
      </c>
      <c r="W99" s="4">
        <v>-29.9</v>
      </c>
      <c r="X99" s="4">
        <v>-29.9</v>
      </c>
      <c r="Y99" s="4">
        <v>-28.1</v>
      </c>
      <c r="Z99" s="4">
        <v>-30</v>
      </c>
      <c r="AA99" s="4">
        <v>-29.9</v>
      </c>
      <c r="AB99" s="4">
        <v>-30</v>
      </c>
      <c r="AC99" s="4">
        <v>-29.9</v>
      </c>
      <c r="AD99" s="4">
        <v>-29.9</v>
      </c>
      <c r="AE99" s="4">
        <v>-29.9</v>
      </c>
      <c r="AF99" s="4">
        <v>-29.9</v>
      </c>
      <c r="AG99" s="4">
        <v>-29.9</v>
      </c>
      <c r="AH99" s="4">
        <v>-29.9</v>
      </c>
    </row>
    <row r="100" ht="14.3" customHeight="1" spans="1:34">
      <c r="A100" s="5"/>
      <c r="B100" s="6" t="s">
        <v>1576</v>
      </c>
      <c r="C100" s="6" t="s">
        <v>261</v>
      </c>
      <c r="D100" s="4">
        <v>93</v>
      </c>
      <c r="E100" s="4">
        <v>96.294</v>
      </c>
      <c r="F100" s="4">
        <v>95.182</v>
      </c>
      <c r="G100" s="4">
        <v>93.49</v>
      </c>
      <c r="H100" s="4">
        <v>96.461</v>
      </c>
      <c r="I100" s="4">
        <v>95.332</v>
      </c>
      <c r="J100" s="4">
        <v>96.348</v>
      </c>
      <c r="K100" s="4">
        <v>93.726</v>
      </c>
      <c r="L100" s="4">
        <v>93.688</v>
      </c>
      <c r="M100" s="4">
        <v>96.368</v>
      </c>
      <c r="N100" s="4">
        <v>93.342</v>
      </c>
      <c r="O100" s="4">
        <v>93.046</v>
      </c>
      <c r="P100" s="4">
        <v>95.595</v>
      </c>
      <c r="Q100" s="4">
        <v>93.999</v>
      </c>
      <c r="R100" s="4">
        <v>94.063</v>
      </c>
      <c r="S100" s="4">
        <v>93.564</v>
      </c>
      <c r="T100" s="4">
        <v>93.209</v>
      </c>
      <c r="U100" s="4">
        <v>93.022</v>
      </c>
      <c r="V100" s="4">
        <v>93.674</v>
      </c>
      <c r="W100" s="4">
        <v>93.289</v>
      </c>
      <c r="X100" s="4">
        <v>93.68</v>
      </c>
      <c r="Y100" s="4">
        <v>95.961</v>
      </c>
      <c r="Z100" s="4">
        <v>93.241</v>
      </c>
      <c r="AA100" s="4">
        <v>93.707</v>
      </c>
      <c r="AB100" s="4">
        <v>93.458</v>
      </c>
      <c r="AC100" s="4">
        <v>94.126</v>
      </c>
      <c r="AD100" s="4">
        <v>93.557</v>
      </c>
      <c r="AE100" s="4">
        <v>92.792</v>
      </c>
      <c r="AF100" s="4">
        <v>93.188</v>
      </c>
      <c r="AG100" s="4">
        <v>92.515</v>
      </c>
      <c r="AH100" s="4">
        <v>93.627</v>
      </c>
    </row>
    <row r="101" ht="14.3" customHeight="1" spans="1:34">
      <c r="A101" s="5"/>
      <c r="B101" s="6" t="s">
        <v>1578</v>
      </c>
      <c r="C101" s="6" t="s">
        <v>261</v>
      </c>
      <c r="D101" s="4">
        <v>5.22</v>
      </c>
      <c r="E101" s="4">
        <v>2.383</v>
      </c>
      <c r="F101" s="4">
        <v>3.043</v>
      </c>
      <c r="G101" s="4">
        <v>4.788</v>
      </c>
      <c r="H101" s="4">
        <v>2.287</v>
      </c>
      <c r="I101" s="4">
        <v>2.992</v>
      </c>
      <c r="J101" s="4">
        <v>2.304</v>
      </c>
      <c r="K101" s="4">
        <v>4.287</v>
      </c>
      <c r="L101" s="4">
        <v>5.032</v>
      </c>
      <c r="M101" s="4">
        <v>2.273</v>
      </c>
      <c r="N101" s="4">
        <v>4.547</v>
      </c>
      <c r="O101" s="4">
        <v>5.217</v>
      </c>
      <c r="P101" s="4">
        <v>2.563</v>
      </c>
      <c r="Q101" s="4">
        <v>4.35</v>
      </c>
      <c r="R101" s="4">
        <v>4.295</v>
      </c>
      <c r="S101" s="4">
        <v>4.414</v>
      </c>
      <c r="T101" s="4">
        <v>4.899</v>
      </c>
      <c r="U101" s="4">
        <v>4.622</v>
      </c>
      <c r="V101" s="4">
        <v>5.029</v>
      </c>
      <c r="W101" s="4">
        <v>4.931</v>
      </c>
      <c r="X101" s="4">
        <v>4.383</v>
      </c>
      <c r="Y101" s="4">
        <v>2.418</v>
      </c>
      <c r="Z101" s="4">
        <v>4.391</v>
      </c>
      <c r="AA101" s="4">
        <v>5.007</v>
      </c>
      <c r="AB101" s="4">
        <v>4.155</v>
      </c>
      <c r="AC101" s="4">
        <v>4.084</v>
      </c>
      <c r="AD101" s="4">
        <v>5.275</v>
      </c>
      <c r="AE101" s="4">
        <v>4.606</v>
      </c>
      <c r="AF101" s="4">
        <v>4.651</v>
      </c>
      <c r="AG101" s="4">
        <v>4.589</v>
      </c>
      <c r="AH101" s="4">
        <v>4.381</v>
      </c>
    </row>
    <row r="102" ht="14.3" customHeight="1" spans="1:34">
      <c r="A102" s="5"/>
      <c r="B102" s="6" t="s">
        <v>1579</v>
      </c>
      <c r="C102" s="6" t="s">
        <v>261</v>
      </c>
      <c r="D102" s="4">
        <v>1.172</v>
      </c>
      <c r="E102" s="4">
        <v>0.827</v>
      </c>
      <c r="F102" s="4">
        <v>1.135</v>
      </c>
      <c r="G102" s="4">
        <v>1.078</v>
      </c>
      <c r="H102" s="4">
        <v>0.768</v>
      </c>
      <c r="I102" s="4">
        <v>1.049</v>
      </c>
      <c r="J102" s="4">
        <v>0.827</v>
      </c>
      <c r="K102" s="4">
        <v>1.154</v>
      </c>
      <c r="L102" s="4">
        <v>0.775</v>
      </c>
      <c r="M102" s="4">
        <v>0.841</v>
      </c>
      <c r="N102" s="4">
        <v>1.321</v>
      </c>
      <c r="O102" s="4">
        <v>1.138</v>
      </c>
      <c r="P102" s="4">
        <v>1.289</v>
      </c>
      <c r="Q102" s="4">
        <v>1.004</v>
      </c>
      <c r="R102" s="4">
        <v>0.99</v>
      </c>
      <c r="S102" s="4">
        <v>1.217</v>
      </c>
      <c r="T102" s="4">
        <v>1.171</v>
      </c>
      <c r="U102" s="4">
        <v>1.499</v>
      </c>
      <c r="V102" s="4">
        <v>0.78</v>
      </c>
      <c r="W102" s="4">
        <v>1.19</v>
      </c>
      <c r="X102" s="4">
        <v>1.203</v>
      </c>
      <c r="Y102" s="4">
        <v>0.96</v>
      </c>
      <c r="Z102" s="4">
        <v>1.647</v>
      </c>
      <c r="AA102" s="4">
        <v>0.783</v>
      </c>
      <c r="AB102" s="4">
        <v>1.62</v>
      </c>
      <c r="AC102" s="4">
        <v>1.151</v>
      </c>
      <c r="AD102" s="4">
        <v>0.696</v>
      </c>
      <c r="AE102" s="4">
        <v>1.665</v>
      </c>
      <c r="AF102" s="4">
        <v>1.359</v>
      </c>
      <c r="AG102" s="4">
        <v>1.872</v>
      </c>
      <c r="AH102" s="4">
        <v>1.199</v>
      </c>
    </row>
    <row r="103" ht="14.3" customHeight="1" spans="1:34">
      <c r="A103" s="5"/>
      <c r="B103" s="6" t="s">
        <v>1580</v>
      </c>
      <c r="C103" s="6" t="s">
        <v>261</v>
      </c>
      <c r="D103" s="4">
        <v>0.179</v>
      </c>
      <c r="E103" s="4">
        <v>0.171</v>
      </c>
      <c r="F103" s="4">
        <v>0.249</v>
      </c>
      <c r="G103" s="4">
        <v>0.274</v>
      </c>
      <c r="H103" s="4">
        <v>0.163</v>
      </c>
      <c r="I103" s="4">
        <v>0.234</v>
      </c>
      <c r="J103" s="4">
        <v>0.182</v>
      </c>
      <c r="K103" s="4">
        <v>0.243</v>
      </c>
      <c r="L103" s="4">
        <v>0.152</v>
      </c>
      <c r="M103" s="4">
        <v>0.184</v>
      </c>
      <c r="N103" s="4">
        <v>0.307</v>
      </c>
      <c r="O103" s="4">
        <v>0.166</v>
      </c>
      <c r="P103" s="4">
        <v>0.145</v>
      </c>
      <c r="Q103" s="4">
        <v>0.276</v>
      </c>
      <c r="R103" s="4">
        <v>0.246</v>
      </c>
      <c r="S103" s="4">
        <v>0.262</v>
      </c>
      <c r="T103" s="4">
        <v>0.303</v>
      </c>
      <c r="U103" s="4">
        <v>0.323</v>
      </c>
      <c r="V103" s="4">
        <v>0.158</v>
      </c>
      <c r="W103" s="4">
        <v>0.179</v>
      </c>
      <c r="X103" s="4">
        <v>0.289</v>
      </c>
      <c r="Y103" s="4">
        <v>0.212</v>
      </c>
      <c r="Z103" s="4">
        <v>0.236</v>
      </c>
      <c r="AA103" s="4">
        <v>0.156</v>
      </c>
      <c r="AB103" s="4">
        <v>0.262</v>
      </c>
      <c r="AC103" s="4">
        <v>0.226</v>
      </c>
      <c r="AD103" s="4">
        <v>0.171</v>
      </c>
      <c r="AE103" s="4">
        <v>0.359</v>
      </c>
      <c r="AF103" s="4">
        <v>0.309</v>
      </c>
      <c r="AG103" s="4">
        <v>0.4</v>
      </c>
      <c r="AH103" s="4">
        <v>0.262</v>
      </c>
    </row>
    <row r="104" ht="14.3" customHeight="1" spans="1:34">
      <c r="A104" s="5"/>
      <c r="B104" s="6" t="s">
        <v>1581</v>
      </c>
      <c r="C104" s="6" t="s">
        <v>261</v>
      </c>
      <c r="D104" s="4">
        <v>0.243</v>
      </c>
      <c r="E104" s="4">
        <v>0.185</v>
      </c>
      <c r="F104" s="4">
        <v>0.259</v>
      </c>
      <c r="G104" s="4">
        <v>0.22</v>
      </c>
      <c r="H104" s="4">
        <v>0.175</v>
      </c>
      <c r="I104" s="4">
        <v>0.252</v>
      </c>
      <c r="J104" s="4">
        <v>0.19</v>
      </c>
      <c r="K104" s="4">
        <v>0.29</v>
      </c>
      <c r="L104" s="4">
        <v>0.185</v>
      </c>
      <c r="M104" s="4">
        <v>0.191</v>
      </c>
      <c r="N104" s="4">
        <v>0.343</v>
      </c>
      <c r="O104" s="4">
        <v>0.228</v>
      </c>
      <c r="P104" s="4">
        <v>0.178</v>
      </c>
      <c r="Q104" s="4">
        <v>0.247</v>
      </c>
      <c r="R104" s="4">
        <v>0.273</v>
      </c>
      <c r="S104" s="4">
        <v>0.304</v>
      </c>
      <c r="T104" s="4">
        <v>0.234</v>
      </c>
      <c r="U104" s="4">
        <v>0.359</v>
      </c>
      <c r="V104" s="4">
        <v>0.192</v>
      </c>
      <c r="W104" s="4">
        <v>0.243</v>
      </c>
      <c r="X104" s="4">
        <v>0.317</v>
      </c>
      <c r="Y104" s="4">
        <v>0.218</v>
      </c>
      <c r="Z104" s="4">
        <v>0.304</v>
      </c>
      <c r="AA104" s="4">
        <v>0.189</v>
      </c>
      <c r="AB104" s="4">
        <v>0.337</v>
      </c>
      <c r="AC104" s="4">
        <v>0.275</v>
      </c>
      <c r="AD104" s="4">
        <v>0.137</v>
      </c>
      <c r="AE104" s="4">
        <v>0.39</v>
      </c>
      <c r="AF104" s="4">
        <v>0.353</v>
      </c>
      <c r="AG104" s="4">
        <v>0.417</v>
      </c>
      <c r="AH104" s="4">
        <v>0.3</v>
      </c>
    </row>
    <row r="105" ht="14.3" customHeight="1" spans="1:34">
      <c r="A105" s="5"/>
      <c r="B105" s="6" t="s">
        <v>1582</v>
      </c>
      <c r="C105" s="6" t="s">
        <v>261</v>
      </c>
      <c r="D105" s="4">
        <v>0.025</v>
      </c>
      <c r="E105" s="4">
        <v>0.008</v>
      </c>
      <c r="F105" s="4">
        <v>0.007</v>
      </c>
      <c r="G105" s="4">
        <v>0.009</v>
      </c>
      <c r="H105" s="4">
        <v>0.008</v>
      </c>
      <c r="I105" s="4">
        <v>0.007</v>
      </c>
      <c r="J105" s="4">
        <v>0.006</v>
      </c>
      <c r="K105" s="4">
        <v>0.019</v>
      </c>
      <c r="L105" s="4">
        <v>0.01</v>
      </c>
      <c r="M105" s="4">
        <v>0.006</v>
      </c>
      <c r="N105" s="4">
        <v>0.022</v>
      </c>
      <c r="O105" s="4">
        <v>0.023</v>
      </c>
      <c r="P105" s="4">
        <v>0.019</v>
      </c>
      <c r="Q105" s="4">
        <v>0.007</v>
      </c>
      <c r="R105" s="4">
        <v>0.022</v>
      </c>
      <c r="S105" s="4">
        <v>0.016</v>
      </c>
      <c r="T105" s="4">
        <v>0.011</v>
      </c>
      <c r="U105" s="4">
        <v>0.015</v>
      </c>
      <c r="V105" s="4">
        <v>0.011</v>
      </c>
      <c r="W105" s="4">
        <v>0.023</v>
      </c>
      <c r="X105" s="4">
        <v>0.022</v>
      </c>
      <c r="Y105" s="4">
        <v>0.005</v>
      </c>
      <c r="Z105" s="4">
        <v>0.033</v>
      </c>
      <c r="AA105" s="4">
        <v>0.01</v>
      </c>
      <c r="AB105" s="4">
        <v>0.035</v>
      </c>
      <c r="AC105" s="4">
        <v>0.016</v>
      </c>
      <c r="AD105" s="4">
        <v>0.004</v>
      </c>
      <c r="AE105" s="4">
        <v>0.014</v>
      </c>
      <c r="AF105" s="4">
        <v>0.026</v>
      </c>
      <c r="AG105" s="4">
        <v>0.012</v>
      </c>
      <c r="AH105" s="4">
        <v>0.016</v>
      </c>
    </row>
    <row r="106" ht="14.3" customHeight="1" spans="1:34">
      <c r="A106" s="5"/>
      <c r="B106" s="6" t="s">
        <v>1583</v>
      </c>
      <c r="C106" s="6" t="s">
        <v>261</v>
      </c>
      <c r="D106" s="4">
        <v>0.01</v>
      </c>
      <c r="E106" s="4">
        <v>0.002</v>
      </c>
      <c r="F106" s="4">
        <v>0.001</v>
      </c>
      <c r="G106" s="4">
        <v>0.026</v>
      </c>
      <c r="H106" s="4">
        <v>0.002</v>
      </c>
      <c r="I106" s="4">
        <v>0.001</v>
      </c>
      <c r="J106" s="4">
        <v>0.001</v>
      </c>
      <c r="K106" s="4">
        <v>0.004</v>
      </c>
      <c r="L106" s="4">
        <v>0.005</v>
      </c>
      <c r="M106" s="4">
        <v>0.001</v>
      </c>
      <c r="N106" s="4">
        <v>0.007</v>
      </c>
      <c r="O106" s="4">
        <v>0.01</v>
      </c>
      <c r="P106" s="4">
        <v>0.011</v>
      </c>
      <c r="Q106" s="4">
        <v>0.023</v>
      </c>
      <c r="R106" s="4">
        <v>0.007</v>
      </c>
      <c r="S106" s="4">
        <v>0.003</v>
      </c>
      <c r="T106" s="4">
        <v>0.036</v>
      </c>
      <c r="U106" s="4">
        <v>0.003</v>
      </c>
      <c r="V106" s="4">
        <v>0.005</v>
      </c>
      <c r="W106" s="4">
        <v>0.009</v>
      </c>
      <c r="X106" s="4">
        <v>0.007</v>
      </c>
      <c r="Y106" s="4">
        <v>0.001</v>
      </c>
      <c r="Z106" s="4">
        <v>0.015</v>
      </c>
      <c r="AA106" s="4">
        <v>0.005</v>
      </c>
      <c r="AB106" s="4">
        <v>0.013</v>
      </c>
      <c r="AC106" s="4">
        <v>0.004</v>
      </c>
      <c r="AD106" s="4">
        <v>0.01</v>
      </c>
      <c r="AE106" s="4">
        <v>0.003</v>
      </c>
      <c r="AF106" s="4">
        <v>0.008</v>
      </c>
      <c r="AG106" s="4">
        <v>0.003</v>
      </c>
      <c r="AH106" s="4">
        <v>0.003</v>
      </c>
    </row>
    <row r="107" ht="14.3" customHeight="1" spans="1:34">
      <c r="A107" s="5"/>
      <c r="B107" s="6" t="s">
        <v>1584</v>
      </c>
      <c r="C107" s="6" t="s">
        <v>261</v>
      </c>
      <c r="D107" s="4">
        <v>0.001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0.001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0.001</v>
      </c>
      <c r="X107" s="4">
        <v>0</v>
      </c>
      <c r="Y107" s="4">
        <v>0</v>
      </c>
      <c r="Z107" s="4">
        <v>0.001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</row>
    <row r="108" ht="14.3" customHeight="1" spans="1:34">
      <c r="A108" s="5"/>
      <c r="B108" s="6" t="s">
        <v>1597</v>
      </c>
      <c r="C108" s="6" t="s">
        <v>261</v>
      </c>
      <c r="D108" s="4">
        <v>0.149</v>
      </c>
      <c r="E108" s="4">
        <v>0.13</v>
      </c>
      <c r="F108" s="4">
        <v>0.124</v>
      </c>
      <c r="G108" s="4">
        <v>0.114</v>
      </c>
      <c r="H108" s="4">
        <v>0.136</v>
      </c>
      <c r="I108" s="4">
        <v>0.133</v>
      </c>
      <c r="J108" s="4">
        <v>0.142</v>
      </c>
      <c r="K108" s="4">
        <v>0.277</v>
      </c>
      <c r="L108" s="4">
        <v>0.153</v>
      </c>
      <c r="M108" s="4">
        <v>0.136</v>
      </c>
      <c r="N108" s="4">
        <v>0.11</v>
      </c>
      <c r="O108" s="4">
        <v>0.171</v>
      </c>
      <c r="P108" s="4">
        <v>0.197</v>
      </c>
      <c r="Q108" s="4">
        <v>0.095</v>
      </c>
      <c r="R108" s="4">
        <v>0.104</v>
      </c>
      <c r="S108" s="4">
        <v>0.219</v>
      </c>
      <c r="T108" s="4">
        <v>0.137</v>
      </c>
      <c r="U108" s="4">
        <v>0.157</v>
      </c>
      <c r="V108" s="4">
        <v>0.15</v>
      </c>
      <c r="W108" s="4">
        <v>0.134</v>
      </c>
      <c r="X108" s="4">
        <v>0.099</v>
      </c>
      <c r="Y108" s="4">
        <v>0.224</v>
      </c>
      <c r="Z108" s="4">
        <v>0.129</v>
      </c>
      <c r="AA108" s="4">
        <v>0.143</v>
      </c>
      <c r="AB108" s="4">
        <v>0.118</v>
      </c>
      <c r="AC108" s="4">
        <v>0.118</v>
      </c>
      <c r="AD108" s="4">
        <v>0.149</v>
      </c>
      <c r="AE108" s="4">
        <v>0.171</v>
      </c>
      <c r="AF108" s="4">
        <v>0.106</v>
      </c>
      <c r="AG108" s="4">
        <v>0.192</v>
      </c>
      <c r="AH108" s="4">
        <v>0.212</v>
      </c>
    </row>
    <row r="109" ht="14.3" customHeight="1" spans="1:34">
      <c r="A109" s="5"/>
      <c r="B109" s="6" t="s">
        <v>1605</v>
      </c>
      <c r="C109" s="6" t="s">
        <v>261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25.6" customHeight="1" spans="1:34">
      <c r="A110" s="5"/>
      <c r="B110" s="6" t="s">
        <v>1606</v>
      </c>
      <c r="C110" s="6" t="s">
        <v>261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25.6" customHeight="1" spans="1:34">
      <c r="A111" s="5" t="s">
        <v>1607</v>
      </c>
      <c r="B111" s="6" t="s">
        <v>1598</v>
      </c>
      <c r="C111" s="6" t="s">
        <v>1600</v>
      </c>
      <c r="D111" s="4">
        <v>38.577</v>
      </c>
      <c r="E111" s="4">
        <v>36.062</v>
      </c>
      <c r="F111" s="4">
        <v>40.642</v>
      </c>
      <c r="G111" s="4">
        <v>39.744</v>
      </c>
      <c r="H111" s="4">
        <v>36.708</v>
      </c>
      <c r="I111" s="4">
        <v>40.54</v>
      </c>
      <c r="J111" s="4">
        <v>36.112</v>
      </c>
      <c r="K111" s="4">
        <v>36.476</v>
      </c>
      <c r="L111" s="4">
        <v>38.973</v>
      </c>
      <c r="M111" s="4">
        <v>36.137</v>
      </c>
      <c r="N111" s="4">
        <v>39.609</v>
      </c>
      <c r="O111" s="4">
        <v>38.585</v>
      </c>
      <c r="P111" s="4">
        <v>36.747</v>
      </c>
      <c r="Q111" s="4">
        <v>40.165</v>
      </c>
      <c r="R111" s="4">
        <v>39.937</v>
      </c>
      <c r="S111" s="4">
        <v>40.158</v>
      </c>
      <c r="T111" s="4">
        <v>39.629</v>
      </c>
      <c r="U111" s="4">
        <v>35.998</v>
      </c>
      <c r="V111" s="4">
        <v>40.115</v>
      </c>
      <c r="W111" s="4">
        <v>38.59</v>
      </c>
      <c r="X111" s="4">
        <v>39.887</v>
      </c>
      <c r="Y111" s="4">
        <v>40.554</v>
      </c>
      <c r="Z111" s="4">
        <v>36.81</v>
      </c>
      <c r="AA111" s="4">
        <v>39.811</v>
      </c>
      <c r="AB111" s="4">
        <v>36.594</v>
      </c>
      <c r="AC111" s="4">
        <v>34.721</v>
      </c>
      <c r="AD111" s="4">
        <v>39.64</v>
      </c>
      <c r="AE111" s="4">
        <v>35.915</v>
      </c>
      <c r="AF111" s="4">
        <v>39.633</v>
      </c>
      <c r="AG111" s="4">
        <v>40.358</v>
      </c>
      <c r="AH111" s="4">
        <v>40.377</v>
      </c>
    </row>
    <row r="112" ht="14.3" customHeight="1" spans="1:34">
      <c r="A112" s="5"/>
      <c r="B112" s="6" t="s">
        <v>1591</v>
      </c>
      <c r="C112" s="6" t="s">
        <v>1601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ht="14.3" customHeight="1" spans="1:34">
      <c r="A113" s="5"/>
      <c r="B113" s="6" t="s">
        <v>1587</v>
      </c>
      <c r="C113" s="6" t="s">
        <v>1602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</row>
    <row r="114" ht="14.3" customHeight="1" spans="1:34">
      <c r="A114" s="5"/>
      <c r="B114" s="6" t="s">
        <v>1589</v>
      </c>
      <c r="C114" s="6" t="s">
        <v>1603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ht="14.3" customHeight="1" spans="1:34">
      <c r="A115" s="5"/>
      <c r="B115" s="6" t="s">
        <v>1593</v>
      </c>
      <c r="C115" s="6" t="s">
        <v>1604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4.3" customHeight="1" spans="1:34">
      <c r="A116" s="5"/>
      <c r="B116" s="6" t="s">
        <v>1572</v>
      </c>
      <c r="C116" s="5"/>
      <c r="D116" s="4">
        <v>-66.39</v>
      </c>
      <c r="E116" s="4">
        <v>-67.19</v>
      </c>
      <c r="F116" s="4">
        <v>-67.37</v>
      </c>
      <c r="G116" s="4">
        <v>-69.19</v>
      </c>
      <c r="H116" s="4">
        <v>-67.38</v>
      </c>
      <c r="I116" s="4">
        <v>-67.87</v>
      </c>
      <c r="J116" s="4">
        <v>-68.05</v>
      </c>
      <c r="K116" s="4">
        <v>-68.19</v>
      </c>
      <c r="L116" s="4">
        <v>-67.55</v>
      </c>
      <c r="M116" s="4">
        <v>-68.29</v>
      </c>
      <c r="N116" s="4">
        <v>-67.46</v>
      </c>
      <c r="O116" s="4">
        <v>-66.8</v>
      </c>
      <c r="P116" s="4">
        <v>-67.19</v>
      </c>
      <c r="Q116" s="4">
        <v>-68.37</v>
      </c>
      <c r="R116" s="4">
        <v>-67.96</v>
      </c>
      <c r="S116" s="4">
        <v>-67.79</v>
      </c>
      <c r="T116" s="4">
        <v>-67.958</v>
      </c>
      <c r="U116" s="4">
        <v>-67.05</v>
      </c>
      <c r="V116" s="4">
        <v>-67.19</v>
      </c>
      <c r="W116" s="4">
        <v>-67.46</v>
      </c>
      <c r="X116" s="4">
        <v>-68.2</v>
      </c>
      <c r="Y116" s="4">
        <v>-67.45</v>
      </c>
      <c r="Z116" s="4">
        <v>-66.3</v>
      </c>
      <c r="AA116" s="4">
        <v>-67.05</v>
      </c>
      <c r="AB116" s="4">
        <v>-66.96</v>
      </c>
      <c r="AC116" s="4">
        <v>-67.06</v>
      </c>
      <c r="AD116" s="4">
        <v>-67.958</v>
      </c>
      <c r="AE116" s="4">
        <v>-66.87</v>
      </c>
      <c r="AF116" s="4">
        <v>-68.55</v>
      </c>
      <c r="AG116" s="4">
        <v>-66.57</v>
      </c>
      <c r="AH116" s="4">
        <v>-68.19</v>
      </c>
    </row>
    <row r="117" ht="14.3" customHeight="1" spans="1:34">
      <c r="A117" s="5"/>
      <c r="B117" s="6" t="s">
        <v>1574</v>
      </c>
      <c r="C117" s="6" t="s">
        <v>261</v>
      </c>
      <c r="D117" s="4">
        <v>-7.62</v>
      </c>
      <c r="E117" s="4">
        <v>-8.1</v>
      </c>
      <c r="F117" s="4">
        <v>-9.87</v>
      </c>
      <c r="G117" s="4">
        <v>-10.43</v>
      </c>
      <c r="H117" s="4">
        <v>-8.32</v>
      </c>
      <c r="I117" s="4">
        <v>-9.72</v>
      </c>
      <c r="J117" s="4">
        <v>-9.72</v>
      </c>
      <c r="K117" s="4">
        <v>-8.72</v>
      </c>
      <c r="L117" s="4">
        <v>-8.62</v>
      </c>
      <c r="M117" s="4">
        <v>-9.7</v>
      </c>
      <c r="N117" s="4">
        <v>-7.41</v>
      </c>
      <c r="O117" s="4">
        <v>-8.62</v>
      </c>
      <c r="P117" s="4">
        <v>-8.71</v>
      </c>
      <c r="Q117" s="4">
        <v>-10.24</v>
      </c>
      <c r="R117" s="4">
        <v>-8.02</v>
      </c>
      <c r="S117" s="4">
        <v>-7.9</v>
      </c>
      <c r="T117" s="4">
        <v>-8.509</v>
      </c>
      <c r="U117" s="4">
        <v>-7.89</v>
      </c>
      <c r="V117" s="4">
        <v>-8.11</v>
      </c>
      <c r="W117" s="4">
        <v>-7.8</v>
      </c>
      <c r="X117" s="4">
        <v>-9.42</v>
      </c>
      <c r="Y117" s="4">
        <v>-9.1</v>
      </c>
      <c r="Z117" s="4">
        <v>-8.22</v>
      </c>
      <c r="AA117" s="4">
        <v>-7.8</v>
      </c>
      <c r="AB117" s="4">
        <v>-8.41</v>
      </c>
      <c r="AC117" s="4">
        <v>-8.72</v>
      </c>
      <c r="AD117" s="4">
        <v>-8.509</v>
      </c>
      <c r="AE117" s="4">
        <v>-8.01</v>
      </c>
      <c r="AF117" s="4">
        <v>-8.93</v>
      </c>
      <c r="AG117" s="4">
        <v>-8.41</v>
      </c>
      <c r="AH117" s="4">
        <v>-9.64</v>
      </c>
    </row>
    <row r="118" ht="14.3" customHeight="1" spans="1:34">
      <c r="A118" s="5"/>
      <c r="B118" s="6" t="s">
        <v>1576</v>
      </c>
      <c r="C118" s="6" t="s">
        <v>261</v>
      </c>
      <c r="D118" s="4">
        <v>96.124</v>
      </c>
      <c r="E118" s="4">
        <v>97.125</v>
      </c>
      <c r="F118" s="4">
        <v>90.88</v>
      </c>
      <c r="G118" s="4">
        <v>92.412</v>
      </c>
      <c r="H118" s="4">
        <v>97.247</v>
      </c>
      <c r="I118" s="4">
        <v>97.563</v>
      </c>
      <c r="J118" s="4">
        <v>97.376</v>
      </c>
      <c r="K118" s="4">
        <v>98.2</v>
      </c>
      <c r="L118" s="4">
        <v>95.168</v>
      </c>
      <c r="M118" s="4">
        <v>97.361</v>
      </c>
      <c r="N118" s="4">
        <v>92.778</v>
      </c>
      <c r="O118" s="4">
        <v>96.099</v>
      </c>
      <c r="P118" s="4">
        <v>98.713</v>
      </c>
      <c r="Q118" s="4">
        <v>91.144</v>
      </c>
      <c r="R118" s="4">
        <v>92.432</v>
      </c>
      <c r="S118" s="4">
        <v>91.981</v>
      </c>
      <c r="T118" s="4">
        <v>92.848</v>
      </c>
      <c r="U118" s="4">
        <v>96.907</v>
      </c>
      <c r="V118" s="4">
        <v>91.201</v>
      </c>
      <c r="W118" s="4">
        <v>96.084</v>
      </c>
      <c r="X118" s="4">
        <v>91.739</v>
      </c>
      <c r="Y118" s="4">
        <v>91.508</v>
      </c>
      <c r="Z118" s="4">
        <v>99.148</v>
      </c>
      <c r="AA118" s="4">
        <v>92.153</v>
      </c>
      <c r="AB118" s="4">
        <v>98.569</v>
      </c>
      <c r="AC118" s="4">
        <v>93.538</v>
      </c>
      <c r="AD118" s="4">
        <v>92.838</v>
      </c>
      <c r="AE118" s="4">
        <v>96.663</v>
      </c>
      <c r="AF118" s="4">
        <v>93.038</v>
      </c>
      <c r="AG118" s="4">
        <v>91.244</v>
      </c>
      <c r="AH118" s="4">
        <v>91.473</v>
      </c>
    </row>
    <row r="119" ht="14.3" customHeight="1" spans="1:34">
      <c r="A119" s="5"/>
      <c r="B119" s="6" t="s">
        <v>1578</v>
      </c>
      <c r="C119" s="6" t="s">
        <v>261</v>
      </c>
      <c r="D119" s="4">
        <v>2.722</v>
      </c>
      <c r="E119" s="4">
        <v>0.031</v>
      </c>
      <c r="F119" s="4">
        <v>6.014</v>
      </c>
      <c r="G119" s="4">
        <v>5.853</v>
      </c>
      <c r="H119" s="4">
        <v>0.038</v>
      </c>
      <c r="I119" s="4">
        <v>0.045</v>
      </c>
      <c r="J119" s="4">
        <v>0.034</v>
      </c>
      <c r="K119" s="4">
        <v>0.05</v>
      </c>
      <c r="L119" s="4">
        <v>3.319</v>
      </c>
      <c r="M119" s="4">
        <v>0.038</v>
      </c>
      <c r="N119" s="4">
        <v>5.532</v>
      </c>
      <c r="O119" s="4">
        <v>2.702</v>
      </c>
      <c r="P119" s="4">
        <v>0.182</v>
      </c>
      <c r="Q119" s="4">
        <v>6.91</v>
      </c>
      <c r="R119" s="4">
        <v>5.842</v>
      </c>
      <c r="S119" s="4">
        <v>5.364</v>
      </c>
      <c r="T119" s="4">
        <v>5.467</v>
      </c>
      <c r="U119" s="4">
        <v>0.04</v>
      </c>
      <c r="V119" s="4">
        <v>6.845</v>
      </c>
      <c r="W119" s="4">
        <v>2.719</v>
      </c>
      <c r="X119" s="4">
        <v>5.635</v>
      </c>
      <c r="Y119" s="4">
        <v>5.436</v>
      </c>
      <c r="Z119" s="4">
        <v>0.018</v>
      </c>
      <c r="AA119" s="4">
        <v>6.126</v>
      </c>
      <c r="AB119" s="4">
        <v>0.062</v>
      </c>
      <c r="AC119" s="4">
        <v>0.026</v>
      </c>
      <c r="AD119" s="4">
        <v>5.476</v>
      </c>
      <c r="AE119" s="4">
        <v>0.03</v>
      </c>
      <c r="AF119" s="4">
        <v>5.342</v>
      </c>
      <c r="AG119" s="4">
        <v>5.633</v>
      </c>
      <c r="AH119" s="4">
        <v>5.769</v>
      </c>
    </row>
    <row r="120" ht="14.3" customHeight="1" spans="1:34">
      <c r="A120" s="5"/>
      <c r="B120" s="6" t="s">
        <v>1579</v>
      </c>
      <c r="C120" s="6" t="s">
        <v>261</v>
      </c>
      <c r="D120" s="4">
        <v>0.782</v>
      </c>
      <c r="E120" s="4">
        <v>0.004</v>
      </c>
      <c r="F120" s="4">
        <v>1.955</v>
      </c>
      <c r="G120" s="4">
        <v>1.279</v>
      </c>
      <c r="H120" s="4">
        <v>0.005</v>
      </c>
      <c r="I120" s="4">
        <v>0.007</v>
      </c>
      <c r="J120" s="4">
        <v>0.004</v>
      </c>
      <c r="K120" s="4">
        <v>0.007</v>
      </c>
      <c r="L120" s="4">
        <v>0.985</v>
      </c>
      <c r="M120" s="4">
        <v>0.005</v>
      </c>
      <c r="N120" s="4">
        <v>1.248</v>
      </c>
      <c r="O120" s="4">
        <v>0.798</v>
      </c>
      <c r="P120" s="4">
        <v>0.059</v>
      </c>
      <c r="Q120" s="4">
        <v>1.45</v>
      </c>
      <c r="R120" s="4">
        <v>1.277</v>
      </c>
      <c r="S120" s="4">
        <v>1.635</v>
      </c>
      <c r="T120" s="4">
        <v>1.237</v>
      </c>
      <c r="U120" s="4">
        <v>0.005</v>
      </c>
      <c r="V120" s="4">
        <v>1.43</v>
      </c>
      <c r="W120" s="4">
        <v>0.801</v>
      </c>
      <c r="X120" s="4">
        <v>1.659</v>
      </c>
      <c r="Y120" s="4">
        <v>1.77</v>
      </c>
      <c r="Z120" s="4">
        <v>0.003</v>
      </c>
      <c r="AA120" s="4">
        <v>1.289</v>
      </c>
      <c r="AB120" s="4">
        <v>0.008</v>
      </c>
      <c r="AC120" s="4">
        <v>0.003</v>
      </c>
      <c r="AD120" s="4">
        <v>1.237</v>
      </c>
      <c r="AE120" s="4">
        <v>0.004</v>
      </c>
      <c r="AF120" s="4">
        <v>1.174</v>
      </c>
      <c r="AG120" s="4">
        <v>1.851</v>
      </c>
      <c r="AH120" s="4">
        <v>1.728</v>
      </c>
    </row>
    <row r="121" ht="14.3" customHeight="1" spans="1:34">
      <c r="A121" s="5"/>
      <c r="B121" s="6" t="s">
        <v>1580</v>
      </c>
      <c r="C121" s="6" t="s">
        <v>261</v>
      </c>
      <c r="D121" s="4">
        <v>0.151</v>
      </c>
      <c r="E121" s="4">
        <v>0.001</v>
      </c>
      <c r="F121" s="4">
        <v>0.421</v>
      </c>
      <c r="G121" s="4">
        <v>0.171</v>
      </c>
      <c r="H121" s="4">
        <v>0.001</v>
      </c>
      <c r="I121" s="4">
        <v>0.002</v>
      </c>
      <c r="J121" s="4">
        <v>0.001</v>
      </c>
      <c r="K121" s="4">
        <v>0.001</v>
      </c>
      <c r="L121" s="4">
        <v>0.223</v>
      </c>
      <c r="M121" s="4">
        <v>0.001</v>
      </c>
      <c r="N121" s="4">
        <v>0.203</v>
      </c>
      <c r="O121" s="4">
        <v>0.158</v>
      </c>
      <c r="P121" s="4">
        <v>0.013</v>
      </c>
      <c r="Q121" s="4">
        <v>0.186</v>
      </c>
      <c r="R121" s="4">
        <v>0.199</v>
      </c>
      <c r="S121" s="4">
        <v>0.405</v>
      </c>
      <c r="T121" s="4">
        <v>0.176</v>
      </c>
      <c r="U121" s="4">
        <v>0.001</v>
      </c>
      <c r="V121" s="4">
        <v>0.181</v>
      </c>
      <c r="W121" s="4">
        <v>0.159</v>
      </c>
      <c r="X121" s="4">
        <v>0.395</v>
      </c>
      <c r="Y121" s="4">
        <v>0.451</v>
      </c>
      <c r="Z121" s="4">
        <v>0.001</v>
      </c>
      <c r="AA121" s="4">
        <v>0.157</v>
      </c>
      <c r="AB121" s="4">
        <v>0.002</v>
      </c>
      <c r="AC121" s="4">
        <v>0</v>
      </c>
      <c r="AD121" s="4">
        <v>0.176</v>
      </c>
      <c r="AE121" s="4">
        <v>0.001</v>
      </c>
      <c r="AF121" s="4">
        <v>0.156</v>
      </c>
      <c r="AG121" s="4">
        <v>0.401</v>
      </c>
      <c r="AH121" s="4">
        <v>0.424</v>
      </c>
    </row>
    <row r="122" ht="14.3" customHeight="1" spans="1:34">
      <c r="A122" s="5"/>
      <c r="B122" s="6" t="s">
        <v>1581</v>
      </c>
      <c r="C122" s="6" t="s">
        <v>261</v>
      </c>
      <c r="D122" s="4">
        <v>0.177</v>
      </c>
      <c r="E122" s="4">
        <v>0.001</v>
      </c>
      <c r="F122" s="4">
        <v>0.497</v>
      </c>
      <c r="G122" s="4">
        <v>0.198</v>
      </c>
      <c r="H122" s="4">
        <v>0.001</v>
      </c>
      <c r="I122" s="4">
        <v>0.001</v>
      </c>
      <c r="J122" s="4">
        <v>0.001</v>
      </c>
      <c r="K122" s="4">
        <v>0.001</v>
      </c>
      <c r="L122" s="4">
        <v>0.248</v>
      </c>
      <c r="M122" s="4">
        <v>0.001</v>
      </c>
      <c r="N122" s="4">
        <v>0.177</v>
      </c>
      <c r="O122" s="4">
        <v>0.183</v>
      </c>
      <c r="P122" s="4">
        <v>0.015</v>
      </c>
      <c r="Q122" s="4">
        <v>0.214</v>
      </c>
      <c r="R122" s="4">
        <v>0.171</v>
      </c>
      <c r="S122" s="4">
        <v>0.402</v>
      </c>
      <c r="T122" s="4">
        <v>0.202</v>
      </c>
      <c r="U122" s="4">
        <v>0.001</v>
      </c>
      <c r="V122" s="4">
        <v>0.209</v>
      </c>
      <c r="W122" s="4">
        <v>0.183</v>
      </c>
      <c r="X122" s="4">
        <v>0.395</v>
      </c>
      <c r="Y122" s="4">
        <v>0.381</v>
      </c>
      <c r="Z122" s="4">
        <v>0.001</v>
      </c>
      <c r="AA122" s="4">
        <v>0.186</v>
      </c>
      <c r="AB122" s="4">
        <v>0.001</v>
      </c>
      <c r="AC122" s="4">
        <v>0</v>
      </c>
      <c r="AD122" s="4">
        <v>0.202</v>
      </c>
      <c r="AE122" s="4">
        <v>0.002</v>
      </c>
      <c r="AF122" s="4">
        <v>0.183</v>
      </c>
      <c r="AG122" s="4">
        <v>0.474</v>
      </c>
      <c r="AH122" s="4">
        <v>0.421</v>
      </c>
    </row>
    <row r="123" ht="14.3" customHeight="1" spans="1:34">
      <c r="A123" s="5"/>
      <c r="B123" s="6" t="s">
        <v>1582</v>
      </c>
      <c r="C123" s="6" t="s">
        <v>261</v>
      </c>
      <c r="D123" s="4">
        <v>0.004</v>
      </c>
      <c r="E123" s="4">
        <v>0</v>
      </c>
      <c r="F123" s="4">
        <v>0.029</v>
      </c>
      <c r="G123" s="4">
        <v>0.005</v>
      </c>
      <c r="H123" s="4">
        <v>0</v>
      </c>
      <c r="I123" s="4">
        <v>0</v>
      </c>
      <c r="J123" s="4">
        <v>0</v>
      </c>
      <c r="K123" s="4">
        <v>0</v>
      </c>
      <c r="L123" s="4">
        <v>0.005</v>
      </c>
      <c r="M123" s="4">
        <v>0</v>
      </c>
      <c r="N123" s="4">
        <v>0.001</v>
      </c>
      <c r="O123" s="4">
        <v>0.004</v>
      </c>
      <c r="P123" s="4">
        <v>0</v>
      </c>
      <c r="Q123" s="4">
        <v>0.005</v>
      </c>
      <c r="R123" s="4">
        <v>0.001</v>
      </c>
      <c r="S123" s="4">
        <v>0.028</v>
      </c>
      <c r="T123" s="4">
        <v>0.005</v>
      </c>
      <c r="U123" s="4">
        <v>0</v>
      </c>
      <c r="V123" s="4">
        <v>0.005</v>
      </c>
      <c r="W123" s="4">
        <v>0.004</v>
      </c>
      <c r="X123" s="4">
        <v>0.003</v>
      </c>
      <c r="Y123" s="4">
        <v>0.006</v>
      </c>
      <c r="Z123" s="4">
        <v>0</v>
      </c>
      <c r="AA123" s="4">
        <v>0.004</v>
      </c>
      <c r="AB123" s="4">
        <v>0</v>
      </c>
      <c r="AC123" s="4">
        <v>0</v>
      </c>
      <c r="AD123" s="4">
        <v>0.005</v>
      </c>
      <c r="AE123" s="4">
        <v>0</v>
      </c>
      <c r="AF123" s="4">
        <v>0.004</v>
      </c>
      <c r="AG123" s="4">
        <v>0.028</v>
      </c>
      <c r="AH123" s="4">
        <v>0.029</v>
      </c>
    </row>
    <row r="124" ht="14.3" customHeight="1" spans="1:34">
      <c r="A124" s="5"/>
      <c r="B124" s="6" t="s">
        <v>1583</v>
      </c>
      <c r="C124" s="6" t="s">
        <v>261</v>
      </c>
      <c r="D124" s="4">
        <v>0.001</v>
      </c>
      <c r="E124" s="4">
        <v>0</v>
      </c>
      <c r="F124" s="4">
        <v>0.006</v>
      </c>
      <c r="G124" s="4">
        <v>0.001</v>
      </c>
      <c r="H124" s="4">
        <v>0</v>
      </c>
      <c r="I124" s="4">
        <v>0</v>
      </c>
      <c r="J124" s="4">
        <v>0</v>
      </c>
      <c r="K124" s="4">
        <v>0</v>
      </c>
      <c r="L124" s="4">
        <v>0.001</v>
      </c>
      <c r="M124" s="4">
        <v>0</v>
      </c>
      <c r="N124" s="4">
        <v>0.005</v>
      </c>
      <c r="O124" s="4">
        <v>0.001</v>
      </c>
      <c r="P124" s="4">
        <v>0</v>
      </c>
      <c r="Q124" s="4">
        <v>0.001</v>
      </c>
      <c r="R124" s="4">
        <v>0.005</v>
      </c>
      <c r="S124" s="4">
        <v>0.003</v>
      </c>
      <c r="T124" s="4">
        <v>0.001</v>
      </c>
      <c r="U124" s="4">
        <v>0</v>
      </c>
      <c r="V124" s="4">
        <v>0.001</v>
      </c>
      <c r="W124" s="4">
        <v>0.001</v>
      </c>
      <c r="X124" s="4">
        <v>0.026</v>
      </c>
      <c r="Y124" s="4">
        <v>0.026</v>
      </c>
      <c r="Z124" s="4">
        <v>0</v>
      </c>
      <c r="AA124" s="4">
        <v>0.001</v>
      </c>
      <c r="AB124" s="4">
        <v>0</v>
      </c>
      <c r="AC124" s="4">
        <v>0</v>
      </c>
      <c r="AD124" s="4">
        <v>0.001</v>
      </c>
      <c r="AE124" s="4">
        <v>0</v>
      </c>
      <c r="AF124" s="4">
        <v>0.001</v>
      </c>
      <c r="AG124" s="4">
        <v>0.006</v>
      </c>
      <c r="AH124" s="4">
        <v>0.003</v>
      </c>
    </row>
    <row r="125" ht="14.3" customHeight="1" spans="1:34">
      <c r="A125" s="5"/>
      <c r="B125" s="6" t="s">
        <v>1584</v>
      </c>
      <c r="C125" s="6" t="s">
        <v>261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</row>
    <row r="126" ht="14.3" customHeight="1" spans="1:34">
      <c r="A126" s="5"/>
      <c r="B126" s="6" t="s">
        <v>1597</v>
      </c>
      <c r="C126" s="6" t="s">
        <v>261</v>
      </c>
      <c r="D126" s="4">
        <v>0.039</v>
      </c>
      <c r="E126" s="4">
        <v>2.838</v>
      </c>
      <c r="F126" s="4">
        <v>0.197</v>
      </c>
      <c r="G126" s="4">
        <v>0.08</v>
      </c>
      <c r="H126" s="4">
        <v>2.708</v>
      </c>
      <c r="I126" s="4">
        <v>2.382</v>
      </c>
      <c r="J126" s="4">
        <v>2.585</v>
      </c>
      <c r="K126" s="4">
        <v>1.739</v>
      </c>
      <c r="L126" s="4">
        <v>0.05</v>
      </c>
      <c r="M126" s="4">
        <v>2.595</v>
      </c>
      <c r="N126" s="4">
        <v>0.056</v>
      </c>
      <c r="O126" s="4">
        <v>0.055</v>
      </c>
      <c r="P126" s="4">
        <v>1.018</v>
      </c>
      <c r="Q126" s="4">
        <v>0.09</v>
      </c>
      <c r="R126" s="4">
        <v>0.074</v>
      </c>
      <c r="S126" s="4">
        <v>0.183</v>
      </c>
      <c r="T126" s="4">
        <v>0.064</v>
      </c>
      <c r="U126" s="4">
        <v>3.046</v>
      </c>
      <c r="V126" s="4">
        <v>0.128</v>
      </c>
      <c r="W126" s="4">
        <v>0.048</v>
      </c>
      <c r="X126" s="4">
        <v>0.148</v>
      </c>
      <c r="Y126" s="4">
        <v>0.423</v>
      </c>
      <c r="Z126" s="4">
        <v>0.83</v>
      </c>
      <c r="AA126" s="4">
        <v>0.084</v>
      </c>
      <c r="AB126" s="4">
        <v>1.358</v>
      </c>
      <c r="AC126" s="4">
        <v>6.432</v>
      </c>
      <c r="AD126" s="4">
        <v>0.065</v>
      </c>
      <c r="AE126" s="4">
        <v>3.299</v>
      </c>
      <c r="AF126" s="4">
        <v>0.102</v>
      </c>
      <c r="AG126" s="4">
        <v>0.363</v>
      </c>
      <c r="AH126" s="4">
        <v>0.153</v>
      </c>
    </row>
    <row r="127" ht="14.3" customHeight="1" spans="1:34">
      <c r="A127" s="5"/>
      <c r="B127" s="6" t="s">
        <v>1605</v>
      </c>
      <c r="C127" s="6" t="s">
        <v>261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25.6" customHeight="1" spans="1:34">
      <c r="A128" s="5"/>
      <c r="B128" s="6" t="s">
        <v>1606</v>
      </c>
      <c r="C128" s="6" t="s">
        <v>261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25.6" customHeight="1" spans="1:34">
      <c r="A129" s="5" t="s">
        <v>970</v>
      </c>
      <c r="B129" s="6" t="s">
        <v>1598</v>
      </c>
      <c r="C129" s="6" t="s">
        <v>1600</v>
      </c>
      <c r="D129" s="4">
        <v>38.374</v>
      </c>
      <c r="E129" s="4"/>
      <c r="F129" s="4"/>
      <c r="G129" s="4"/>
      <c r="H129" s="4"/>
      <c r="I129" s="4"/>
      <c r="J129" s="4"/>
      <c r="K129" s="4"/>
      <c r="L129" s="4">
        <v>38.374</v>
      </c>
      <c r="M129" s="4"/>
      <c r="N129" s="4"/>
      <c r="O129" s="4">
        <v>38.374</v>
      </c>
      <c r="P129" s="4">
        <v>38.374</v>
      </c>
      <c r="Q129" s="4"/>
      <c r="R129" s="4"/>
      <c r="S129" s="4"/>
      <c r="T129" s="4"/>
      <c r="U129" s="4"/>
      <c r="V129" s="4">
        <v>38.374</v>
      </c>
      <c r="W129" s="4">
        <v>38.374</v>
      </c>
      <c r="X129" s="4"/>
      <c r="Y129" s="4"/>
      <c r="Z129" s="4">
        <v>38.374</v>
      </c>
      <c r="AA129" s="4">
        <v>38.374</v>
      </c>
      <c r="AB129" s="4">
        <v>0</v>
      </c>
      <c r="AC129" s="4"/>
      <c r="AD129" s="4"/>
      <c r="AE129" s="4"/>
      <c r="AF129" s="4"/>
      <c r="AG129" s="4"/>
      <c r="AH129" s="4"/>
    </row>
    <row r="130" ht="14.3" customHeight="1" spans="1:34">
      <c r="A130" s="5"/>
      <c r="B130" s="6" t="s">
        <v>1591</v>
      </c>
      <c r="C130" s="6" t="s">
        <v>1601</v>
      </c>
      <c r="D130" s="4">
        <v>0</v>
      </c>
      <c r="E130" s="4"/>
      <c r="F130" s="4"/>
      <c r="G130" s="4"/>
      <c r="H130" s="4"/>
      <c r="I130" s="4"/>
      <c r="J130" s="4"/>
      <c r="K130" s="4"/>
      <c r="L130" s="4">
        <v>0</v>
      </c>
      <c r="M130" s="4"/>
      <c r="N130" s="4"/>
      <c r="O130" s="4">
        <v>0</v>
      </c>
      <c r="P130" s="4">
        <v>0</v>
      </c>
      <c r="Q130" s="4"/>
      <c r="R130" s="4"/>
      <c r="S130" s="4"/>
      <c r="T130" s="4"/>
      <c r="U130" s="4"/>
      <c r="V130" s="4">
        <v>0</v>
      </c>
      <c r="W130" s="4">
        <v>0</v>
      </c>
      <c r="X130" s="4"/>
      <c r="Y130" s="4"/>
      <c r="Z130" s="4">
        <v>0</v>
      </c>
      <c r="AA130" s="4">
        <v>0</v>
      </c>
      <c r="AB130" s="4">
        <v>0</v>
      </c>
      <c r="AC130" s="4"/>
      <c r="AD130" s="4"/>
      <c r="AE130" s="4"/>
      <c r="AF130" s="4"/>
      <c r="AG130" s="4"/>
      <c r="AH130" s="4"/>
    </row>
    <row r="131" ht="14.3" customHeight="1" spans="1:34">
      <c r="A131" s="5"/>
      <c r="B131" s="6" t="s">
        <v>1587</v>
      </c>
      <c r="C131" s="6" t="s">
        <v>1602</v>
      </c>
      <c r="D131" s="4">
        <v>0</v>
      </c>
      <c r="E131" s="4"/>
      <c r="F131" s="4"/>
      <c r="G131" s="4"/>
      <c r="H131" s="4"/>
      <c r="I131" s="4"/>
      <c r="J131" s="4"/>
      <c r="K131" s="4"/>
      <c r="L131" s="4">
        <v>0</v>
      </c>
      <c r="M131" s="4"/>
      <c r="N131" s="4"/>
      <c r="O131" s="4">
        <v>0</v>
      </c>
      <c r="P131" s="4">
        <v>0</v>
      </c>
      <c r="Q131" s="4"/>
      <c r="R131" s="4"/>
      <c r="S131" s="4"/>
      <c r="T131" s="4"/>
      <c r="U131" s="4"/>
      <c r="V131" s="4">
        <v>0</v>
      </c>
      <c r="W131" s="4">
        <v>0</v>
      </c>
      <c r="X131" s="4"/>
      <c r="Y131" s="4"/>
      <c r="Z131" s="4">
        <v>0</v>
      </c>
      <c r="AA131" s="4">
        <v>0</v>
      </c>
      <c r="AB131" s="4">
        <v>0</v>
      </c>
      <c r="AC131" s="4"/>
      <c r="AD131" s="4"/>
      <c r="AE131" s="4"/>
      <c r="AF131" s="4"/>
      <c r="AG131" s="4"/>
      <c r="AH131" s="4"/>
    </row>
    <row r="132" ht="14.3" customHeight="1" spans="1:34">
      <c r="A132" s="5"/>
      <c r="B132" s="6" t="s">
        <v>1589</v>
      </c>
      <c r="C132" s="6" t="s">
        <v>1603</v>
      </c>
      <c r="D132" s="4">
        <v>0</v>
      </c>
      <c r="E132" s="4"/>
      <c r="F132" s="4"/>
      <c r="G132" s="4"/>
      <c r="H132" s="4"/>
      <c r="I132" s="4"/>
      <c r="J132" s="4"/>
      <c r="K132" s="4"/>
      <c r="L132" s="4">
        <v>0</v>
      </c>
      <c r="M132" s="4"/>
      <c r="N132" s="4"/>
      <c r="O132" s="4">
        <v>0</v>
      </c>
      <c r="P132" s="4">
        <v>0</v>
      </c>
      <c r="Q132" s="4"/>
      <c r="R132" s="4"/>
      <c r="S132" s="4"/>
      <c r="T132" s="4"/>
      <c r="U132" s="4"/>
      <c r="V132" s="4">
        <v>0</v>
      </c>
      <c r="W132" s="4">
        <v>0</v>
      </c>
      <c r="X132" s="4"/>
      <c r="Y132" s="4"/>
      <c r="Z132" s="4">
        <v>0</v>
      </c>
      <c r="AA132" s="4">
        <v>0</v>
      </c>
      <c r="AB132" s="4">
        <v>0</v>
      </c>
      <c r="AC132" s="4"/>
      <c r="AD132" s="4"/>
      <c r="AE132" s="4"/>
      <c r="AF132" s="4"/>
      <c r="AG132" s="4"/>
      <c r="AH132" s="4"/>
    </row>
    <row r="133" ht="14.3" customHeight="1" spans="1:34">
      <c r="A133" s="5"/>
      <c r="B133" s="6" t="s">
        <v>1593</v>
      </c>
      <c r="C133" s="6" t="s">
        <v>1604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4.3" customHeight="1" spans="1:34">
      <c r="A134" s="5"/>
      <c r="B134" s="6" t="s">
        <v>1572</v>
      </c>
      <c r="C134" s="5"/>
      <c r="D134" s="4">
        <v>-87.89</v>
      </c>
      <c r="E134" s="4"/>
      <c r="F134" s="4"/>
      <c r="G134" s="4"/>
      <c r="H134" s="4"/>
      <c r="I134" s="4"/>
      <c r="J134" s="4"/>
      <c r="K134" s="4"/>
      <c r="L134" s="4">
        <v>-87.89</v>
      </c>
      <c r="M134" s="4"/>
      <c r="N134" s="4"/>
      <c r="O134" s="4">
        <v>-87.89</v>
      </c>
      <c r="P134" s="4">
        <v>-87.89</v>
      </c>
      <c r="Q134" s="4"/>
      <c r="R134" s="4"/>
      <c r="S134" s="4"/>
      <c r="T134" s="4"/>
      <c r="U134" s="4"/>
      <c r="V134" s="4">
        <v>-87.89</v>
      </c>
      <c r="W134" s="4">
        <v>-87.89</v>
      </c>
      <c r="X134" s="4"/>
      <c r="Y134" s="4"/>
      <c r="Z134" s="4">
        <v>-87.89</v>
      </c>
      <c r="AA134" s="4">
        <v>-87.89</v>
      </c>
      <c r="AB134" s="4">
        <v>0</v>
      </c>
      <c r="AC134" s="4"/>
      <c r="AD134" s="4"/>
      <c r="AE134" s="4"/>
      <c r="AF134" s="4"/>
      <c r="AG134" s="4"/>
      <c r="AH134" s="4"/>
    </row>
    <row r="135" ht="14.3" customHeight="1" spans="1:34">
      <c r="A135" s="5"/>
      <c r="B135" s="6" t="s">
        <v>1574</v>
      </c>
      <c r="C135" s="6" t="s">
        <v>261</v>
      </c>
      <c r="D135" s="4">
        <v>21.054</v>
      </c>
      <c r="E135" s="4"/>
      <c r="F135" s="4"/>
      <c r="G135" s="4"/>
      <c r="H135" s="4"/>
      <c r="I135" s="4"/>
      <c r="J135" s="4"/>
      <c r="K135" s="4"/>
      <c r="L135" s="4">
        <v>21.054</v>
      </c>
      <c r="M135" s="4"/>
      <c r="N135" s="4"/>
      <c r="O135" s="4">
        <v>21.054</v>
      </c>
      <c r="P135" s="4">
        <v>21.054</v>
      </c>
      <c r="Q135" s="4"/>
      <c r="R135" s="4"/>
      <c r="S135" s="4"/>
      <c r="T135" s="4"/>
      <c r="U135" s="4"/>
      <c r="V135" s="4">
        <v>21.054</v>
      </c>
      <c r="W135" s="4">
        <v>21.054</v>
      </c>
      <c r="X135" s="4"/>
      <c r="Y135" s="4"/>
      <c r="Z135" s="4">
        <v>21.054</v>
      </c>
      <c r="AA135" s="4">
        <v>21.054</v>
      </c>
      <c r="AB135" s="4">
        <v>0</v>
      </c>
      <c r="AC135" s="4"/>
      <c r="AD135" s="4"/>
      <c r="AE135" s="4"/>
      <c r="AF135" s="4"/>
      <c r="AG135" s="4"/>
      <c r="AH135" s="4"/>
    </row>
    <row r="136" ht="14.3" customHeight="1" spans="1:34">
      <c r="A136" s="5"/>
      <c r="B136" s="6" t="s">
        <v>1576</v>
      </c>
      <c r="C136" s="6" t="s">
        <v>261</v>
      </c>
      <c r="D136" s="4">
        <v>96.498</v>
      </c>
      <c r="E136" s="4"/>
      <c r="F136" s="4"/>
      <c r="G136" s="4"/>
      <c r="H136" s="4"/>
      <c r="I136" s="4"/>
      <c r="J136" s="4"/>
      <c r="K136" s="4"/>
      <c r="L136" s="4">
        <v>96.498</v>
      </c>
      <c r="M136" s="4"/>
      <c r="N136" s="4"/>
      <c r="O136" s="4">
        <v>96.498</v>
      </c>
      <c r="P136" s="4">
        <v>96.498</v>
      </c>
      <c r="Q136" s="4"/>
      <c r="R136" s="4"/>
      <c r="S136" s="4"/>
      <c r="T136" s="4"/>
      <c r="U136" s="4"/>
      <c r="V136" s="4">
        <v>96.498</v>
      </c>
      <c r="W136" s="4">
        <v>96.498</v>
      </c>
      <c r="X136" s="4"/>
      <c r="Y136" s="4"/>
      <c r="Z136" s="4">
        <v>96.498</v>
      </c>
      <c r="AA136" s="4">
        <v>96.498</v>
      </c>
      <c r="AB136" s="4">
        <v>0</v>
      </c>
      <c r="AC136" s="4"/>
      <c r="AD136" s="4"/>
      <c r="AE136" s="4"/>
      <c r="AF136" s="4"/>
      <c r="AG136" s="4"/>
      <c r="AH136" s="4"/>
    </row>
    <row r="137" ht="14.3" customHeight="1" spans="1:34">
      <c r="A137" s="5"/>
      <c r="B137" s="6" t="s">
        <v>1578</v>
      </c>
      <c r="C137" s="6" t="s">
        <v>261</v>
      </c>
      <c r="D137" s="4">
        <v>2.761</v>
      </c>
      <c r="E137" s="4"/>
      <c r="F137" s="4"/>
      <c r="G137" s="4"/>
      <c r="H137" s="4"/>
      <c r="I137" s="4"/>
      <c r="J137" s="4"/>
      <c r="K137" s="4"/>
      <c r="L137" s="4">
        <v>2.761</v>
      </c>
      <c r="M137" s="4"/>
      <c r="N137" s="4"/>
      <c r="O137" s="4">
        <v>2.761</v>
      </c>
      <c r="P137" s="4">
        <v>2.761</v>
      </c>
      <c r="Q137" s="4"/>
      <c r="R137" s="4"/>
      <c r="S137" s="4"/>
      <c r="T137" s="4"/>
      <c r="U137" s="4"/>
      <c r="V137" s="4">
        <v>2.761</v>
      </c>
      <c r="W137" s="4">
        <v>2.761</v>
      </c>
      <c r="X137" s="4"/>
      <c r="Y137" s="4"/>
      <c r="Z137" s="4">
        <v>2.761</v>
      </c>
      <c r="AA137" s="4">
        <v>2.761</v>
      </c>
      <c r="AB137" s="4">
        <v>0</v>
      </c>
      <c r="AC137" s="4"/>
      <c r="AD137" s="4"/>
      <c r="AE137" s="4"/>
      <c r="AF137" s="4"/>
      <c r="AG137" s="4"/>
      <c r="AH137" s="4"/>
    </row>
    <row r="138" ht="14.3" customHeight="1" spans="1:34">
      <c r="A138" s="5"/>
      <c r="B138" s="6" t="s">
        <v>1579</v>
      </c>
      <c r="C138" s="6" t="s">
        <v>261</v>
      </c>
      <c r="D138" s="4">
        <v>0.539</v>
      </c>
      <c r="E138" s="4"/>
      <c r="F138" s="4"/>
      <c r="G138" s="4"/>
      <c r="H138" s="4"/>
      <c r="I138" s="4"/>
      <c r="J138" s="4"/>
      <c r="K138" s="4"/>
      <c r="L138" s="4">
        <v>0.539</v>
      </c>
      <c r="M138" s="4"/>
      <c r="N138" s="4"/>
      <c r="O138" s="4">
        <v>0.539</v>
      </c>
      <c r="P138" s="4">
        <v>0.539</v>
      </c>
      <c r="Q138" s="4"/>
      <c r="R138" s="4"/>
      <c r="S138" s="4"/>
      <c r="T138" s="4"/>
      <c r="U138" s="4"/>
      <c r="V138" s="4">
        <v>0.539</v>
      </c>
      <c r="W138" s="4">
        <v>0.539</v>
      </c>
      <c r="X138" s="4"/>
      <c r="Y138" s="4"/>
      <c r="Z138" s="4">
        <v>0.539</v>
      </c>
      <c r="AA138" s="4">
        <v>0.539</v>
      </c>
      <c r="AB138" s="4">
        <v>0</v>
      </c>
      <c r="AC138" s="4"/>
      <c r="AD138" s="4"/>
      <c r="AE138" s="4"/>
      <c r="AF138" s="4"/>
      <c r="AG138" s="4"/>
      <c r="AH138" s="4"/>
    </row>
    <row r="139" ht="14.3" customHeight="1" spans="1:34">
      <c r="A139" s="5"/>
      <c r="B139" s="6" t="s">
        <v>1580</v>
      </c>
      <c r="C139" s="6" t="s">
        <v>261</v>
      </c>
      <c r="D139" s="4">
        <v>0</v>
      </c>
      <c r="E139" s="4"/>
      <c r="F139" s="4"/>
      <c r="G139" s="4"/>
      <c r="H139" s="4"/>
      <c r="I139" s="4"/>
      <c r="J139" s="4"/>
      <c r="K139" s="4"/>
      <c r="L139" s="4">
        <v>0</v>
      </c>
      <c r="M139" s="4"/>
      <c r="N139" s="4"/>
      <c r="O139" s="4">
        <v>0</v>
      </c>
      <c r="P139" s="4">
        <v>0</v>
      </c>
      <c r="Q139" s="4"/>
      <c r="R139" s="4"/>
      <c r="S139" s="4"/>
      <c r="T139" s="4"/>
      <c r="U139" s="4"/>
      <c r="V139" s="4">
        <v>0</v>
      </c>
      <c r="W139" s="4">
        <v>0</v>
      </c>
      <c r="X139" s="4"/>
      <c r="Y139" s="4"/>
      <c r="Z139" s="4">
        <v>0</v>
      </c>
      <c r="AA139" s="4">
        <v>0</v>
      </c>
      <c r="AB139" s="4">
        <v>0</v>
      </c>
      <c r="AC139" s="4"/>
      <c r="AD139" s="4"/>
      <c r="AE139" s="4"/>
      <c r="AF139" s="4"/>
      <c r="AG139" s="4"/>
      <c r="AH139" s="4"/>
    </row>
    <row r="140" ht="14.3" customHeight="1" spans="1:34">
      <c r="A140" s="5"/>
      <c r="B140" s="6" t="s">
        <v>1581</v>
      </c>
      <c r="C140" s="6" t="s">
        <v>261</v>
      </c>
      <c r="D140" s="4">
        <v>0</v>
      </c>
      <c r="E140" s="4"/>
      <c r="F140" s="4"/>
      <c r="G140" s="4"/>
      <c r="H140" s="4"/>
      <c r="I140" s="4"/>
      <c r="J140" s="4"/>
      <c r="K140" s="4"/>
      <c r="L140" s="4">
        <v>0</v>
      </c>
      <c r="M140" s="4"/>
      <c r="N140" s="4"/>
      <c r="O140" s="4">
        <v>0</v>
      </c>
      <c r="P140" s="4">
        <v>0</v>
      </c>
      <c r="Q140" s="4"/>
      <c r="R140" s="4"/>
      <c r="S140" s="4"/>
      <c r="T140" s="4"/>
      <c r="U140" s="4"/>
      <c r="V140" s="4">
        <v>0</v>
      </c>
      <c r="W140" s="4">
        <v>0</v>
      </c>
      <c r="X140" s="4"/>
      <c r="Y140" s="4"/>
      <c r="Z140" s="4">
        <v>0</v>
      </c>
      <c r="AA140" s="4">
        <v>0</v>
      </c>
      <c r="AB140" s="4">
        <v>0</v>
      </c>
      <c r="AC140" s="4"/>
      <c r="AD140" s="4"/>
      <c r="AE140" s="4"/>
      <c r="AF140" s="4"/>
      <c r="AG140" s="4"/>
      <c r="AH140" s="4"/>
    </row>
    <row r="141" ht="14.3" customHeight="1" spans="1:34">
      <c r="A141" s="5"/>
      <c r="B141" s="6" t="s">
        <v>1582</v>
      </c>
      <c r="C141" s="6" t="s">
        <v>261</v>
      </c>
      <c r="D141" s="4">
        <v>0</v>
      </c>
      <c r="E141" s="4"/>
      <c r="F141" s="4"/>
      <c r="G141" s="4"/>
      <c r="H141" s="4"/>
      <c r="I141" s="4"/>
      <c r="J141" s="4"/>
      <c r="K141" s="4"/>
      <c r="L141" s="4">
        <v>0</v>
      </c>
      <c r="M141" s="4"/>
      <c r="N141" s="4"/>
      <c r="O141" s="4">
        <v>0</v>
      </c>
      <c r="P141" s="4">
        <v>0</v>
      </c>
      <c r="Q141" s="4"/>
      <c r="R141" s="4"/>
      <c r="S141" s="4"/>
      <c r="T141" s="4"/>
      <c r="U141" s="4"/>
      <c r="V141" s="4">
        <v>0</v>
      </c>
      <c r="W141" s="4">
        <v>0</v>
      </c>
      <c r="X141" s="4"/>
      <c r="Y141" s="4"/>
      <c r="Z141" s="4">
        <v>0</v>
      </c>
      <c r="AA141" s="4">
        <v>0</v>
      </c>
      <c r="AB141" s="4">
        <v>0</v>
      </c>
      <c r="AC141" s="4"/>
      <c r="AD141" s="4"/>
      <c r="AE141" s="4"/>
      <c r="AF141" s="4"/>
      <c r="AG141" s="4"/>
      <c r="AH141" s="4"/>
    </row>
    <row r="142" ht="14.3" customHeight="1" spans="1:34">
      <c r="A142" s="5"/>
      <c r="B142" s="6" t="s">
        <v>1583</v>
      </c>
      <c r="C142" s="6" t="s">
        <v>261</v>
      </c>
      <c r="D142" s="4">
        <v>0</v>
      </c>
      <c r="E142" s="4"/>
      <c r="F142" s="4"/>
      <c r="G142" s="4"/>
      <c r="H142" s="4"/>
      <c r="I142" s="4"/>
      <c r="J142" s="4"/>
      <c r="K142" s="4"/>
      <c r="L142" s="4">
        <v>0</v>
      </c>
      <c r="M142" s="4"/>
      <c r="N142" s="4"/>
      <c r="O142" s="4">
        <v>0</v>
      </c>
      <c r="P142" s="4">
        <v>0</v>
      </c>
      <c r="Q142" s="4"/>
      <c r="R142" s="4"/>
      <c r="S142" s="4"/>
      <c r="T142" s="4"/>
      <c r="U142" s="4"/>
      <c r="V142" s="4">
        <v>0</v>
      </c>
      <c r="W142" s="4">
        <v>0</v>
      </c>
      <c r="X142" s="4"/>
      <c r="Y142" s="4"/>
      <c r="Z142" s="4">
        <v>0</v>
      </c>
      <c r="AA142" s="4">
        <v>0</v>
      </c>
      <c r="AB142" s="4">
        <v>0</v>
      </c>
      <c r="AC142" s="4"/>
      <c r="AD142" s="4"/>
      <c r="AE142" s="4"/>
      <c r="AF142" s="4"/>
      <c r="AG142" s="4"/>
      <c r="AH142" s="4"/>
    </row>
    <row r="143" ht="14.3" customHeight="1" spans="1:34">
      <c r="A143" s="5"/>
      <c r="B143" s="6" t="s">
        <v>1584</v>
      </c>
      <c r="C143" s="6" t="s">
        <v>261</v>
      </c>
      <c r="D143" s="4">
        <v>0</v>
      </c>
      <c r="E143" s="4"/>
      <c r="F143" s="4"/>
      <c r="G143" s="4"/>
      <c r="H143" s="4"/>
      <c r="I143" s="4"/>
      <c r="J143" s="4"/>
      <c r="K143" s="4"/>
      <c r="L143" s="4">
        <v>0</v>
      </c>
      <c r="M143" s="4"/>
      <c r="N143" s="4"/>
      <c r="O143" s="4">
        <v>0</v>
      </c>
      <c r="P143" s="4">
        <v>0</v>
      </c>
      <c r="Q143" s="4"/>
      <c r="R143" s="4"/>
      <c r="S143" s="4"/>
      <c r="T143" s="4"/>
      <c r="U143" s="4"/>
      <c r="V143" s="4">
        <v>0</v>
      </c>
      <c r="W143" s="4">
        <v>0</v>
      </c>
      <c r="X143" s="4"/>
      <c r="Y143" s="4"/>
      <c r="Z143" s="4">
        <v>0</v>
      </c>
      <c r="AA143" s="4">
        <v>0</v>
      </c>
      <c r="AB143" s="4">
        <v>0</v>
      </c>
      <c r="AC143" s="4"/>
      <c r="AD143" s="4"/>
      <c r="AE143" s="4"/>
      <c r="AF143" s="4"/>
      <c r="AG143" s="4"/>
      <c r="AH143" s="4"/>
    </row>
    <row r="144" ht="14.3" customHeight="1" spans="1:34">
      <c r="A144" s="5"/>
      <c r="B144" s="6" t="s">
        <v>1597</v>
      </c>
      <c r="C144" s="6" t="s">
        <v>261</v>
      </c>
      <c r="D144" s="4">
        <v>0.048</v>
      </c>
      <c r="E144" s="4"/>
      <c r="F144" s="4"/>
      <c r="G144" s="4"/>
      <c r="H144" s="4"/>
      <c r="I144" s="4"/>
      <c r="J144" s="4"/>
      <c r="K144" s="4"/>
      <c r="L144" s="4">
        <v>0.048</v>
      </c>
      <c r="M144" s="4"/>
      <c r="N144" s="4"/>
      <c r="O144" s="4">
        <v>0.048</v>
      </c>
      <c r="P144" s="4">
        <v>0.048</v>
      </c>
      <c r="Q144" s="4"/>
      <c r="R144" s="4"/>
      <c r="S144" s="4"/>
      <c r="T144" s="4"/>
      <c r="U144" s="4"/>
      <c r="V144" s="4">
        <v>0.048</v>
      </c>
      <c r="W144" s="4">
        <v>0.048</v>
      </c>
      <c r="X144" s="4"/>
      <c r="Y144" s="4"/>
      <c r="Z144" s="4">
        <v>0.048</v>
      </c>
      <c r="AA144" s="4">
        <v>0.048</v>
      </c>
      <c r="AB144" s="4">
        <v>0</v>
      </c>
      <c r="AC144" s="4"/>
      <c r="AD144" s="4"/>
      <c r="AE144" s="4"/>
      <c r="AF144" s="4"/>
      <c r="AG144" s="4"/>
      <c r="AH144" s="4"/>
    </row>
    <row r="145" ht="14.3" customHeight="1" spans="1:34">
      <c r="A145" s="5"/>
      <c r="B145" s="6" t="s">
        <v>1605</v>
      </c>
      <c r="C145" s="6" t="s">
        <v>261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25.6" customHeight="1" spans="1:34">
      <c r="A146" s="5"/>
      <c r="B146" s="6" t="s">
        <v>1606</v>
      </c>
      <c r="C146" s="6" t="s">
        <v>261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</sheetData>
  <mergeCells count="9">
    <mergeCell ref="A1:AH1"/>
    <mergeCell ref="A3:A20"/>
    <mergeCell ref="A21:A38"/>
    <mergeCell ref="A39:A56"/>
    <mergeCell ref="A57:A74"/>
    <mergeCell ref="A75:A92"/>
    <mergeCell ref="A93:A110"/>
    <mergeCell ref="A111:A128"/>
    <mergeCell ref="A129:A146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平衡输差</vt:lpstr>
      <vt:lpstr>中缅+广南西</vt:lpstr>
      <vt:lpstr>西三东+海西</vt:lpstr>
      <vt:lpstr>中贵</vt:lpstr>
      <vt:lpstr>广西管道</vt:lpstr>
      <vt:lpstr>海南管网</vt:lpstr>
      <vt:lpstr>西二线</vt:lpstr>
      <vt:lpstr>日指定完成情况-不分托</vt:lpstr>
      <vt:lpstr>日指定完成情况-分托</vt:lpstr>
      <vt:lpstr>运行分析</vt:lpstr>
      <vt:lpstr>气质台账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2026-02-09T06:41:00Z</dcterms:created>
  <dcterms:modified xsi:type="dcterms:W3CDTF">2026-02-09T06:57:22Z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189E6056191C4295AE7AEF9995650060_12</vt:lpwstr>
  </property>
  <property fmtid="{D5CDD505-2E9C-101B-9397-08002B2CF9AE}" pid="3" name="KSOProductBuildVer">
    <vt:lpwstr>2052-12.8.2.18205</vt:lpwstr>
  </property>
</Properties>
</file>